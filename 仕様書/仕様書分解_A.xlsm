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drawings/drawing9.xml" ContentType="application/vnd.openxmlformats-officedocument.drawing+xml"/>
  <Override PartName="/xl/ctrlProps/ctrlProp8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elephants\elephants_test\仕様書\"/>
    </mc:Choice>
  </mc:AlternateContent>
  <xr:revisionPtr revIDLastSave="0" documentId="13_ncr:1_{F04CC0E2-A4E1-4827-88DE-FDD3239C95AE}" xr6:coauthVersionLast="43" xr6:coauthVersionMax="43" xr10:uidLastSave="{00000000-0000-0000-0000-000000000000}"/>
  <bookViews>
    <workbookView xWindow="-98" yWindow="-98" windowWidth="20715" windowHeight="13276" tabRatio="835" firstSheet="3" activeTab="9" xr2:uid="{00000000-000D-0000-FFFF-FFFF00000000}"/>
  </bookViews>
  <sheets>
    <sheet name="受注仕様書" sheetId="4" r:id="rId1"/>
    <sheet name="仕様指示書－作成－" sheetId="11" r:id="rId2"/>
    <sheet name="仕様指示書－印刷－" sheetId="12" r:id="rId3"/>
    <sheet name="【非標準のみ】補助仕様書" sheetId="9" r:id="rId4"/>
    <sheet name="【非標準のみ】補助仕様書 (2)" sheetId="16" r:id="rId5"/>
    <sheet name="【非標準のみ】補助仕様書 (3)" sheetId="17" r:id="rId6"/>
    <sheet name="塗装仕様書" sheetId="8" r:id="rId7"/>
    <sheet name="塗装仕様書(参考写真)" sheetId="6" r:id="rId8"/>
    <sheet name="シャシ型式" sheetId="10" r:id="rId9"/>
    <sheet name="リスト－仕様指示書－" sheetId="13" r:id="rId10"/>
  </sheets>
  <functionGroups builtInGroupCount="19"/>
  <definedNames>
    <definedName name="_xlnm._FilterDatabase" localSheetId="8" hidden="1">シャシ型式!$B$6:$D$257</definedName>
    <definedName name="_xlnm._FilterDatabase" localSheetId="9" hidden="1">'リスト－仕様指示書－'!#REF!</definedName>
    <definedName name="_xlnm._FilterDatabase" localSheetId="2" hidden="1">'仕様指示書－印刷－'!$A$3:$G$22</definedName>
    <definedName name="_xlnm._FilterDatabase" localSheetId="1" hidden="1">'仕様指示書－作成－'!$A$3:$G$22</definedName>
    <definedName name="「作業中」表示燈">'リスト－仕様指示書－'!$D$255:$M$259</definedName>
    <definedName name="_xlnm.Print_Area" localSheetId="3">【非標準のみ】補助仕様書!$A$1:$AG$44</definedName>
    <definedName name="_xlnm.Print_Area" localSheetId="4">'【非標準のみ】補助仕様書 (2)'!$A$1:$AG$44</definedName>
    <definedName name="_xlnm.Print_Area" localSheetId="5">'【非標準のみ】補助仕様書 (3)'!$A$1:$AG$44</definedName>
    <definedName name="_xlnm.Print_Area" localSheetId="9">'リスト－仕様指示書－'!$A$1:$M$602</definedName>
    <definedName name="_xlnm.Print_Area" localSheetId="2">'仕様指示書－印刷－'!$A$1:$G$117</definedName>
    <definedName name="_xlnm.Print_Area" localSheetId="1">'仕様指示書－作成－'!$A$1:$G$106</definedName>
    <definedName name="_xlnm.Print_Area" localSheetId="0">受注仕様書!$A$1:$AR$43</definedName>
    <definedName name="_xlnm.Print_Area" localSheetId="6">塗装仕様書!$A$1:$BC$32</definedName>
    <definedName name="_xlnm.Print_Area" localSheetId="7">'塗装仕様書(参考写真)'!$A$1:$BC$33</definedName>
    <definedName name="_xlnm.Print_Titles" localSheetId="9">'リスト－仕様指示書－'!$1:$3</definedName>
    <definedName name="_xlnm.Print_Titles" localSheetId="2">'仕様指示書－印刷－'!$1:$3</definedName>
    <definedName name="_xlnm.Print_Titles" localSheetId="1">'仕様指示書－作成－'!$1:$3</definedName>
    <definedName name="ＰＴＯ「ＯＮ」連動ハザード">'リスト－仕様指示書－'!$D$247:$M$249</definedName>
    <definedName name="ＰＴＯ抜き忘れ防止警報">'リスト－仕様指示書－'!$D$370:$M$372</definedName>
    <definedName name="ＰＴＯ表示ランプ">'リスト－仕様指示書－'!$D$362:$M$366</definedName>
    <definedName name="ＴＧ降下防止スイッチ取付">'リスト－仕様指示書－'!$D$24:$M$26</definedName>
    <definedName name="Ｔ型マフラー取付">'リスト－仕様指示書－'!$D$189:$M$191</definedName>
    <definedName name="アクセルストッパ">'リスト－仕様指示書－'!$D$359:$M$361</definedName>
    <definedName name="アンダーコート塗布">'リスト－仕様指示書－'!$D$506:$M$508</definedName>
    <definedName name="オルゴール">'リスト－仕様指示書－'!$D$352:$M$355</definedName>
    <definedName name="ガイドテーブル">'リスト－仕様指示書－'!$D$141:$M$144</definedName>
    <definedName name="グリスオマット取付">'リスト－仕様指示書－'!$D$177:$M$179</definedName>
    <definedName name="コーナープロテクタ">'リスト－仕様指示書－'!$D$159:$M$161</definedName>
    <definedName name="サイドガード">'リスト－仕様指示書－'!$D$217:$M$229</definedName>
    <definedName name="シャシ型式">'リスト－仕様指示書－'!$D$4:$M$5</definedName>
    <definedName name="スコップ掛け取付">'リスト－仕様指示書－'!$D$443:$M$445</definedName>
    <definedName name="ステップ取付">'リスト－仕様指示書－'!$D$27:$M$37</definedName>
    <definedName name="タイヤキャリア">'リスト－仕様指示書－'!$D$498:$M$500</definedName>
    <definedName name="タイヤ灯">'リスト－仕様指示書－'!$D$328:$M$339</definedName>
    <definedName name="タオル掛け">'リスト－仕様指示書－'!$D$468:$M$472</definedName>
    <definedName name="ダンボール仕様">'リスト－仕様指示書－'!$D$501:$M$503</definedName>
    <definedName name="ちりとり入れ">'リスト－仕様指示書－'!$D$456:$M$459</definedName>
    <definedName name="テールゲートサイドカバー">'リスト－仕様指示書－'!$D$134:$M$140</definedName>
    <definedName name="テールゲートリフト緊急用強制降下装置">'リスト－仕様指示書－'!$D$183:$M$185</definedName>
    <definedName name="テールゲート遮蔽板部の配線とホースに耐熱シート巻き付け">'リスト－仕様指示書－'!$D$169:$M$176</definedName>
    <definedName name="テールゲート上昇時後部安全棒セット警報">'リスト－仕様指示書－'!$D$180:$M$182</definedName>
    <definedName name="テールランプ取付位置">'リスト－仕様指示書－'!$D$230:$M$240</definedName>
    <definedName name="ドラム二重張り">'リスト－仕様指示書－'!$D$88:$M$92</definedName>
    <definedName name="ドラム板">'リスト－仕様指示書－'!$D$71:$M$73</definedName>
    <definedName name="ドラム板汚水抜き穴">'リスト－仕様指示書－'!$D$74:$M$76</definedName>
    <definedName name="のぞき窓">'リスト－仕様指示書－'!$D$15:$M$17</definedName>
    <definedName name="バックランププロテクタ">'リスト－仕様指示書－'!$D$265:$M$267</definedName>
    <definedName name="バックランプ取付位置">'リスト－仕様指示書－'!$D$260:$M$264</definedName>
    <definedName name="バルブカバー">'リスト－仕様指示書－'!$D$57:$M$59</definedName>
    <definedName name="フレームカバー">'リスト－仕様指示書－'!$D$186:$M$188</definedName>
    <definedName name="ホーキ立て">'リスト－仕様指示書－'!$D$446:$M$452</definedName>
    <definedName name="ボデー床板">'リスト－仕様指示書－'!$D$6:$M$10</definedName>
    <definedName name="ボデー前面臭気対策">'リスト－仕様指示書－'!$D$11:$M$14</definedName>
    <definedName name="ボデー天井注水口取付">'リスト－仕様指示書－'!$D$60:$M$67</definedName>
    <definedName name="マーカーランプ">'リスト－仕様指示書－'!$D$340:$M$347</definedName>
    <definedName name="ライセンスプレート受">'リスト－仕様指示書－'!$D$250:$M$254</definedName>
    <definedName name="ロータリーソレノイドカバー">'リスト－仕様指示書－'!$D$495:$M$497</definedName>
    <definedName name="ロータリーソレノイド式エンジン制御">'リスト－仕様指示書－'!$D$348:$M$351</definedName>
    <definedName name="汚水タンク">'リスト－仕様指示書－'!$D$77:$M$84</definedName>
    <definedName name="汚水タンク蓋">'リスト－仕様指示書－'!$D$103:$M$107</definedName>
    <definedName name="汚水パッキン枠">'リスト－仕様指示書－'!$D$85:$M$87</definedName>
    <definedName name="汚水排出装置取付">'リスト－仕様指示書－'!$D$100:$M$102</definedName>
    <definedName name="汚水溜り取付">'リスト－仕様指示書－'!$D$108:$M$110</definedName>
    <definedName name="音声アラーム">'リスト－仕様指示書－'!$D$379:$M$382</definedName>
    <definedName name="火災延焼抑制装置">'リスト－仕様指示書－'!$D$68:$M$70</definedName>
    <definedName name="過積載警報装置">'リスト－仕様指示書－'!$D$356:$M$358</definedName>
    <definedName name="月">受注仕様書!$BG$1:$BG$12</definedName>
    <definedName name="後部バンパ">'リスト－仕様指示書－'!$D$162:$M$165</definedName>
    <definedName name="後部フェンダ">'リスト－仕様指示書－'!$D$195:$M$197</definedName>
    <definedName name="後部フェンダ泥除けゴム">'リスト－仕様指示書－'!$D$207:$M$210</definedName>
    <definedName name="後部扉">'リスト－仕様指示書－'!$D$119:$M$126</definedName>
    <definedName name="後部扉レール補強">'リスト－仕様指示書－'!$D$97:$M$99</definedName>
    <definedName name="後部扉取っ手">'リスト－仕様指示書－'!$D$127:$M$130</definedName>
    <definedName name="後部扉取っ手部にφ１６丸棒追加">'リスト－仕様指示書－'!$D$131:$M$133</definedName>
    <definedName name="後方確認用テレビカメラＢＫＴ">'リスト－仕様指示書－'!$D$290:$M$299</definedName>
    <definedName name="後方確認用テレビカメラシステム">'リスト－仕様指示書－'!$D$268:$M$289</definedName>
    <definedName name="後輪前に泥除け鋼板">'リスト－仕様指示書－'!$D$211:$M$213</definedName>
    <definedName name="左折後退音声アラーム">'リスト－仕様指示書－'!$D$373:$M$378</definedName>
    <definedName name="作業灯">'リスト－仕様指示書－'!$D$300:$M$320</definedName>
    <definedName name="作業灯スイッチ">'リスト－仕様指示書－'!$D$321:$M$324</definedName>
    <definedName name="作動油ドレンホース取付">'リスト－仕様指示書－'!$D$214:$M$216</definedName>
    <definedName name="仕様項目">'リスト－仕様指示書－'!$V$4:$V$113</definedName>
    <definedName name="車種仕様">'リスト－仕様指示書－'!$O$4:$O$11</definedName>
    <definedName name="車種仕様番号">'リスト－仕様指示書－'!$O$4:$Q$13</definedName>
    <definedName name="車輪止め">'リスト－仕様指示書－'!$D$473:$M$477</definedName>
    <definedName name="手袋入れ">'リスト－仕様指示書－'!$D$435:$M$442</definedName>
    <definedName name="手板入れ">'リスト－仕様指示書－'!$D$460:$M$464</definedName>
    <definedName name="集中グリスアップ" localSheetId="4">'リスト－仕様指示書－'!#REF!</definedName>
    <definedName name="集中グリスアップ" localSheetId="5">'リスト－仕様指示書－'!#REF!</definedName>
    <definedName name="集中グリスアップ">'リスト－仕様指示書－'!#REF!</definedName>
    <definedName name="消火器">'リスト－仕様指示書－'!$D$478:$M$485</definedName>
    <definedName name="消火器カバー">'リスト－仕様指示書－'!$D$486:$M$488</definedName>
    <definedName name="数量">'リスト－仕様指示書－'!$T$4:$T$14</definedName>
    <definedName name="積込操作盤">'リスト－仕様指示書－'!$D$145:$M$147</definedName>
    <definedName name="積込操作盤・緊急停止スイッチボックスガード取付">'リスト－仕様指示書－'!$D$151:$M$155</definedName>
    <definedName name="積込操作盤・緊急停止スイッチボックスガード取付_１５Ａパイプ" localSheetId="4">'リスト－仕様指示書－'!#REF!</definedName>
    <definedName name="積込操作盤・緊急停止スイッチボックスガード取付_１５Ａパイプ" localSheetId="5">'リスト－仕様指示書－'!#REF!</definedName>
    <definedName name="積込操作盤・緊急停止スイッチボックスガード取付_１５Ａパイプ">'リスト－仕様指示書－'!#REF!</definedName>
    <definedName name="積込操作盤・緊急停止スイッチボックスゴムカバー">'リスト－仕様指示書－'!$D$148:$M$150</definedName>
    <definedName name="積込操作盤ヒーター">'リスト－仕様指示書－'!$D$492:$M$494</definedName>
    <definedName name="積載_オルゴール">'リスト－仕様指示書－'!$D$546:$M$549</definedName>
    <definedName name="積載_その他">'リスト－仕様指示書－'!$D$584:$M$598</definedName>
    <definedName name="積載_タイヤキャリア">'リスト－仕様指示書－'!$D$581:$M$583</definedName>
    <definedName name="積載_タイヤ灯">'リスト－仕様指示書－'!$D$541:$M$544</definedName>
    <definedName name="積載_後方確認用テレビカメラシステム">'リスト－仕様指示書－'!$D$512:$M$533</definedName>
    <definedName name="積載_作業灯">'リスト－仕様指示書－'!$D$534:$M$539</definedName>
    <definedName name="積載_消火器">'リスト－仕様指示書－'!$D$575:$M$579</definedName>
    <definedName name="積載_道具箱">'リスト－仕様指示書－'!$D$550:$M$571</definedName>
    <definedName name="設定・解除スイッチ">'リスト－仕様指示書－'!$D$244:$M$246</definedName>
    <definedName name="洗車ブラシ立て">'リスト－仕様指示書－'!$D$453:$M$455</definedName>
    <definedName name="掃除口取付">'リスト－仕様指示書－'!$D$21:$M$23</definedName>
    <definedName name="側板二重張り">'リスト－仕様指示書－'!$D$93:$M$96</definedName>
    <definedName name="耐寒グリース">'リスト－仕様指示書－'!$D$489:$M$491</definedName>
    <definedName name="泥除けゴムに巻き込み防止枠兼振れ止め取付">'リスト－仕様指示書－'!$D$198:$M$201</definedName>
    <definedName name="泥除ゴムに後方移設プレート取付">'リスト－仕様指示書－'!$D$202:$M$206</definedName>
    <definedName name="天井カバー">'リスト－仕様指示書－'!$D$166:$M$168</definedName>
    <definedName name="天井枠フック">'リスト－仕様指示書－'!$D$49:$M$56</definedName>
    <definedName name="天井枠取付">'リスト－仕様指示書－'!$D$38:$M$48</definedName>
    <definedName name="電装パネル">'リスト－仕様指示書－'!$D$241:$M$243</definedName>
    <definedName name="道具箱">'リスト－仕様指示書－'!$D$386:$M$410</definedName>
    <definedName name="道具箱追加">'リスト－仕様指示書－'!$D$411:$M$434</definedName>
    <definedName name="特殊仕様">'リスト－仕様指示書－'!$D$504:$M$505</definedName>
    <definedName name="難燃処理">'リスト－仕様指示書－'!$D$383:$M$385</definedName>
    <definedName name="排出板下にゴム板">'リスト－仕様指示書－'!$D$18:$M$20</definedName>
    <definedName name="配線接続位置">'リスト－仕様指示書－'!$D$367:$M$369</definedName>
    <definedName name="飛散防止装置取付">'リスト－仕様指示書－'!$D$111:$M$118</definedName>
    <definedName name="標準ラベル類">'リスト－仕様指示書－'!$D$509:$M$511</definedName>
    <definedName name="補助方向指示器">'リスト－仕様指示書－'!$D$325:$M$327</definedName>
    <definedName name="箕掛け">'リスト－仕様指示書－'!$D$465:$M$467</definedName>
    <definedName name="油圧ポンプ">'リスト－仕様指示書－'!$D$192:$M$194</definedName>
    <definedName name="列番号_車種">'リスト－仕様指示書－'!$Q$4:$Q$13</definedName>
    <definedName name="連絡ブザー用押しボタンスイッチを右側に増設">'リスト－仕様指示書－'!$D$156:$M$158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5" i="13" l="1"/>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4" i="13"/>
  <c r="E127" i="13" l="1"/>
  <c r="E126" i="13"/>
  <c r="E125" i="13"/>
  <c r="E124" i="13"/>
  <c r="E123" i="13"/>
  <c r="E122" i="13"/>
  <c r="E121" i="13"/>
  <c r="E120" i="13"/>
  <c r="E119" i="13"/>
  <c r="E535" i="13"/>
  <c r="E534" i="13"/>
  <c r="E533" i="13"/>
  <c r="E532" i="13"/>
  <c r="E531" i="13"/>
  <c r="E530" i="13"/>
  <c r="E529" i="13"/>
  <c r="E528" i="13"/>
  <c r="E527" i="13"/>
  <c r="E526" i="13"/>
  <c r="E525" i="13"/>
  <c r="E524" i="13"/>
  <c r="E523" i="13"/>
  <c r="E522" i="13"/>
  <c r="E521" i="13"/>
  <c r="E520" i="13"/>
  <c r="E519" i="13"/>
  <c r="E518" i="13"/>
  <c r="E517" i="13"/>
  <c r="E516" i="13"/>
  <c r="E515" i="13"/>
  <c r="E514" i="13"/>
  <c r="E513" i="13"/>
  <c r="E512" i="13"/>
  <c r="E511" i="13"/>
  <c r="E510" i="13"/>
  <c r="E509" i="13"/>
  <c r="E508" i="13"/>
  <c r="E507" i="13"/>
  <c r="E506" i="13"/>
  <c r="E505" i="13"/>
  <c r="E504" i="13"/>
  <c r="E503" i="13"/>
  <c r="E502" i="13"/>
  <c r="E501" i="13"/>
  <c r="E500" i="13"/>
  <c r="E499" i="13"/>
  <c r="E498" i="13"/>
  <c r="E497" i="13"/>
  <c r="E496" i="13"/>
  <c r="E495" i="13"/>
  <c r="E494" i="13"/>
  <c r="E493" i="13"/>
  <c r="E492" i="13"/>
  <c r="E491" i="13"/>
  <c r="E490" i="13"/>
  <c r="E489" i="13"/>
  <c r="E488" i="13"/>
  <c r="E487" i="13"/>
  <c r="E486" i="13"/>
  <c r="E485" i="13"/>
  <c r="E484" i="13"/>
  <c r="E483" i="13"/>
  <c r="E482" i="13"/>
  <c r="E481" i="13"/>
  <c r="E480" i="13"/>
  <c r="E479" i="13"/>
  <c r="E478" i="13"/>
  <c r="E477" i="13"/>
  <c r="E476" i="13"/>
  <c r="E475" i="13"/>
  <c r="E474" i="13"/>
  <c r="E473" i="13"/>
  <c r="E472" i="13"/>
  <c r="E471" i="13"/>
  <c r="E470" i="13"/>
  <c r="E469" i="13"/>
  <c r="E468" i="13"/>
  <c r="E467" i="13"/>
  <c r="E466" i="13"/>
  <c r="E465" i="13"/>
  <c r="E464" i="13"/>
  <c r="E463" i="13"/>
  <c r="E462" i="13"/>
  <c r="E461" i="13"/>
  <c r="E460" i="13"/>
  <c r="E459" i="13"/>
  <c r="E458" i="13"/>
  <c r="E457" i="13"/>
  <c r="E456" i="13"/>
  <c r="E455" i="13"/>
  <c r="E1048576" i="13"/>
  <c r="E454" i="13"/>
  <c r="E453" i="13"/>
  <c r="E452" i="13"/>
  <c r="E451" i="13"/>
  <c r="E450" i="13"/>
  <c r="Z16" i="17" l="1"/>
  <c r="AD15" i="17"/>
  <c r="M15" i="17"/>
  <c r="E15" i="17"/>
  <c r="AN44" i="17" s="1"/>
  <c r="AA13" i="17"/>
  <c r="P13" i="17"/>
  <c r="E13" i="17"/>
  <c r="W12" i="17"/>
  <c r="AP43" i="17" s="1"/>
  <c r="W11" i="17"/>
  <c r="E11" i="17"/>
  <c r="I10" i="17"/>
  <c r="AM42" i="17" s="1"/>
  <c r="AI9" i="17"/>
  <c r="AH9" i="17"/>
  <c r="AH8" i="17"/>
  <c r="AB7" i="17"/>
  <c r="P7" i="17"/>
  <c r="M7" i="17"/>
  <c r="AR44" i="17" s="1"/>
  <c r="J7" i="17"/>
  <c r="A7" i="17"/>
  <c r="AQ44" i="17" s="1"/>
  <c r="R3" i="17"/>
  <c r="AP42" i="16"/>
  <c r="AP38" i="16"/>
  <c r="AP35" i="16"/>
  <c r="AN33" i="16"/>
  <c r="AP30" i="16"/>
  <c r="AP28" i="16"/>
  <c r="AP26" i="16"/>
  <c r="Z16" i="16"/>
  <c r="AD15" i="16"/>
  <c r="M15" i="16"/>
  <c r="E15" i="16"/>
  <c r="AN44" i="16" s="1"/>
  <c r="AA13" i="16"/>
  <c r="P13" i="16"/>
  <c r="E13" i="16"/>
  <c r="W12" i="16"/>
  <c r="AP43" i="16" s="1"/>
  <c r="W11" i="16"/>
  <c r="E11" i="16"/>
  <c r="I10" i="16"/>
  <c r="AM36" i="16" s="1"/>
  <c r="AI9" i="16"/>
  <c r="AH9" i="16"/>
  <c r="AH8" i="16" s="1"/>
  <c r="AB7" i="16"/>
  <c r="P7" i="16"/>
  <c r="M7" i="16"/>
  <c r="AR44" i="16" s="1"/>
  <c r="J7" i="16"/>
  <c r="A7" i="16"/>
  <c r="AQ42" i="16" s="1"/>
  <c r="R3" i="16"/>
  <c r="AR23" i="16" l="1"/>
  <c r="AN22" i="16"/>
  <c r="AN27" i="16"/>
  <c r="AP31" i="16"/>
  <c r="AN39" i="16"/>
  <c r="AP20" i="16"/>
  <c r="AP22" i="16"/>
  <c r="AN25" i="16"/>
  <c r="AP27" i="16"/>
  <c r="AR29" i="16"/>
  <c r="AR31" i="16"/>
  <c r="AP34" i="16"/>
  <c r="AP36" i="16"/>
  <c r="AN41" i="16"/>
  <c r="AP44" i="16"/>
  <c r="AP26" i="17"/>
  <c r="AP32" i="17"/>
  <c r="AR39" i="17"/>
  <c r="AN20" i="16"/>
  <c r="AN24" i="16"/>
  <c r="AN29" i="16"/>
  <c r="AP33" i="16"/>
  <c r="AN36" i="16"/>
  <c r="AR43" i="16"/>
  <c r="AN21" i="16"/>
  <c r="AP23" i="16"/>
  <c r="AP25" i="16"/>
  <c r="AN28" i="16"/>
  <c r="AN30" i="16"/>
  <c r="AN32" i="16"/>
  <c r="AN35" i="16"/>
  <c r="AN37" i="16"/>
  <c r="AR41" i="16"/>
  <c r="AN21" i="17"/>
  <c r="AN27" i="17"/>
  <c r="AP34" i="17"/>
  <c r="AP40" i="17"/>
  <c r="AR23" i="17"/>
  <c r="AN29" i="17"/>
  <c r="AN35" i="17"/>
  <c r="AP42" i="17"/>
  <c r="AR21" i="16"/>
  <c r="AP24" i="17"/>
  <c r="AR31" i="17"/>
  <c r="AN37" i="17"/>
  <c r="AN43" i="17"/>
  <c r="AR21" i="17"/>
  <c r="AR29" i="17"/>
  <c r="AR37" i="17"/>
  <c r="AR25" i="16"/>
  <c r="AR33" i="16"/>
  <c r="AR39" i="16"/>
  <c r="AP22" i="17"/>
  <c r="AN25" i="17"/>
  <c r="AR27" i="17"/>
  <c r="AP30" i="17"/>
  <c r="AN33" i="17"/>
  <c r="AR35" i="17"/>
  <c r="AP38" i="17"/>
  <c r="AN41" i="17"/>
  <c r="AR43" i="17"/>
  <c r="AP21" i="16"/>
  <c r="AN23" i="16"/>
  <c r="AP24" i="16"/>
  <c r="AN26" i="16"/>
  <c r="AR27" i="16"/>
  <c r="AP29" i="16"/>
  <c r="AN31" i="16"/>
  <c r="AP32" i="16"/>
  <c r="AN34" i="16"/>
  <c r="AR35" i="16"/>
  <c r="AR37" i="16"/>
  <c r="AP40" i="16"/>
  <c r="AN43" i="16"/>
  <c r="AP20" i="17"/>
  <c r="AN23" i="17"/>
  <c r="AR25" i="17"/>
  <c r="AP28" i="17"/>
  <c r="AN31" i="17"/>
  <c r="AR33" i="17"/>
  <c r="AP36" i="17"/>
  <c r="AN39" i="17"/>
  <c r="AR41" i="17"/>
  <c r="AP44" i="17"/>
  <c r="AQ20" i="17"/>
  <c r="AM22" i="17"/>
  <c r="AQ24" i="17"/>
  <c r="AM26" i="17"/>
  <c r="AQ28" i="17"/>
  <c r="AM30" i="17"/>
  <c r="AQ32" i="17"/>
  <c r="AM34" i="17"/>
  <c r="AQ36" i="17"/>
  <c r="AM38" i="17"/>
  <c r="AQ40" i="17"/>
  <c r="AQ42" i="17"/>
  <c r="AM44" i="17"/>
  <c r="AM21" i="17"/>
  <c r="AQ21" i="17"/>
  <c r="AM23" i="17"/>
  <c r="AQ23" i="17"/>
  <c r="AM25" i="17"/>
  <c r="AQ25" i="17"/>
  <c r="AM27" i="17"/>
  <c r="AQ27" i="17"/>
  <c r="AM29" i="17"/>
  <c r="AQ29" i="17"/>
  <c r="AM31" i="17"/>
  <c r="AQ31" i="17"/>
  <c r="AM33" i="17"/>
  <c r="AQ33" i="17"/>
  <c r="AM35" i="17"/>
  <c r="AQ35" i="17"/>
  <c r="AM37" i="17"/>
  <c r="AQ37" i="17"/>
  <c r="AM39" i="17"/>
  <c r="AQ39" i="17"/>
  <c r="AM41" i="17"/>
  <c r="AQ41" i="17"/>
  <c r="AM43" i="17"/>
  <c r="AQ43" i="17"/>
  <c r="AM20" i="17"/>
  <c r="AQ22" i="17"/>
  <c r="AM24" i="17"/>
  <c r="AQ26" i="17"/>
  <c r="AM28" i="17"/>
  <c r="AQ30" i="17"/>
  <c r="AM32" i="17"/>
  <c r="AQ34" i="17"/>
  <c r="AM36" i="17"/>
  <c r="AQ38" i="17"/>
  <c r="AM40" i="17"/>
  <c r="AN20" i="17"/>
  <c r="AR20" i="17"/>
  <c r="AP21" i="17"/>
  <c r="AN22" i="17"/>
  <c r="AR22" i="17"/>
  <c r="AP23" i="17"/>
  <c r="AN24" i="17"/>
  <c r="AR24" i="17"/>
  <c r="AP25" i="17"/>
  <c r="AN26" i="17"/>
  <c r="AR26" i="17"/>
  <c r="AP27" i="17"/>
  <c r="AN28" i="17"/>
  <c r="AR28" i="17"/>
  <c r="AP29" i="17"/>
  <c r="AN30" i="17"/>
  <c r="AR30" i="17"/>
  <c r="AP31" i="17"/>
  <c r="AN32" i="17"/>
  <c r="AR32" i="17"/>
  <c r="AP33" i="17"/>
  <c r="AN34" i="17"/>
  <c r="AR34" i="17"/>
  <c r="AP35" i="17"/>
  <c r="AN36" i="17"/>
  <c r="AR36" i="17"/>
  <c r="AP37" i="17"/>
  <c r="AN38" i="17"/>
  <c r="AR38" i="17"/>
  <c r="AP39" i="17"/>
  <c r="AN40" i="17"/>
  <c r="AR40" i="17"/>
  <c r="AP41" i="17"/>
  <c r="AN42" i="17"/>
  <c r="AR42" i="17"/>
  <c r="AM20" i="16"/>
  <c r="AQ22" i="16"/>
  <c r="AM24" i="16"/>
  <c r="AQ26" i="16"/>
  <c r="AM28" i="16"/>
  <c r="AQ30" i="16"/>
  <c r="AM32" i="16"/>
  <c r="AQ34" i="16"/>
  <c r="AQ36" i="16"/>
  <c r="AM38" i="16"/>
  <c r="AQ38" i="16"/>
  <c r="AM40" i="16"/>
  <c r="AQ40" i="16"/>
  <c r="AM42" i="16"/>
  <c r="AM44" i="16"/>
  <c r="AQ44" i="16"/>
  <c r="AR22" i="16"/>
  <c r="AR32" i="16"/>
  <c r="AM21" i="16"/>
  <c r="AQ21" i="16"/>
  <c r="AM23" i="16"/>
  <c r="AQ23" i="16"/>
  <c r="AM25" i="16"/>
  <c r="AQ25" i="16"/>
  <c r="AM27" i="16"/>
  <c r="AQ27" i="16"/>
  <c r="AM29" i="16"/>
  <c r="AQ29" i="16"/>
  <c r="AM31" i="16"/>
  <c r="AQ31" i="16"/>
  <c r="AM33" i="16"/>
  <c r="AQ33" i="16"/>
  <c r="AM35" i="16"/>
  <c r="AQ35" i="16"/>
  <c r="AM37" i="16"/>
  <c r="AQ37" i="16"/>
  <c r="AM39" i="16"/>
  <c r="AQ39" i="16"/>
  <c r="AM41" i="16"/>
  <c r="AQ41" i="16"/>
  <c r="AM43" i="16"/>
  <c r="AQ43" i="16"/>
  <c r="AQ20" i="16"/>
  <c r="AM22" i="16"/>
  <c r="AQ24" i="16"/>
  <c r="AM26" i="16"/>
  <c r="AQ28" i="16"/>
  <c r="AM30" i="16"/>
  <c r="AQ32" i="16"/>
  <c r="AM34" i="16"/>
  <c r="AR20" i="16"/>
  <c r="AR24" i="16"/>
  <c r="AR26" i="16"/>
  <c r="AR28" i="16"/>
  <c r="AR30" i="16"/>
  <c r="AR34" i="16"/>
  <c r="AR36" i="16"/>
  <c r="AP37" i="16"/>
  <c r="AN38" i="16"/>
  <c r="AR38" i="16"/>
  <c r="AP39" i="16"/>
  <c r="AN40" i="16"/>
  <c r="AR40" i="16"/>
  <c r="AP41" i="16"/>
  <c r="AN42" i="16"/>
  <c r="AR42" i="16"/>
  <c r="C33" i="11"/>
  <c r="AG16" i="4" l="1"/>
  <c r="E99" i="12"/>
  <c r="C99" i="11"/>
  <c r="C99" i="12" s="1"/>
  <c r="G100" i="12"/>
  <c r="G101" i="12"/>
  <c r="G102" i="12"/>
  <c r="G103" i="12"/>
  <c r="G104" i="12"/>
  <c r="G105" i="12"/>
  <c r="G106" i="12"/>
  <c r="C100" i="11"/>
  <c r="C100" i="12" s="1"/>
  <c r="C101" i="11"/>
  <c r="C101" i="12" s="1"/>
  <c r="C102" i="11"/>
  <c r="K102" i="11" s="1"/>
  <c r="C103" i="11"/>
  <c r="K103" i="11" s="1"/>
  <c r="C104" i="11"/>
  <c r="K104" i="11" s="1"/>
  <c r="C105" i="11"/>
  <c r="K105" i="11" s="1"/>
  <c r="C106" i="11"/>
  <c r="K106" i="11" s="1"/>
  <c r="C107" i="11"/>
  <c r="K107" i="11" s="1"/>
  <c r="C108" i="11"/>
  <c r="K108" i="11" s="1"/>
  <c r="C109" i="11"/>
  <c r="K109" i="11" s="1"/>
  <c r="C110" i="11"/>
  <c r="K110" i="11" s="1"/>
  <c r="C111" i="11"/>
  <c r="K111" i="11" s="1"/>
  <c r="C98" i="11"/>
  <c r="K98" i="11" s="1"/>
  <c r="C97" i="11"/>
  <c r="C97" i="12" s="1"/>
  <c r="C96" i="11"/>
  <c r="K96" i="11" s="1"/>
  <c r="C95" i="11"/>
  <c r="C95" i="12" s="1"/>
  <c r="C94" i="11"/>
  <c r="C94" i="12" s="1"/>
  <c r="C93" i="11"/>
  <c r="K93" i="11" s="1"/>
  <c r="C92" i="11"/>
  <c r="K92" i="11" s="1"/>
  <c r="C91" i="11"/>
  <c r="C91" i="12" s="1"/>
  <c r="C90" i="11"/>
  <c r="K90" i="11" s="1"/>
  <c r="C89" i="11"/>
  <c r="C89" i="12" s="1"/>
  <c r="C88" i="11"/>
  <c r="K88" i="11" s="1"/>
  <c r="C87" i="11"/>
  <c r="K87" i="11" s="1"/>
  <c r="C86" i="11"/>
  <c r="C86" i="12" s="1"/>
  <c r="C85" i="11"/>
  <c r="K85" i="11" s="1"/>
  <c r="C84" i="11"/>
  <c r="K84" i="11" s="1"/>
  <c r="C83" i="11"/>
  <c r="C83" i="12" s="1"/>
  <c r="C82" i="11"/>
  <c r="K82" i="11" s="1"/>
  <c r="C81" i="11"/>
  <c r="C81" i="12" s="1"/>
  <c r="C80" i="11"/>
  <c r="K80" i="11" s="1"/>
  <c r="C79" i="11"/>
  <c r="K79" i="11" s="1"/>
  <c r="C78" i="11"/>
  <c r="C78" i="12" s="1"/>
  <c r="C77" i="11"/>
  <c r="K77" i="11" s="1"/>
  <c r="C76" i="11"/>
  <c r="C76" i="12" s="1"/>
  <c r="C75" i="11"/>
  <c r="K75" i="11" s="1"/>
  <c r="C74" i="11"/>
  <c r="K74" i="11" s="1"/>
  <c r="C73" i="11"/>
  <c r="C73" i="12" s="1"/>
  <c r="C72" i="11"/>
  <c r="K72" i="11" s="1"/>
  <c r="C71" i="11"/>
  <c r="K71" i="11" s="1"/>
  <c r="C70" i="11"/>
  <c r="C70" i="12" s="1"/>
  <c r="C69" i="11"/>
  <c r="C69" i="12" s="1"/>
  <c r="C68" i="11"/>
  <c r="C68" i="12" s="1"/>
  <c r="C67" i="11"/>
  <c r="C66" i="11"/>
  <c r="K66" i="11" s="1"/>
  <c r="C65" i="11"/>
  <c r="K65" i="11" s="1"/>
  <c r="C64" i="11"/>
  <c r="K64" i="11" s="1"/>
  <c r="C63" i="11"/>
  <c r="C63" i="12" s="1"/>
  <c r="C62" i="11"/>
  <c r="C62" i="12" s="1"/>
  <c r="C61" i="11"/>
  <c r="K61" i="11" s="1"/>
  <c r="C60" i="11"/>
  <c r="K60" i="11" s="1"/>
  <c r="C59" i="11"/>
  <c r="K59" i="11" s="1"/>
  <c r="C58" i="11"/>
  <c r="K58" i="11" s="1"/>
  <c r="C57" i="11"/>
  <c r="K57" i="11" s="1"/>
  <c r="C56" i="11"/>
  <c r="K56" i="11" s="1"/>
  <c r="C55" i="11"/>
  <c r="K55" i="11" s="1"/>
  <c r="C54" i="11"/>
  <c r="C54" i="12" s="1"/>
  <c r="C51" i="11"/>
  <c r="K51" i="11" s="1"/>
  <c r="C53" i="11"/>
  <c r="K53" i="11" s="1"/>
  <c r="C52" i="11"/>
  <c r="K52" i="11" s="1"/>
  <c r="C50" i="11"/>
  <c r="K50" i="11" s="1"/>
  <c r="C49" i="11"/>
  <c r="K49" i="11" s="1"/>
  <c r="C48" i="11"/>
  <c r="K48" i="11" s="1"/>
  <c r="C47" i="11"/>
  <c r="K47" i="11" s="1"/>
  <c r="C46" i="11"/>
  <c r="C46" i="12" s="1"/>
  <c r="C45" i="11"/>
  <c r="K45" i="11" s="1"/>
  <c r="C44" i="11"/>
  <c r="C44" i="12" s="1"/>
  <c r="C43" i="11"/>
  <c r="K43" i="11" s="1"/>
  <c r="C42" i="11"/>
  <c r="K42" i="11" s="1"/>
  <c r="C41" i="11"/>
  <c r="K41" i="11" s="1"/>
  <c r="C40" i="11"/>
  <c r="C40" i="12" s="1"/>
  <c r="C39" i="11"/>
  <c r="K39" i="11" s="1"/>
  <c r="C38" i="11"/>
  <c r="C38" i="12" s="1"/>
  <c r="C37" i="11"/>
  <c r="K37" i="11" s="1"/>
  <c r="C36" i="11"/>
  <c r="C36" i="12" s="1"/>
  <c r="C35" i="11"/>
  <c r="K35" i="11" s="1"/>
  <c r="C34" i="11"/>
  <c r="K34" i="11" s="1"/>
  <c r="K33" i="11"/>
  <c r="C32" i="11"/>
  <c r="C32" i="12" s="1"/>
  <c r="C31" i="11"/>
  <c r="K31" i="11" s="1"/>
  <c r="C30" i="11"/>
  <c r="C30" i="12" s="1"/>
  <c r="C29" i="11"/>
  <c r="K29" i="11" s="1"/>
  <c r="C28" i="11"/>
  <c r="K28" i="11" s="1"/>
  <c r="C27" i="11"/>
  <c r="K27" i="11" s="1"/>
  <c r="C26" i="11"/>
  <c r="K26" i="11" s="1"/>
  <c r="C25" i="11"/>
  <c r="K25" i="11" s="1"/>
  <c r="C24" i="11"/>
  <c r="C24" i="12" s="1"/>
  <c r="C23" i="11"/>
  <c r="K23" i="11" s="1"/>
  <c r="C22" i="11"/>
  <c r="C22" i="12" s="1"/>
  <c r="C21" i="11"/>
  <c r="K21" i="11" s="1"/>
  <c r="C20" i="11"/>
  <c r="K20" i="11" s="1"/>
  <c r="C19" i="11"/>
  <c r="K19" i="11" s="1"/>
  <c r="C18" i="11"/>
  <c r="K18" i="11" s="1"/>
  <c r="C17" i="11"/>
  <c r="K17" i="11" s="1"/>
  <c r="C16" i="11"/>
  <c r="K16" i="11" s="1"/>
  <c r="C15" i="11"/>
  <c r="K15" i="11" s="1"/>
  <c r="C14" i="11"/>
  <c r="C14" i="12" s="1"/>
  <c r="C13" i="11"/>
  <c r="C13" i="12" s="1"/>
  <c r="C12" i="11"/>
  <c r="K12" i="11" s="1"/>
  <c r="C11" i="11"/>
  <c r="C10" i="11"/>
  <c r="C10" i="12" s="1"/>
  <c r="C9" i="11"/>
  <c r="K9" i="11" s="1"/>
  <c r="C8" i="11"/>
  <c r="C8" i="12" s="1"/>
  <c r="C7" i="11"/>
  <c r="C7" i="12" s="1"/>
  <c r="C115" i="11"/>
  <c r="C115" i="12" s="1"/>
  <c r="G107" i="12"/>
  <c r="G109" i="12"/>
  <c r="G110" i="12"/>
  <c r="G111" i="12"/>
  <c r="G112" i="12"/>
  <c r="G113" i="12"/>
  <c r="G114" i="12"/>
  <c r="G115" i="12"/>
  <c r="G116" i="12"/>
  <c r="G117" i="12"/>
  <c r="G108" i="12"/>
  <c r="E75" i="12"/>
  <c r="E73" i="12"/>
  <c r="J73" i="11"/>
  <c r="J74" i="11"/>
  <c r="J75" i="11"/>
  <c r="C5" i="11"/>
  <c r="K5" i="11" s="1"/>
  <c r="C6" i="11"/>
  <c r="C6" i="12" s="1"/>
  <c r="C112" i="11"/>
  <c r="C112" i="12" s="1"/>
  <c r="C113" i="11"/>
  <c r="C113" i="12" s="1"/>
  <c r="C114" i="11"/>
  <c r="K114" i="11" s="1"/>
  <c r="C116" i="11"/>
  <c r="K116" i="11" s="1"/>
  <c r="C117" i="11"/>
  <c r="K117" i="11" s="1"/>
  <c r="C4" i="11"/>
  <c r="C4" i="12" s="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6" i="11"/>
  <c r="J77" i="11"/>
  <c r="J78" i="11"/>
  <c r="J79" i="11"/>
  <c r="J80" i="11"/>
  <c r="J81" i="11"/>
  <c r="J82" i="11"/>
  <c r="J83" i="11"/>
  <c r="J84" i="11"/>
  <c r="J85" i="11"/>
  <c r="J86" i="11"/>
  <c r="J87" i="11"/>
  <c r="J88" i="11"/>
  <c r="J89" i="11"/>
  <c r="J90" i="11"/>
  <c r="J91" i="11"/>
  <c r="J92" i="11"/>
  <c r="J93" i="11"/>
  <c r="J94" i="11"/>
  <c r="J95" i="11"/>
  <c r="J96" i="11"/>
  <c r="J97" i="11"/>
  <c r="J98" i="11"/>
  <c r="J100" i="11"/>
  <c r="J101" i="11"/>
  <c r="J102" i="11"/>
  <c r="J103" i="11"/>
  <c r="J104" i="11"/>
  <c r="J105" i="11"/>
  <c r="J106" i="11"/>
  <c r="J107" i="11"/>
  <c r="J108" i="11"/>
  <c r="J109" i="11"/>
  <c r="J110" i="11"/>
  <c r="J111" i="11"/>
  <c r="J112" i="11"/>
  <c r="J113" i="11"/>
  <c r="J114" i="11"/>
  <c r="J115" i="11"/>
  <c r="J116" i="11"/>
  <c r="J117" i="11"/>
  <c r="J5" i="11"/>
  <c r="J6" i="11"/>
  <c r="J7" i="11"/>
  <c r="J4" i="11"/>
  <c r="D1" i="13"/>
  <c r="E101" i="12"/>
  <c r="E102" i="12"/>
  <c r="E103" i="12"/>
  <c r="E88" i="12"/>
  <c r="E107" i="12"/>
  <c r="E108" i="12"/>
  <c r="E109" i="12"/>
  <c r="E110" i="12"/>
  <c r="E111" i="12"/>
  <c r="E112" i="12"/>
  <c r="E113" i="12"/>
  <c r="E114" i="12"/>
  <c r="E115" i="12"/>
  <c r="E116" i="12"/>
  <c r="E117" i="12"/>
  <c r="R3" i="9"/>
  <c r="S4" i="13"/>
  <c r="I6" i="8"/>
  <c r="I7" i="8"/>
  <c r="I8" i="8"/>
  <c r="O8" i="8"/>
  <c r="O38" i="8" s="1"/>
  <c r="I9" i="8"/>
  <c r="AH1" i="6"/>
  <c r="AH34" i="6" s="1"/>
  <c r="AR1" i="6"/>
  <c r="AR34" i="6" s="1"/>
  <c r="O6" i="6"/>
  <c r="O39" i="6" s="1"/>
  <c r="I7" i="6"/>
  <c r="I40" i="6" s="1"/>
  <c r="AJ1" i="8"/>
  <c r="AR1" i="8"/>
  <c r="AR33" i="8" s="1"/>
  <c r="AH6" i="8"/>
  <c r="AK6" i="8"/>
  <c r="AD7" i="8"/>
  <c r="AG7" i="8"/>
  <c r="AJ33" i="8"/>
  <c r="I36" i="8"/>
  <c r="A7" i="9"/>
  <c r="AQ21" i="9" s="1"/>
  <c r="J7" i="9"/>
  <c r="M7" i="9"/>
  <c r="AR21" i="9" s="1"/>
  <c r="P7" i="9"/>
  <c r="AB7" i="9"/>
  <c r="AH9" i="9"/>
  <c r="AH8" i="9"/>
  <c r="AI9" i="9"/>
  <c r="I10" i="9"/>
  <c r="AM23" i="9" s="1"/>
  <c r="E11" i="9"/>
  <c r="W11" i="9"/>
  <c r="W12" i="9"/>
  <c r="AP20" i="9" s="1"/>
  <c r="E13" i="9"/>
  <c r="P13" i="9"/>
  <c r="AA13" i="9"/>
  <c r="E15" i="9"/>
  <c r="AN23" i="9" s="1"/>
  <c r="M15" i="9"/>
  <c r="AD15" i="9"/>
  <c r="Z16" i="9"/>
  <c r="AN20" i="9"/>
  <c r="AM22" i="9"/>
  <c r="AR37" i="9"/>
  <c r="AR44" i="9"/>
  <c r="D1" i="11"/>
  <c r="D1" i="12" s="1"/>
  <c r="E1" i="12"/>
  <c r="F1" i="11"/>
  <c r="F1" i="12" s="1"/>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4" i="12"/>
  <c r="E76" i="12"/>
  <c r="E77" i="12"/>
  <c r="E78" i="12"/>
  <c r="E79" i="12"/>
  <c r="E80" i="12"/>
  <c r="E81" i="12"/>
  <c r="E82" i="12"/>
  <c r="E83" i="12"/>
  <c r="E84" i="12"/>
  <c r="E85" i="12"/>
  <c r="E86" i="12"/>
  <c r="E87" i="12"/>
  <c r="E89" i="12"/>
  <c r="E90" i="12"/>
  <c r="E91" i="12"/>
  <c r="E92" i="12"/>
  <c r="E93" i="12"/>
  <c r="E94" i="12"/>
  <c r="E95" i="12"/>
  <c r="E96" i="12"/>
  <c r="E97" i="12"/>
  <c r="E98" i="12"/>
  <c r="E100" i="12"/>
  <c r="E104" i="12"/>
  <c r="E105" i="12"/>
  <c r="E106" i="12"/>
  <c r="AP43" i="4"/>
  <c r="AQ35" i="9"/>
  <c r="AQ23" i="9"/>
  <c r="AQ38" i="9"/>
  <c r="AQ26" i="9"/>
  <c r="AQ41" i="9"/>
  <c r="AQ33" i="9"/>
  <c r="AP40" i="9"/>
  <c r="AR29" i="9"/>
  <c r="AM42" i="9"/>
  <c r="AM34" i="9"/>
  <c r="AM26" i="9"/>
  <c r="AM38" i="9"/>
  <c r="AP36" i="9"/>
  <c r="AM31" i="9"/>
  <c r="AM39" i="9"/>
  <c r="AM20" i="9"/>
  <c r="AM28" i="9"/>
  <c r="AM36" i="9"/>
  <c r="AM44" i="9"/>
  <c r="AM25" i="9"/>
  <c r="AM33" i="9"/>
  <c r="AM41" i="9"/>
  <c r="AP35" i="9"/>
  <c r="AQ32" i="9"/>
  <c r="K119" i="11"/>
  <c r="AN35" i="9" l="1"/>
  <c r="AR40" i="9"/>
  <c r="AM30" i="9"/>
  <c r="AQ24" i="9"/>
  <c r="AM37" i="9"/>
  <c r="AM21" i="9"/>
  <c r="AM32" i="9"/>
  <c r="AM43" i="9"/>
  <c r="AM27" i="9"/>
  <c r="AQ20" i="9"/>
  <c r="AQ36" i="9"/>
  <c r="AR33" i="9"/>
  <c r="AQ37" i="9"/>
  <c r="AQ30" i="9"/>
  <c r="AQ31" i="9"/>
  <c r="AR43" i="9"/>
  <c r="AR35" i="9"/>
  <c r="AN26" i="9"/>
  <c r="AM29" i="9"/>
  <c r="AM40" i="9"/>
  <c r="AM24" i="9"/>
  <c r="AM35" i="9"/>
  <c r="AQ40" i="9"/>
  <c r="AQ28" i="9"/>
  <c r="AQ44" i="9"/>
  <c r="AQ25" i="9"/>
  <c r="AQ22" i="9"/>
  <c r="AQ42" i="9"/>
  <c r="AQ39" i="9"/>
  <c r="AR39" i="9"/>
  <c r="AR32" i="9"/>
  <c r="K11" i="11"/>
  <c r="K67" i="11"/>
  <c r="T15" i="16"/>
  <c r="T15" i="17"/>
  <c r="L17" i="17"/>
  <c r="L17" i="16"/>
  <c r="K101" i="11"/>
  <c r="AN34" i="9"/>
  <c r="I39" i="8"/>
  <c r="AN36" i="9"/>
  <c r="AN28" i="9"/>
  <c r="AN38" i="9"/>
  <c r="AN30" i="9"/>
  <c r="AN27" i="9"/>
  <c r="AN21" i="9"/>
  <c r="AN37" i="9"/>
  <c r="AN29" i="9"/>
  <c r="AN22" i="9"/>
  <c r="AN39" i="9"/>
  <c r="I38" i="8"/>
  <c r="I6" i="6"/>
  <c r="I39" i="6" s="1"/>
  <c r="AP31" i="9"/>
  <c r="I5" i="6"/>
  <c r="I38" i="6" s="1"/>
  <c r="AP33" i="9"/>
  <c r="AP42" i="9"/>
  <c r="AP23" i="9"/>
  <c r="AP25" i="9"/>
  <c r="I37" i="8"/>
  <c r="AP28" i="9"/>
  <c r="AP27" i="9"/>
  <c r="AQ29" i="9"/>
  <c r="AQ34" i="9"/>
  <c r="AQ27" i="9"/>
  <c r="AQ43" i="9"/>
  <c r="AR27" i="9"/>
  <c r="AR24" i="9"/>
  <c r="AR25" i="9"/>
  <c r="AR41" i="9"/>
  <c r="AR38" i="9"/>
  <c r="AR36" i="9"/>
  <c r="AR34" i="9"/>
  <c r="AR30" i="9"/>
  <c r="AR28" i="9"/>
  <c r="AR26" i="9"/>
  <c r="AR22" i="9"/>
  <c r="AR20" i="9"/>
  <c r="AR42" i="9"/>
  <c r="AR31" i="9"/>
  <c r="AR23" i="9"/>
  <c r="C109" i="12"/>
  <c r="AP43" i="9"/>
  <c r="AP41" i="9"/>
  <c r="AP21" i="9"/>
  <c r="AP44" i="9"/>
  <c r="AP32" i="9"/>
  <c r="AP24" i="9"/>
  <c r="AP34" i="9"/>
  <c r="AP26" i="9"/>
  <c r="T15" i="9"/>
  <c r="AO25" i="9" s="1"/>
  <c r="AP38" i="9"/>
  <c r="AP29" i="9"/>
  <c r="AP37" i="9"/>
  <c r="AN44" i="9"/>
  <c r="AN43" i="9"/>
  <c r="AN42" i="9"/>
  <c r="AN41" i="9"/>
  <c r="AN40" i="9"/>
  <c r="AP39" i="9"/>
  <c r="AN33" i="9"/>
  <c r="AN32" i="9"/>
  <c r="AN31" i="9"/>
  <c r="AP30" i="9"/>
  <c r="AN25" i="9"/>
  <c r="AN24" i="9"/>
  <c r="AP22" i="9"/>
  <c r="I4" i="6"/>
  <c r="I37" i="6" s="1"/>
  <c r="AO33" i="9"/>
  <c r="C105" i="12"/>
  <c r="K100" i="11"/>
  <c r="C106" i="12"/>
  <c r="C111" i="12"/>
  <c r="K89" i="11"/>
  <c r="C74" i="12"/>
  <c r="C107" i="12"/>
  <c r="C116" i="12"/>
  <c r="C104" i="12"/>
  <c r="C114" i="12"/>
  <c r="C102" i="12"/>
  <c r="K113" i="11"/>
  <c r="K97" i="11"/>
  <c r="C87" i="12"/>
  <c r="K115" i="11"/>
  <c r="C110" i="12"/>
  <c r="C82" i="12"/>
  <c r="C75" i="12"/>
  <c r="C48" i="12"/>
  <c r="C117" i="12"/>
  <c r="K112" i="11"/>
  <c r="C42" i="12"/>
  <c r="K24" i="11"/>
  <c r="K30" i="11"/>
  <c r="C34" i="12"/>
  <c r="K40" i="11"/>
  <c r="C53" i="12"/>
  <c r="K68" i="11"/>
  <c r="K14" i="11"/>
  <c r="C92" i="12"/>
  <c r="K94" i="11"/>
  <c r="C98" i="12"/>
  <c r="C56" i="12"/>
  <c r="C64" i="12"/>
  <c r="C58" i="12"/>
  <c r="C50" i="12"/>
  <c r="K22" i="11"/>
  <c r="K70" i="11"/>
  <c r="C80" i="12"/>
  <c r="C26" i="12"/>
  <c r="C35" i="12"/>
  <c r="C37" i="12"/>
  <c r="K62" i="11"/>
  <c r="C67" i="12"/>
  <c r="C51" i="12"/>
  <c r="C85" i="12"/>
  <c r="K91" i="11"/>
  <c r="C96" i="12"/>
  <c r="C52" i="12"/>
  <c r="C43" i="12"/>
  <c r="C55" i="12"/>
  <c r="K63" i="11"/>
  <c r="K81" i="11"/>
  <c r="C23" i="12"/>
  <c r="C31" i="12"/>
  <c r="C41" i="12"/>
  <c r="C45" i="12"/>
  <c r="C47" i="12"/>
  <c r="C65" i="12"/>
  <c r="C71" i="12"/>
  <c r="K83" i="11"/>
  <c r="C11" i="12"/>
  <c r="C93" i="12"/>
  <c r="C19" i="12"/>
  <c r="K73" i="11"/>
  <c r="C15" i="12"/>
  <c r="C17" i="12"/>
  <c r="C21" i="12"/>
  <c r="C25" i="12"/>
  <c r="C27" i="12"/>
  <c r="C29" i="12"/>
  <c r="C33" i="12"/>
  <c r="C39" i="12"/>
  <c r="C49" i="12"/>
  <c r="C57" i="12"/>
  <c r="C59" i="12"/>
  <c r="C61" i="12"/>
  <c r="K69" i="11"/>
  <c r="C77" i="12"/>
  <c r="C79" i="12"/>
  <c r="K13" i="11"/>
  <c r="K4" i="11"/>
  <c r="K6" i="11"/>
  <c r="C103" i="12"/>
  <c r="K95" i="11"/>
  <c r="C16" i="12"/>
  <c r="C90" i="12"/>
  <c r="C88" i="12"/>
  <c r="C108" i="12"/>
  <c r="C5" i="12"/>
  <c r="K86" i="11"/>
  <c r="C84" i="12"/>
  <c r="K78" i="11"/>
  <c r="K76" i="11"/>
  <c r="C72" i="12"/>
  <c r="C66" i="12"/>
  <c r="K54" i="11"/>
  <c r="K46" i="11"/>
  <c r="K44" i="11"/>
  <c r="K38" i="11"/>
  <c r="K36" i="11"/>
  <c r="K32" i="11"/>
  <c r="C28" i="12"/>
  <c r="C20" i="12"/>
  <c r="C18" i="12"/>
  <c r="C12" i="12"/>
  <c r="K10" i="11"/>
  <c r="C9" i="12"/>
  <c r="K7" i="11"/>
  <c r="K8" i="11"/>
  <c r="C60" i="12"/>
  <c r="L17" i="9"/>
  <c r="AO37" i="9" l="1"/>
  <c r="AO26" i="9"/>
  <c r="AO37" i="16"/>
  <c r="AO29" i="16"/>
  <c r="AO41" i="16"/>
  <c r="AO26" i="16"/>
  <c r="AO34" i="16"/>
  <c r="AO42" i="16"/>
  <c r="AO31" i="16"/>
  <c r="AO25" i="16"/>
  <c r="AO35" i="16"/>
  <c r="AO39" i="16"/>
  <c r="AO24" i="16"/>
  <c r="AO32" i="16"/>
  <c r="AO40" i="16"/>
  <c r="AO27" i="16"/>
  <c r="AO21" i="16"/>
  <c r="AO43" i="16"/>
  <c r="AO22" i="16"/>
  <c r="AO30" i="16"/>
  <c r="AO38" i="16"/>
  <c r="AO23" i="16"/>
  <c r="AO33" i="16"/>
  <c r="AO20" i="16"/>
  <c r="AO28" i="16"/>
  <c r="AO36" i="16"/>
  <c r="AO44" i="16"/>
  <c r="AO30" i="9"/>
  <c r="AO36" i="9"/>
  <c r="AO31" i="9"/>
  <c r="AO43" i="17"/>
  <c r="AO23" i="17"/>
  <c r="AO39" i="17"/>
  <c r="AO22" i="17"/>
  <c r="AO30" i="17"/>
  <c r="AO38" i="17"/>
  <c r="AO33" i="17"/>
  <c r="AO35" i="17"/>
  <c r="AO20" i="17"/>
  <c r="AO28" i="17"/>
  <c r="AO36" i="17"/>
  <c r="AO44" i="17"/>
  <c r="AO29" i="17"/>
  <c r="AO31" i="17"/>
  <c r="AO41" i="17"/>
  <c r="AO26" i="17"/>
  <c r="AO34" i="17"/>
  <c r="AO42" i="17"/>
  <c r="AO25" i="17"/>
  <c r="AO27" i="17"/>
  <c r="AO24" i="17"/>
  <c r="AO32" i="17"/>
  <c r="AO40" i="17"/>
  <c r="AO21" i="17"/>
  <c r="AO37" i="17"/>
  <c r="AO42" i="9"/>
  <c r="AO44" i="9"/>
  <c r="AO21" i="9"/>
  <c r="AO23" i="9"/>
  <c r="AO24" i="9"/>
  <c r="AO43" i="9"/>
  <c r="AO35" i="9"/>
  <c r="AO29" i="9"/>
  <c r="AO27" i="9"/>
  <c r="AO22" i="9"/>
  <c r="AO38" i="9"/>
  <c r="AO20" i="9"/>
  <c r="AO39" i="9"/>
  <c r="AO28" i="9"/>
  <c r="AO41" i="9"/>
  <c r="AO32" i="9"/>
  <c r="AO34" i="9"/>
  <c r="AO4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Tsuji</author>
    <author>hidaka</author>
    <author>Okazaki</author>
    <author>Akaba</author>
    <author>TJ-EIG20</author>
  </authors>
  <commentList>
    <comment ref="AM2" authorId="0" shapeId="0" xr:uid="{00000000-0006-0000-0000-000001000000}">
      <text>
        <r>
          <rPr>
            <b/>
            <sz val="9"/>
            <color indexed="10"/>
            <rFont val="ＭＳ Ｐゴシック"/>
            <family val="3"/>
            <charset val="128"/>
          </rPr>
          <t>2007/12/1の形式で入力</t>
        </r>
      </text>
    </comment>
    <comment ref="BA5" authorId="1" shapeId="0" xr:uid="{00000000-0006-0000-0000-000002000000}">
      <text>
        <r>
          <rPr>
            <b/>
            <sz val="9"/>
            <color indexed="81"/>
            <rFont val="ＭＳ Ｐゴシック"/>
            <family val="3"/>
            <charset val="128"/>
          </rPr>
          <t>hidaka:（2012/12/3）</t>
        </r>
        <r>
          <rPr>
            <sz val="9"/>
            <color indexed="81"/>
            <rFont val="ＭＳ Ｐゴシック"/>
            <family val="3"/>
            <charset val="128"/>
          </rPr>
          <t xml:space="preserve">
ニッサンディーゼルからＵＤトラックスに変更しました。</t>
        </r>
      </text>
    </comment>
    <comment ref="L11" authorId="0" shapeId="0" xr:uid="{00000000-0006-0000-0000-000003000000}">
      <text>
        <r>
          <rPr>
            <b/>
            <sz val="9"/>
            <color indexed="10"/>
            <rFont val="ＭＳ Ｐゴシック"/>
            <family val="3"/>
            <charset val="128"/>
          </rPr>
          <t>2007/12/1の形式で入力</t>
        </r>
      </text>
    </comment>
    <comment ref="AG11" authorId="0" shapeId="0" xr:uid="{00000000-0006-0000-0000-000004000000}">
      <text>
        <r>
          <rPr>
            <b/>
            <sz val="9"/>
            <color indexed="10"/>
            <rFont val="ＭＳ Ｐゴシック"/>
            <family val="3"/>
            <charset val="128"/>
          </rPr>
          <t>2007/12/1の形式で入力</t>
        </r>
      </text>
    </comment>
    <comment ref="AM12" authorId="2" shapeId="0" xr:uid="{00000000-0006-0000-0000-000005000000}">
      <text>
        <r>
          <rPr>
            <b/>
            <sz val="9"/>
            <color indexed="10"/>
            <rFont val="ＭＳ Ｐゴシック"/>
            <family val="3"/>
            <charset val="128"/>
          </rPr>
          <t>どちらかを必ず●にすること</t>
        </r>
      </text>
    </comment>
    <comment ref="L13" authorId="0" shapeId="0" xr:uid="{00000000-0006-0000-0000-000006000000}">
      <text>
        <r>
          <rPr>
            <b/>
            <sz val="9"/>
            <color indexed="10"/>
            <rFont val="ＭＳ Ｐゴシック"/>
            <family val="3"/>
            <charset val="128"/>
          </rPr>
          <t>車種別標準架装一覧表に載っているものはその番号、架装実績があるものはその受注番号を記載する。</t>
        </r>
      </text>
    </comment>
    <comment ref="AL13" authorId="3" shapeId="0" xr:uid="{00000000-0006-0000-0000-000007000000}">
      <text>
        <r>
          <rPr>
            <b/>
            <sz val="9"/>
            <color indexed="10"/>
            <rFont val="ＭＳ Ｐゴシック"/>
            <family val="3"/>
            <charset val="128"/>
          </rPr>
          <t>ＳＲ充当の場合は、ここに生産月を入力のこと</t>
        </r>
      </text>
    </comment>
    <comment ref="AG17" authorId="0" shapeId="0" xr:uid="{00000000-0006-0000-0000-000008000000}">
      <text>
        <r>
          <rPr>
            <b/>
            <sz val="9"/>
            <color indexed="10"/>
            <rFont val="ＭＳ Ｐゴシック"/>
            <family val="3"/>
            <charset val="128"/>
          </rPr>
          <t>2007/12/1の形式で入力</t>
        </r>
      </text>
    </comment>
    <comment ref="AY17" authorId="1" shapeId="0" xr:uid="{00000000-0006-0000-0000-000009000000}">
      <text>
        <r>
          <rPr>
            <b/>
            <sz val="9"/>
            <color indexed="81"/>
            <rFont val="ＭＳ Ｐゴシック"/>
            <family val="3"/>
            <charset val="128"/>
          </rPr>
          <t>hidaka:（2012/12/3）</t>
        </r>
        <r>
          <rPr>
            <sz val="9"/>
            <color indexed="81"/>
            <rFont val="ＭＳ Ｐゴシック"/>
            <family val="3"/>
            <charset val="128"/>
          </rPr>
          <t xml:space="preserve">
秋田営業所と北陸出張所を削除しました。</t>
        </r>
      </text>
    </comment>
    <comment ref="L18" authorId="0" shapeId="0" xr:uid="{00000000-0006-0000-0000-00000A000000}">
      <text>
        <r>
          <rPr>
            <b/>
            <sz val="10"/>
            <color indexed="10"/>
            <rFont val="ＭＳ Ｐゴシック"/>
            <family val="3"/>
            <charset val="128"/>
          </rPr>
          <t>使用燃料の種類を選択</t>
        </r>
      </text>
    </comment>
    <comment ref="AG18" authorId="4" shapeId="0" xr:uid="{00000000-0006-0000-0000-00000B000000}">
      <text>
        <r>
          <rPr>
            <b/>
            <sz val="9"/>
            <color indexed="10"/>
            <rFont val="ＭＳ Ｐゴシック"/>
            <family val="3"/>
            <charset val="128"/>
          </rPr>
          <t>乗員数を選択</t>
        </r>
      </text>
    </comment>
    <comment ref="L21" authorId="4" shapeId="0" xr:uid="{00000000-0006-0000-0000-00000C000000}">
      <text>
        <r>
          <rPr>
            <b/>
            <sz val="9"/>
            <color indexed="10"/>
            <rFont val="ＭＳ Ｐゴシック"/>
            <family val="3"/>
            <charset val="128"/>
          </rPr>
          <t>タイヤサイズを選択</t>
        </r>
      </text>
    </comment>
    <comment ref="AG21" authorId="4" shapeId="0" xr:uid="{00000000-0006-0000-0000-00000D000000}">
      <text>
        <r>
          <rPr>
            <b/>
            <sz val="9"/>
            <color indexed="10"/>
            <rFont val="ＭＳ Ｐゴシック"/>
            <family val="3"/>
            <charset val="128"/>
          </rPr>
          <t>タイヤの種類を選択</t>
        </r>
      </text>
    </comment>
    <comment ref="L22" authorId="4" shapeId="0" xr:uid="{00000000-0006-0000-0000-00000E000000}">
      <text>
        <r>
          <rPr>
            <b/>
            <sz val="9"/>
            <color indexed="10"/>
            <rFont val="ＭＳ Ｐゴシック"/>
            <family val="3"/>
            <charset val="128"/>
          </rPr>
          <t>トランスミッションの種類を選択</t>
        </r>
      </text>
    </comment>
    <comment ref="AG22" authorId="4" shapeId="0" xr:uid="{00000000-0006-0000-0000-00000F000000}">
      <text>
        <r>
          <rPr>
            <b/>
            <sz val="9"/>
            <color indexed="10"/>
            <rFont val="ＭＳ Ｐゴシック"/>
            <family val="3"/>
            <charset val="128"/>
          </rPr>
          <t>バッテリーの種類を選択</t>
        </r>
      </text>
    </comment>
    <comment ref="C23" authorId="0" shapeId="0" xr:uid="{00000000-0006-0000-0000-000010000000}">
      <text>
        <r>
          <rPr>
            <b/>
            <sz val="9"/>
            <color indexed="10"/>
            <rFont val="ＭＳ Ｐゴシック"/>
            <family val="3"/>
            <charset val="128"/>
          </rPr>
          <t>シャシ搬入時と車検時状態が異なる場合は必ず記入</t>
        </r>
        <r>
          <rPr>
            <sz val="9"/>
            <color indexed="81"/>
            <rFont val="ＭＳ Ｐゴシック"/>
            <family val="3"/>
            <charset val="128"/>
          </rPr>
          <t xml:space="preserve">
</t>
        </r>
      </text>
    </comment>
    <comment ref="C24" authorId="0" shapeId="0" xr:uid="{00000000-0006-0000-0000-000011000000}">
      <text>
        <r>
          <rPr>
            <b/>
            <sz val="9"/>
            <color indexed="10"/>
            <rFont val="ＭＳ Ｐゴシック"/>
            <family val="3"/>
            <charset val="128"/>
          </rPr>
          <t>以下のような内容は必ず記入。
1．アルミホイール
２．特殊なＰＴＯ
３．特殊なＰＴＯ操作系統
　　（遠隔操作等）
４．その他シャシオプション等
５．その他シャシ特殊仕様
　　（燃料タンク容量変更等）
６．その他シャシの事前改造個所
　　・マフラー改造
　　・フューエルセジメンタ移設
　　・排気圧センサー改造等</t>
        </r>
      </text>
    </comment>
    <comment ref="T28" authorId="3" shapeId="0" xr:uid="{00000000-0006-0000-0000-000012000000}">
      <text>
        <r>
          <rPr>
            <b/>
            <sz val="9"/>
            <color indexed="10"/>
            <rFont val="ＭＳ Ｐゴシック"/>
            <family val="3"/>
            <charset val="128"/>
          </rPr>
          <t>どちらかを必ず●にすること</t>
        </r>
      </text>
    </comment>
    <comment ref="O37" authorId="1" shapeId="0" xr:uid="{00000000-0006-0000-0000-000013000000}">
      <text>
        <r>
          <rPr>
            <b/>
            <sz val="12"/>
            <color indexed="10"/>
            <rFont val="ＭＳ Ｐゴシック"/>
            <family val="3"/>
            <charset val="128"/>
          </rPr>
          <t>入力必須項目です。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hidaka</author>
  </authors>
  <commentList>
    <comment ref="C268" authorId="0" shapeId="0" xr:uid="{00000000-0006-0000-0900-000001000000}">
      <text>
        <r>
          <rPr>
            <b/>
            <sz val="9"/>
            <color indexed="81"/>
            <rFont val="ＭＳ Ｐゴシック"/>
            <family val="3"/>
            <charset val="128"/>
          </rPr>
          <t>BKTチェックのマクロは、セル番地を直接指示しているので、行を追加・削除した場合は、調整してください。そしてもっときれいな構文があると思うので、修正してください…。（2014.11.18　hidaka）</t>
        </r>
      </text>
    </comment>
    <comment ref="C300" authorId="0" shapeId="0" xr:uid="{00000000-0006-0000-0900-000002000000}">
      <text>
        <r>
          <rPr>
            <b/>
            <sz val="9"/>
            <color indexed="81"/>
            <rFont val="ＭＳ Ｐゴシック"/>
            <family val="3"/>
            <charset val="128"/>
          </rPr>
          <t>スイッチチェックのマクロは、セル番地を直接指示しているので、行を追加・削除した場合は、調整してください。そしてもっときれいな構文があると思うので、修正してください…。（2014.11.18　hidaka）</t>
        </r>
      </text>
    </comment>
  </commentList>
</comments>
</file>

<file path=xl/sharedStrings.xml><?xml version="1.0" encoding="utf-8"?>
<sst xmlns="http://schemas.openxmlformats.org/spreadsheetml/2006/main" count="7230" uniqueCount="1551">
  <si>
    <t>5-21．グリスオマット取付</t>
    <phoneticPr fontId="2"/>
  </si>
  <si>
    <t>5-22．テールゲート上昇時、後部安全棒セット警報</t>
    <rPh sb="23" eb="25">
      <t>ケイホウ</t>
    </rPh>
    <phoneticPr fontId="2"/>
  </si>
  <si>
    <t>5-23．テールゲートリフト緊急用強制降下装置</t>
    <phoneticPr fontId="2"/>
  </si>
  <si>
    <t>5-15．積込操作盤・緊急停止スイッチ
         ボックスガード取付</t>
    <phoneticPr fontId="2"/>
  </si>
  <si>
    <t>5-16．連絡ブザー用押しボタンスイッチを
         右側に増設</t>
    <phoneticPr fontId="2"/>
  </si>
  <si>
    <t>5-22．テールゲート上昇時、
         後部安全棒セット警報</t>
    <rPh sb="33" eb="35">
      <t>ケイホウ</t>
    </rPh>
    <phoneticPr fontId="2"/>
  </si>
  <si>
    <t>5-23．テールゲートリフト緊急用強制
         降下装置</t>
    <phoneticPr fontId="2"/>
  </si>
  <si>
    <t>有　マーカーランプ(１個単位)</t>
    <rPh sb="11" eb="12">
      <t>コ</t>
    </rPh>
    <rPh sb="12" eb="14">
      <t>タンイ</t>
    </rPh>
    <phoneticPr fontId="2"/>
  </si>
  <si>
    <t>有　手袋入れ（ＳＵＳ製ボックス蓋無し） １５０Ｘ１５０Ｘ２００</t>
    <phoneticPr fontId="2"/>
  </si>
  <si>
    <t>有　手袋入れ（ＳＵＳ製ボックス蓋付） １５０Ｘ１５０Ｘ２００</t>
    <phoneticPr fontId="2"/>
  </si>
  <si>
    <t>ＯＰ</t>
    <phoneticPr fontId="2"/>
  </si>
  <si>
    <t>耐候性鋼板ｔ３．２</t>
    <phoneticPr fontId="2"/>
  </si>
  <si>
    <t>ＳＵＳｔ３．０</t>
    <phoneticPr fontId="2"/>
  </si>
  <si>
    <t xml:space="preserve">ＳＵＳｔ４．０ </t>
    <phoneticPr fontId="2"/>
  </si>
  <si>
    <t>5-7．飛散防止装置取付</t>
    <rPh sb="10" eb="12">
      <t>トリツケ</t>
    </rPh>
    <phoneticPr fontId="2"/>
  </si>
  <si>
    <t>5-8．後部扉</t>
    <phoneticPr fontId="2"/>
  </si>
  <si>
    <t>5-14．積込操作盤・緊急停止スイッチボックスゴムカバー</t>
    <phoneticPr fontId="2"/>
  </si>
  <si>
    <t>6-8．後輪前に泥除け鋼板</t>
    <rPh sb="4" eb="6">
      <t>コウリン</t>
    </rPh>
    <rPh sb="6" eb="7">
      <t>マエ</t>
    </rPh>
    <rPh sb="8" eb="10">
      <t>ドロヨ</t>
    </rPh>
    <rPh sb="11" eb="13">
      <t>コウハン</t>
    </rPh>
    <phoneticPr fontId="2"/>
  </si>
  <si>
    <t>6-9．作動油ドレンホース取付
（フレームサイド下部まで取付）</t>
    <phoneticPr fontId="2"/>
  </si>
  <si>
    <t>6-10．サイドガード</t>
    <phoneticPr fontId="2"/>
  </si>
  <si>
    <t>7-2．電装パネル</t>
    <rPh sb="4" eb="6">
      <t>デンソウ</t>
    </rPh>
    <phoneticPr fontId="2"/>
  </si>
  <si>
    <t>7-3．設定・解除スイッチ</t>
    <rPh sb="4" eb="6">
      <t>セッテイ</t>
    </rPh>
    <rPh sb="7" eb="9">
      <t>カイジョ</t>
    </rPh>
    <phoneticPr fontId="2"/>
  </si>
  <si>
    <t>7-4．ＰＴＯ「ＯＮ」連動ハザード</t>
    <rPh sb="11" eb="13">
      <t>レンドウ</t>
    </rPh>
    <phoneticPr fontId="2"/>
  </si>
  <si>
    <t>7-10．後方確認用テレビカメラＢＫＴ</t>
    <phoneticPr fontId="2"/>
  </si>
  <si>
    <t>7-13．補助方向指示器（フレームサイド）</t>
    <phoneticPr fontId="2"/>
  </si>
  <si>
    <t>7-16．ロータリーソレノイド式エンジン制御</t>
    <rPh sb="15" eb="16">
      <t>シキ</t>
    </rPh>
    <rPh sb="20" eb="22">
      <t>セイギョ</t>
    </rPh>
    <phoneticPr fontId="2"/>
  </si>
  <si>
    <t>7-20．ＰＴＯ表示ランプ</t>
    <rPh sb="8" eb="10">
      <t>ヒョウジ</t>
    </rPh>
    <phoneticPr fontId="2"/>
  </si>
  <si>
    <t>7-21．配線接続位置（ボデー側とＴ／Ｇ側）</t>
    <rPh sb="5" eb="7">
      <t>ハイセン</t>
    </rPh>
    <rPh sb="7" eb="9">
      <t>セツゾク</t>
    </rPh>
    <rPh sb="9" eb="11">
      <t>イチ</t>
    </rPh>
    <rPh sb="15" eb="16">
      <t>ガワ</t>
    </rPh>
    <rPh sb="20" eb="21">
      <t>ガワ</t>
    </rPh>
    <phoneticPr fontId="2"/>
  </si>
  <si>
    <t>7-22．ＰＴＯ抜き忘れ防止警報</t>
    <rPh sb="8" eb="9">
      <t>ヌ</t>
    </rPh>
    <rPh sb="10" eb="11">
      <t>ワス</t>
    </rPh>
    <rPh sb="12" eb="14">
      <t>ボウシ</t>
    </rPh>
    <rPh sb="14" eb="16">
      <t>ケイホウ</t>
    </rPh>
    <phoneticPr fontId="2"/>
  </si>
  <si>
    <t>7-23．左折／後退音声アラーム</t>
    <rPh sb="5" eb="7">
      <t>サセツ</t>
    </rPh>
    <rPh sb="8" eb="10">
      <t>コウタイ</t>
    </rPh>
    <rPh sb="10" eb="12">
      <t>オンセイ</t>
    </rPh>
    <phoneticPr fontId="2"/>
  </si>
  <si>
    <t>8-2．道具箱追加</t>
    <rPh sb="4" eb="6">
      <t>ドウグ</t>
    </rPh>
    <rPh sb="6" eb="7">
      <t>ハコ</t>
    </rPh>
    <rPh sb="7" eb="9">
      <t>ツイカ</t>
    </rPh>
    <phoneticPr fontId="2"/>
  </si>
  <si>
    <t>10-2．ダンボール仕様</t>
    <rPh sb="10" eb="12">
      <t>シヨウ</t>
    </rPh>
    <phoneticPr fontId="2"/>
  </si>
  <si>
    <t>7-17．オルゴール</t>
    <phoneticPr fontId="2"/>
  </si>
  <si>
    <t>7-18．過積載警報装置</t>
    <phoneticPr fontId="2"/>
  </si>
  <si>
    <t>7-19．アクセルストッパ</t>
    <phoneticPr fontId="2"/>
  </si>
  <si>
    <t>10-3．特殊仕様</t>
    <phoneticPr fontId="2"/>
  </si>
  <si>
    <r>
      <t xml:space="preserve">　　　　　　　　　　　　　　　　　架装型式、最大積載量については、標準架装一覧表または技術検討書にて必ず確認
</t>
    </r>
    <r>
      <rPr>
        <b/>
        <sz val="16"/>
        <color indexed="10"/>
        <rFont val="ＭＳ Ｐゴシック"/>
        <family val="3"/>
        <charset val="128"/>
      </rPr>
      <t>《架装関連項目》　</t>
    </r>
    <r>
      <rPr>
        <b/>
        <sz val="10"/>
        <color indexed="10"/>
        <rFont val="ＭＳ Ｐゴシック"/>
        <family val="3"/>
        <charset val="128"/>
      </rPr>
      <t>また、最大積載量はＯＰや特別仕様追加により変更になることがあるので注意すること。</t>
    </r>
    <rPh sb="17" eb="19">
      <t>カソウ</t>
    </rPh>
    <rPh sb="19" eb="21">
      <t>カタシキ</t>
    </rPh>
    <rPh sb="22" eb="24">
      <t>サイダイ</t>
    </rPh>
    <rPh sb="24" eb="27">
      <t>セキサイリョウ</t>
    </rPh>
    <rPh sb="43" eb="45">
      <t>ギジュツ</t>
    </rPh>
    <rPh sb="45" eb="47">
      <t>ケントウ</t>
    </rPh>
    <rPh sb="47" eb="48">
      <t>ショ</t>
    </rPh>
    <rPh sb="67" eb="69">
      <t>サイダイ</t>
    </rPh>
    <rPh sb="69" eb="72">
      <t>セキサイリョウ</t>
    </rPh>
    <rPh sb="76" eb="78">
      <t>トクベツ</t>
    </rPh>
    <rPh sb="78" eb="80">
      <t>シヨウ</t>
    </rPh>
    <rPh sb="80" eb="82">
      <t>ツイカ</t>
    </rPh>
    <rPh sb="85" eb="87">
      <t>ヘンコウ</t>
    </rPh>
    <rPh sb="97" eb="99">
      <t>チュウイ</t>
    </rPh>
    <phoneticPr fontId="2"/>
  </si>
  <si>
    <t>塗装・文字　仕様書（指示書）　兼　記録　　【塗装仕様】</t>
    <rPh sb="0" eb="2">
      <t>トソウ</t>
    </rPh>
    <rPh sb="3" eb="5">
      <t>モジ</t>
    </rPh>
    <rPh sb="6" eb="8">
      <t>シヨウ</t>
    </rPh>
    <rPh sb="8" eb="9">
      <t>ショ</t>
    </rPh>
    <rPh sb="10" eb="13">
      <t>シジショ</t>
    </rPh>
    <rPh sb="15" eb="16">
      <t>ケン</t>
    </rPh>
    <rPh sb="17" eb="19">
      <t>キロク</t>
    </rPh>
    <rPh sb="22" eb="24">
      <t>トソウ</t>
    </rPh>
    <rPh sb="24" eb="26">
      <t>シヨウ</t>
    </rPh>
    <phoneticPr fontId="2"/>
  </si>
  <si>
    <t>発行日：</t>
    <rPh sb="0" eb="3">
      <t>ハッコウビ</t>
    </rPh>
    <phoneticPr fontId="2"/>
  </si>
  <si>
    <t>株式会社　モリタエコノス</t>
    <rPh sb="0" eb="4">
      <t>カブシキガイシャ</t>
    </rPh>
    <phoneticPr fontId="2"/>
  </si>
  <si>
    <t>●</t>
    <phoneticPr fontId="2"/>
  </si>
  <si>
    <t>本書は、『発注仕様書』の一部として必ず添付し、支店での塗装手配にも活用する。</t>
  </si>
  <si>
    <t>★</t>
    <phoneticPr fontId="2"/>
  </si>
  <si>
    <t>塗装工場（業者）様は、本書を車両（キャビン）に積載して返却して下さい。</t>
    <rPh sb="0" eb="2">
      <t>トソウ</t>
    </rPh>
    <rPh sb="2" eb="4">
      <t>コウジョウ</t>
    </rPh>
    <rPh sb="5" eb="7">
      <t>ギョウシャ</t>
    </rPh>
    <rPh sb="8" eb="9">
      <t>サマ</t>
    </rPh>
    <rPh sb="11" eb="13">
      <t>ホンショ</t>
    </rPh>
    <rPh sb="14" eb="16">
      <t>シャリョウ</t>
    </rPh>
    <rPh sb="23" eb="25">
      <t>セキサイ</t>
    </rPh>
    <rPh sb="27" eb="29">
      <t>ヘンキャク</t>
    </rPh>
    <rPh sb="31" eb="32">
      <t>クダ</t>
    </rPh>
    <phoneticPr fontId="2"/>
  </si>
  <si>
    <t>支店記入欄</t>
    <rPh sb="0" eb="2">
      <t>シテン</t>
    </rPh>
    <rPh sb="2" eb="4">
      <t>キニュウ</t>
    </rPh>
    <rPh sb="4" eb="5">
      <t>ラン</t>
    </rPh>
    <phoneticPr fontId="2"/>
  </si>
  <si>
    <t>車両情報</t>
    <rPh sb="0" eb="2">
      <t>シャリョウ</t>
    </rPh>
    <rPh sb="2" eb="4">
      <t>ジョウホウ</t>
    </rPh>
    <phoneticPr fontId="2"/>
  </si>
  <si>
    <t>ライン・帯</t>
    <phoneticPr fontId="2"/>
  </si>
  <si>
    <t>支店施工</t>
    <rPh sb="0" eb="2">
      <t>シテン</t>
    </rPh>
    <rPh sb="2" eb="4">
      <t>セコウ</t>
    </rPh>
    <phoneticPr fontId="2"/>
  </si>
  <si>
    <t>（ 選 択 ）</t>
  </si>
  <si>
    <t>トラ模様（安全色）</t>
    <phoneticPr fontId="2"/>
  </si>
  <si>
    <t>お客様名（引当先）</t>
    <rPh sb="1" eb="3">
      <t>キャクサマ</t>
    </rPh>
    <rPh sb="3" eb="4">
      <t>メイ</t>
    </rPh>
    <rPh sb="5" eb="7">
      <t>ヒキアテ</t>
    </rPh>
    <rPh sb="7" eb="8">
      <t>サキ</t>
    </rPh>
    <phoneticPr fontId="2"/>
  </si>
  <si>
    <t>有り</t>
    <rPh sb="0" eb="1">
      <t>ア</t>
    </rPh>
    <phoneticPr fontId="2"/>
  </si>
  <si>
    <t>シャシメーカー（車番）</t>
    <rPh sb="8" eb="9">
      <t>シャ</t>
    </rPh>
    <rPh sb="9" eb="10">
      <t>バン</t>
    </rPh>
    <phoneticPr fontId="2"/>
  </si>
  <si>
    <t>（</t>
    <phoneticPr fontId="2"/>
  </si>
  <si>
    <t>）</t>
    <phoneticPr fontId="2"/>
  </si>
  <si>
    <t>指示図または写真……</t>
    <phoneticPr fontId="2"/>
  </si>
  <si>
    <t>有り（</t>
    <rPh sb="0" eb="1">
      <t>ア</t>
    </rPh>
    <phoneticPr fontId="2"/>
  </si>
  <si>
    <t>架装型式</t>
    <rPh sb="0" eb="1">
      <t>カ</t>
    </rPh>
    <rPh sb="1" eb="2">
      <t>ソウ</t>
    </rPh>
    <rPh sb="2" eb="4">
      <t>カタシキ</t>
    </rPh>
    <phoneticPr fontId="2"/>
  </si>
  <si>
    <t>部位</t>
    <rPh sb="0" eb="2">
      <t>ブイ</t>
    </rPh>
    <phoneticPr fontId="2"/>
  </si>
  <si>
    <t>キャビン前面特急（</t>
    <rPh sb="4" eb="6">
      <t>ゼンメン</t>
    </rPh>
    <rPh sb="6" eb="8">
      <t>トッキュウ</t>
    </rPh>
    <phoneticPr fontId="2"/>
  </si>
  <si>
    <t>）</t>
    <phoneticPr fontId="2"/>
  </si>
  <si>
    <t>方向・内容</t>
    <rPh sb="0" eb="2">
      <t>ホウコウ</t>
    </rPh>
    <rPh sb="3" eb="5">
      <t>ナイヨウ</t>
    </rPh>
    <phoneticPr fontId="2"/>
  </si>
  <si>
    <t>Λ型ｴｺﾉｽﾀｲﾌﾟ（下図参照）　</t>
    <rPh sb="11" eb="12">
      <t>ズ</t>
    </rPh>
    <rPh sb="12" eb="14">
      <t>サンショウ</t>
    </rPh>
    <rPh sb="14" eb="15">
      <t>）</t>
    </rPh>
    <phoneticPr fontId="2"/>
  </si>
  <si>
    <t>基本塗装仕様</t>
    <rPh sb="0" eb="2">
      <t>キホン</t>
    </rPh>
    <rPh sb="2" eb="4">
      <t>トソウ</t>
    </rPh>
    <rPh sb="4" eb="6">
      <t>シヨウ</t>
    </rPh>
    <phoneticPr fontId="2"/>
  </si>
  <si>
    <t>塗装先</t>
    <rPh sb="0" eb="2">
      <t>トソウ</t>
    </rPh>
    <rPh sb="2" eb="3">
      <t>サキ</t>
    </rPh>
    <phoneticPr fontId="2"/>
  </si>
  <si>
    <t>本社</t>
    <rPh sb="0" eb="2">
      <t>ホンシャ</t>
    </rPh>
    <phoneticPr fontId="2"/>
  </si>
  <si>
    <t>支店手配（未塗装出荷）</t>
    <rPh sb="0" eb="2">
      <t>シテン</t>
    </rPh>
    <rPh sb="2" eb="4">
      <t>テハイ</t>
    </rPh>
    <rPh sb="5" eb="6">
      <t>ミ</t>
    </rPh>
    <rPh sb="6" eb="8">
      <t>トソウ</t>
    </rPh>
    <rPh sb="8" eb="10">
      <t>シュッカ</t>
    </rPh>
    <phoneticPr fontId="2"/>
  </si>
  <si>
    <t>キャビン側面（</t>
    <rPh sb="4" eb="6">
      <t>ソクメン</t>
    </rPh>
    <phoneticPr fontId="2"/>
  </si>
  <si>
    <t>）</t>
    <phoneticPr fontId="2"/>
  </si>
  <si>
    <t>キャビン</t>
    <phoneticPr fontId="2"/>
  </si>
  <si>
    <t>塗装不要（メーカー色のまま）</t>
    <phoneticPr fontId="2"/>
  </si>
  <si>
    <t>ﾀﾝｸ、ﾎﾞﾃﾞｨｰ・T/G側面（</t>
    <rPh sb="14" eb="16">
      <t>ソクメン</t>
    </rPh>
    <phoneticPr fontId="2"/>
  </si>
  <si>
    <t>・Λ型ｴｺﾉｽﾀｲﾌﾟ（赤・白の場合）</t>
    <rPh sb="12" eb="13">
      <t>アカ</t>
    </rPh>
    <rPh sb="14" eb="15">
      <t>シロ</t>
    </rPh>
    <rPh sb="16" eb="18">
      <t>バアイ</t>
    </rPh>
    <phoneticPr fontId="2"/>
  </si>
  <si>
    <t>塗装する（塗装色：</t>
    <rPh sb="0" eb="2">
      <t>トソウ</t>
    </rPh>
    <rPh sb="5" eb="7">
      <t>トソウ</t>
    </rPh>
    <rPh sb="7" eb="8">
      <t>ショク</t>
    </rPh>
    <phoneticPr fontId="2"/>
  </si>
  <si>
    <t>）</t>
    <phoneticPr fontId="2"/>
  </si>
  <si>
    <t>架装後面（</t>
    <rPh sb="0" eb="1">
      <t>カ</t>
    </rPh>
    <rPh sb="1" eb="2">
      <t>ソウ</t>
    </rPh>
    <rPh sb="2" eb="3">
      <t>コウ</t>
    </rPh>
    <rPh sb="3" eb="4">
      <t>メン</t>
    </rPh>
    <phoneticPr fontId="2"/>
  </si>
  <si>
    <t>）</t>
    <phoneticPr fontId="2"/>
  </si>
  <si>
    <t>架装部</t>
    <rPh sb="0" eb="1">
      <t>カ</t>
    </rPh>
    <rPh sb="1" eb="2">
      <t>ソウ</t>
    </rPh>
    <rPh sb="2" eb="3">
      <t>ブ</t>
    </rPh>
    <phoneticPr fontId="2"/>
  </si>
  <si>
    <t>１色キャビン同色</t>
    <rPh sb="1" eb="2">
      <t>ショク</t>
    </rPh>
    <phoneticPr fontId="2"/>
  </si>
  <si>
    <t>ライン色：</t>
    <rPh sb="3" eb="4">
      <t>ショク</t>
    </rPh>
    <phoneticPr fontId="2"/>
  </si>
  <si>
    <t>１色（塗装色：</t>
    <rPh sb="1" eb="2">
      <t>ショク</t>
    </rPh>
    <rPh sb="3" eb="5">
      <t>トソウ</t>
    </rPh>
    <rPh sb="5" eb="6">
      <t>ショク</t>
    </rPh>
    <phoneticPr fontId="2"/>
  </si>
  <si>
    <t>【内容】</t>
    <rPh sb="1" eb="3">
      <t>ナイヨウ</t>
    </rPh>
    <phoneticPr fontId="2"/>
  </si>
  <si>
    <t>２色</t>
    <rPh sb="1" eb="2">
      <t>ショク</t>
    </rPh>
    <phoneticPr fontId="2"/>
  </si>
  <si>
    <t>その他のΛ型</t>
    <rPh sb="2" eb="3">
      <t>タ</t>
    </rPh>
    <rPh sb="5" eb="6">
      <t>ガタ</t>
    </rPh>
    <phoneticPr fontId="2"/>
  </si>
  <si>
    <t>V型</t>
  </si>
  <si>
    <t>（第１塗装色：</t>
    <rPh sb="1" eb="2">
      <t>ダイ</t>
    </rPh>
    <rPh sb="3" eb="5">
      <t>トソウ</t>
    </rPh>
    <rPh sb="5" eb="6">
      <t>ショク</t>
    </rPh>
    <phoneticPr fontId="2"/>
  </si>
  <si>
    <t>（ 塗 装 ）</t>
  </si>
  <si>
    <t>（幅：</t>
    <phoneticPr fontId="2"/>
  </si>
  <si>
    <t>mm，角度：</t>
    <rPh sb="3" eb="5">
      <t>カクド</t>
    </rPh>
    <phoneticPr fontId="2"/>
  </si>
  <si>
    <t>度，中央：</t>
    <rPh sb="0" eb="1">
      <t>ド</t>
    </rPh>
    <rPh sb="2" eb="4">
      <t>チュウオウ</t>
    </rPh>
    <phoneticPr fontId="2"/>
  </si>
  <si>
    <t>（第２塗装色：</t>
    <rPh sb="1" eb="2">
      <t>ダイ</t>
    </rPh>
    <rPh sb="3" eb="5">
      <t>トソウ</t>
    </rPh>
    <rPh sb="5" eb="6">
      <t>ショク</t>
    </rPh>
    <phoneticPr fontId="2"/>
  </si>
  <si>
    <t>ﾌﾛﾝﾄﾊﾞﾝﾊﾟ</t>
    <phoneticPr fontId="2"/>
  </si>
  <si>
    <t>ﾘﾔﾊﾞﾝﾊﾟ</t>
    <phoneticPr fontId="2"/>
  </si>
  <si>
    <t>ﾀﾝｸ鏡、後部扉</t>
    <rPh sb="3" eb="4">
      <t>カガミ</t>
    </rPh>
    <rPh sb="5" eb="7">
      <t>コウブ</t>
    </rPh>
    <rPh sb="7" eb="8">
      <t>トビラ</t>
    </rPh>
    <phoneticPr fontId="2"/>
  </si>
  <si>
    <t>【塗分け内容】</t>
    <rPh sb="1" eb="2">
      <t>ヌリ</t>
    </rPh>
    <rPh sb="2" eb="3">
      <t>ワ</t>
    </rPh>
    <rPh sb="4" eb="6">
      <t>ナイヨウ</t>
    </rPh>
    <phoneticPr fontId="2"/>
  </si>
  <si>
    <t>左右共車両前方から記入</t>
    <rPh sb="0" eb="2">
      <t>サユウ</t>
    </rPh>
    <rPh sb="2" eb="3">
      <t>トモ</t>
    </rPh>
    <rPh sb="3" eb="5">
      <t>シャリョウ</t>
    </rPh>
    <rPh sb="5" eb="7">
      <t>ゼンポウ</t>
    </rPh>
    <rPh sb="9" eb="11">
      <t>キニュウ</t>
    </rPh>
    <phoneticPr fontId="2"/>
  </si>
  <si>
    <t>押込・ﾊﾟｯｶｰﾌﾟﾚｰﾄ，</t>
    <rPh sb="0" eb="2">
      <t>オシコ</t>
    </rPh>
    <phoneticPr fontId="2"/>
  </si>
  <si>
    <t>その他（</t>
    <rPh sb="2" eb="3">
      <t>タ</t>
    </rPh>
    <phoneticPr fontId="2"/>
  </si>
  <si>
    <t>左は前から、右は後から記入</t>
    <rPh sb="0" eb="1">
      <t>ヒダリ</t>
    </rPh>
    <rPh sb="2" eb="3">
      <t>マエ</t>
    </rPh>
    <rPh sb="6" eb="7">
      <t>ミギ</t>
    </rPh>
    <rPh sb="8" eb="9">
      <t>ウシロ</t>
    </rPh>
    <rPh sb="11" eb="13">
      <t>キニュウ</t>
    </rPh>
    <phoneticPr fontId="2"/>
  </si>
  <si>
    <t>色</t>
    <rPh sb="0" eb="1">
      <t>イロ</t>
    </rPh>
    <phoneticPr fontId="2"/>
  </si>
  <si>
    <t>ｴｺﾉｽ設定（パナロック製　黄：088-0260</t>
    <rPh sb="4" eb="6">
      <t>セッテイ</t>
    </rPh>
    <rPh sb="12" eb="13">
      <t>セイ</t>
    </rPh>
    <phoneticPr fontId="2"/>
  </si>
  <si>
    <t>指示図または写真……</t>
    <phoneticPr fontId="2"/>
  </si>
  <si>
    <t>黒：088-0234，赤：ZE-503，白：088-0204）</t>
    <rPh sb="0" eb="1">
      <t>クロ</t>
    </rPh>
    <rPh sb="11" eb="12">
      <t>アカ</t>
    </rPh>
    <rPh sb="20" eb="21">
      <t>シロ</t>
    </rPh>
    <phoneticPr fontId="2"/>
  </si>
  <si>
    <t>字体</t>
    <rPh sb="0" eb="2">
      <t>ジタイ</t>
    </rPh>
    <phoneticPr fontId="2"/>
  </si>
  <si>
    <t>丸ゴシック</t>
    <rPh sb="0" eb="1">
      <t>マル</t>
    </rPh>
    <phoneticPr fontId="2"/>
  </si>
  <si>
    <t>指定色（塗装色：</t>
    <rPh sb="0" eb="2">
      <t>シテイ</t>
    </rPh>
    <rPh sb="2" eb="3">
      <t>イロ</t>
    </rPh>
    <rPh sb="4" eb="6">
      <t>トソウ</t>
    </rPh>
    <rPh sb="6" eb="7">
      <t>ショク</t>
    </rPh>
    <phoneticPr fontId="2"/>
  </si>
  <si>
    <t>）</t>
    <phoneticPr fontId="2"/>
  </si>
  <si>
    <t>塗料
メーカー</t>
    <rPh sb="0" eb="2">
      <t>トリョウ</t>
    </rPh>
    <phoneticPr fontId="2"/>
  </si>
  <si>
    <t>日ぺ</t>
    <rPh sb="0" eb="1">
      <t>ニチ</t>
    </rPh>
    <phoneticPr fontId="2"/>
  </si>
  <si>
    <t>関ぺ</t>
    <rPh sb="0" eb="1">
      <t>セキ</t>
    </rPh>
    <phoneticPr fontId="2"/>
  </si>
  <si>
    <t>日塗工</t>
    <rPh sb="0" eb="1">
      <t>ヒ</t>
    </rPh>
    <rPh sb="1" eb="2">
      <t>ト</t>
    </rPh>
    <rPh sb="2" eb="3">
      <t>コウ</t>
    </rPh>
    <phoneticPr fontId="2"/>
  </si>
  <si>
    <t>）</t>
    <phoneticPr fontId="2"/>
  </si>
  <si>
    <t>部位・内容</t>
    <rPh sb="0" eb="2">
      <t>ブイ</t>
    </rPh>
    <rPh sb="3" eb="5">
      <t>ナイヨウ</t>
    </rPh>
    <phoneticPr fontId="2"/>
  </si>
  <si>
    <t>有り（ホイール外輪のみで、</t>
    <rPh sb="0" eb="1">
      <t>ア</t>
    </rPh>
    <rPh sb="7" eb="9">
      <t>ガイリン</t>
    </rPh>
    <phoneticPr fontId="2"/>
  </si>
  <si>
    <t>（ 選　択 ）</t>
  </si>
  <si>
    <t>補修用
塗料</t>
    <rPh sb="0" eb="3">
      <t>ホシュウヨウ</t>
    </rPh>
    <rPh sb="4" eb="6">
      <t>トリョウ</t>
    </rPh>
    <phoneticPr fontId="2"/>
  </si>
  <si>
    <t>　【内容】</t>
    <rPh sb="2" eb="4">
      <t>ナイヨウ</t>
    </rPh>
    <phoneticPr fontId="2"/>
  </si>
  <si>
    <t>　【特別追加塗装の内容】</t>
    <rPh sb="2" eb="4">
      <t>トクベツ</t>
    </rPh>
    <rPh sb="4" eb="6">
      <t>ツイカ</t>
    </rPh>
    <rPh sb="6" eb="8">
      <t>トソウ</t>
    </rPh>
    <rPh sb="9" eb="11">
      <t>ナイヨウ</t>
    </rPh>
    <phoneticPr fontId="2"/>
  </si>
  <si>
    <t>（</t>
    <phoneticPr fontId="2"/>
  </si>
  <si>
    <t>４Ｌｉｔ缶，</t>
    <rPh sb="4" eb="5">
      <t>カン</t>
    </rPh>
    <phoneticPr fontId="2"/>
  </si>
  <si>
    <t>）</t>
    <phoneticPr fontId="2"/>
  </si>
  <si>
    <t>シャシ
フレーム</t>
    <phoneticPr fontId="2"/>
  </si>
  <si>
    <t>ホイールやボルト・ナット、ディスクホイール等へ塗装した場合、
ホイールナットが緩み、車輪の脱落に繋がる恐れがあり
危険です。</t>
    <rPh sb="27" eb="29">
      <t>バアイ</t>
    </rPh>
    <rPh sb="42" eb="44">
      <t>シャリン</t>
    </rPh>
    <rPh sb="45" eb="47">
      <t>ダツラク</t>
    </rPh>
    <rPh sb="48" eb="49">
      <t>ツナ</t>
    </rPh>
    <phoneticPr fontId="2"/>
  </si>
  <si>
    <t>）</t>
  </si>
  <si>
    <t>生産課または支店（塗装依頼元）記入欄</t>
    <rPh sb="15" eb="17">
      <t>キニュウ</t>
    </rPh>
    <rPh sb="17" eb="18">
      <t>ラン</t>
    </rPh>
    <phoneticPr fontId="2"/>
  </si>
  <si>
    <t>塗装工場様　記入欄（モリタエコノスへの連絡事項）</t>
    <rPh sb="0" eb="2">
      <t>トソウ</t>
    </rPh>
    <rPh sb="2" eb="4">
      <t>コウジョウ</t>
    </rPh>
    <rPh sb="4" eb="5">
      <t>サマ</t>
    </rPh>
    <rPh sb="6" eb="8">
      <t>キニュウ</t>
    </rPh>
    <rPh sb="8" eb="9">
      <t>ラン</t>
    </rPh>
    <rPh sb="19" eb="21">
      <t>レンラク</t>
    </rPh>
    <rPh sb="21" eb="23">
      <t>ジコウ</t>
    </rPh>
    <phoneticPr fontId="2"/>
  </si>
  <si>
    <t>塗装依頼先</t>
    <rPh sb="0" eb="2">
      <t>トソウ</t>
    </rPh>
    <rPh sb="2" eb="4">
      <t>イライ</t>
    </rPh>
    <rPh sb="4" eb="5">
      <t>サキ</t>
    </rPh>
    <phoneticPr fontId="2"/>
  </si>
  <si>
    <t>殿</t>
    <rPh sb="0" eb="1">
      <t>ドノ</t>
    </rPh>
    <phoneticPr fontId="2"/>
  </si>
  <si>
    <t>【注意事項および連絡事項】（担当：</t>
    <rPh sb="1" eb="3">
      <t>チュウイ</t>
    </rPh>
    <rPh sb="3" eb="5">
      <t>ジコウ</t>
    </rPh>
    <rPh sb="8" eb="10">
      <t>レンラク</t>
    </rPh>
    <rPh sb="10" eb="12">
      <t>ジコウ</t>
    </rPh>
    <rPh sb="14" eb="16">
      <t>タントウ</t>
    </rPh>
    <phoneticPr fontId="2"/>
  </si>
  <si>
    <t>）</t>
    <phoneticPr fontId="2"/>
  </si>
  <si>
    <t>責任者印</t>
    <rPh sb="0" eb="3">
      <t>セキニンシャ</t>
    </rPh>
    <rPh sb="3" eb="4">
      <t>イン</t>
    </rPh>
    <phoneticPr fontId="2"/>
  </si>
  <si>
    <t>指示図または写真……</t>
    <phoneticPr fontId="2"/>
  </si>
  <si>
    <t>塗装搬入日時</t>
    <rPh sb="0" eb="2">
      <t>トソウ</t>
    </rPh>
    <rPh sb="2" eb="4">
      <t>ハンニュウ</t>
    </rPh>
    <rPh sb="4" eb="6">
      <t>ニチジ</t>
    </rPh>
    <phoneticPr fontId="2"/>
  </si>
  <si>
    <t>年　　　　月　　　　日　　（　　）　　</t>
    <rPh sb="0" eb="1">
      <t>ネン</t>
    </rPh>
    <rPh sb="5" eb="6">
      <t>ガツ</t>
    </rPh>
    <rPh sb="10" eb="11">
      <t>ニチ</t>
    </rPh>
    <phoneticPr fontId="2"/>
  </si>
  <si>
    <t>時</t>
    <rPh sb="0" eb="1">
      <t>ジ</t>
    </rPh>
    <phoneticPr fontId="2"/>
  </si>
  <si>
    <t>塗装完了
搬入場所
日時</t>
    <rPh sb="0" eb="2">
      <t>トソウ</t>
    </rPh>
    <rPh sb="2" eb="4">
      <t>カンリョウ</t>
    </rPh>
    <rPh sb="5" eb="7">
      <t>ハンニュウ</t>
    </rPh>
    <rPh sb="7" eb="9">
      <t>バショ</t>
    </rPh>
    <phoneticPr fontId="2"/>
  </si>
  <si>
    <t>本社工場に搬入</t>
    <rPh sb="0" eb="2">
      <t>ホンシャ</t>
    </rPh>
    <rPh sb="2" eb="4">
      <t>コウジョウ</t>
    </rPh>
    <rPh sb="5" eb="7">
      <t>ハンニュウ</t>
    </rPh>
    <phoneticPr fontId="2"/>
  </si>
  <si>
    <t>事業所に搬入</t>
    <rPh sb="0" eb="3">
      <t>ジギョウショ</t>
    </rPh>
    <rPh sb="4" eb="6">
      <t>ハンニュウ</t>
    </rPh>
    <phoneticPr fontId="2"/>
  </si>
  <si>
    <t>モリタエコノス担当者名</t>
    <rPh sb="7" eb="10">
      <t>タントウシャ</t>
    </rPh>
    <rPh sb="10" eb="11">
      <t>メイ</t>
    </rPh>
    <phoneticPr fontId="2"/>
  </si>
  <si>
    <t>【注意事項および連絡事項】</t>
    <rPh sb="1" eb="3">
      <t>チュウイ</t>
    </rPh>
    <rPh sb="3" eb="5">
      <t>ジコウ</t>
    </rPh>
    <rPh sb="8" eb="10">
      <t>レンラク</t>
    </rPh>
    <rPh sb="10" eb="12">
      <t>ジコウ</t>
    </rPh>
    <phoneticPr fontId="2"/>
  </si>
  <si>
    <t>生産課（または支店）　塗装完了チェック欄</t>
    <rPh sb="0" eb="2">
      <t>セイサン</t>
    </rPh>
    <rPh sb="2" eb="3">
      <t>カ</t>
    </rPh>
    <rPh sb="7" eb="9">
      <t>シテン</t>
    </rPh>
    <rPh sb="11" eb="13">
      <t>トソウ</t>
    </rPh>
    <rPh sb="13" eb="15">
      <t>カンリョウ</t>
    </rPh>
    <rPh sb="19" eb="20">
      <t>ラン</t>
    </rPh>
    <phoneticPr fontId="2"/>
  </si>
  <si>
    <t>【記録および連絡事項】（担当：</t>
    <rPh sb="1" eb="3">
      <t>キロク</t>
    </rPh>
    <rPh sb="6" eb="8">
      <t>レンラク</t>
    </rPh>
    <rPh sb="8" eb="10">
      <t>ジコウ</t>
    </rPh>
    <rPh sb="12" eb="14">
      <t>タントウ</t>
    </rPh>
    <phoneticPr fontId="2"/>
  </si>
  <si>
    <t>技術開発部記入欄（生産課に連絡）</t>
    <rPh sb="0" eb="2">
      <t>ギジュツ</t>
    </rPh>
    <rPh sb="2" eb="5">
      <t>カイハツブ</t>
    </rPh>
    <rPh sb="5" eb="7">
      <t>キニュウ</t>
    </rPh>
    <rPh sb="7" eb="8">
      <t>ラン</t>
    </rPh>
    <rPh sb="9" eb="11">
      <t>セイサン</t>
    </rPh>
    <rPh sb="11" eb="12">
      <t>カ</t>
    </rPh>
    <rPh sb="13" eb="15">
      <t>レンラク</t>
    </rPh>
    <phoneticPr fontId="2"/>
  </si>
  <si>
    <t>品質保証部　塗装検査記録</t>
    <rPh sb="0" eb="2">
      <t>ヒンシツ</t>
    </rPh>
    <rPh sb="2" eb="4">
      <t>ホショウ</t>
    </rPh>
    <rPh sb="4" eb="5">
      <t>ブ</t>
    </rPh>
    <rPh sb="6" eb="8">
      <t>トソウ</t>
    </rPh>
    <rPh sb="8" eb="10">
      <t>ケンサ</t>
    </rPh>
    <rPh sb="10" eb="12">
      <t>キロク</t>
    </rPh>
    <phoneticPr fontId="2"/>
  </si>
  <si>
    <t>塗装・文字　仕様書（指示書）　兼　記録　　【参考写真】</t>
    <rPh sb="0" eb="2">
      <t>トソウ</t>
    </rPh>
    <rPh sb="3" eb="5">
      <t>モジ</t>
    </rPh>
    <rPh sb="6" eb="8">
      <t>シヨウ</t>
    </rPh>
    <rPh sb="8" eb="9">
      <t>ショ</t>
    </rPh>
    <rPh sb="10" eb="13">
      <t>シジショ</t>
    </rPh>
    <rPh sb="15" eb="16">
      <t>ケン</t>
    </rPh>
    <rPh sb="17" eb="19">
      <t>キロク</t>
    </rPh>
    <rPh sb="22" eb="24">
      <t>サンコウ</t>
    </rPh>
    <rPh sb="24" eb="26">
      <t>シャシン</t>
    </rPh>
    <phoneticPr fontId="2"/>
  </si>
  <si>
    <t>★</t>
    <phoneticPr fontId="2"/>
  </si>
  <si>
    <t>●本書は、必要に応じ『発注仕様書』の”写真資料”の連絡手段として活用する。</t>
    <rPh sb="1" eb="3">
      <t>ホンショ</t>
    </rPh>
    <rPh sb="11" eb="13">
      <t>ハッチュウ</t>
    </rPh>
    <rPh sb="13" eb="15">
      <t>シヨウ</t>
    </rPh>
    <rPh sb="15" eb="16">
      <t>ショ</t>
    </rPh>
    <rPh sb="19" eb="21">
      <t>シャシン</t>
    </rPh>
    <rPh sb="21" eb="22">
      <t>シ</t>
    </rPh>
    <rPh sb="22" eb="23">
      <t>リョウ</t>
    </rPh>
    <rPh sb="25" eb="27">
      <t>レンラク</t>
    </rPh>
    <rPh sb="27" eb="29">
      <t>シュダン</t>
    </rPh>
    <rPh sb="32" eb="34">
      <t>カツヨウ</t>
    </rPh>
    <phoneticPr fontId="2"/>
  </si>
  <si>
    <t>●写真にて伝達したい事項（塗装仕様）に、コメント（補足説明）を付記すること。</t>
    <rPh sb="1" eb="3">
      <t>シャシン</t>
    </rPh>
    <rPh sb="5" eb="7">
      <t>デンタツ</t>
    </rPh>
    <rPh sb="10" eb="12">
      <t>ジコウ</t>
    </rPh>
    <rPh sb="13" eb="15">
      <t>トソウ</t>
    </rPh>
    <rPh sb="15" eb="17">
      <t>シヨウ</t>
    </rPh>
    <rPh sb="25" eb="27">
      <t>ホソク</t>
    </rPh>
    <rPh sb="27" eb="29">
      <t>セツメイ</t>
    </rPh>
    <rPh sb="31" eb="33">
      <t>フキ</t>
    </rPh>
    <phoneticPr fontId="2"/>
  </si>
  <si>
    <t>●本書ファイルのデータ容量が大きくならないよう、写真データの容量を小さくして貼付けること。</t>
    <rPh sb="1" eb="3">
      <t>ホンショ</t>
    </rPh>
    <rPh sb="11" eb="13">
      <t>ヨウリョウ</t>
    </rPh>
    <rPh sb="14" eb="15">
      <t>オオ</t>
    </rPh>
    <rPh sb="24" eb="26">
      <t>シャシン</t>
    </rPh>
    <rPh sb="30" eb="32">
      <t>ヨウリョウ</t>
    </rPh>
    <rPh sb="33" eb="34">
      <t>チイ</t>
    </rPh>
    <rPh sb="38" eb="40">
      <t>ハリツ</t>
    </rPh>
    <phoneticPr fontId="2"/>
  </si>
  <si>
    <t>★</t>
    <phoneticPr fontId="2"/>
  </si>
  <si>
    <r>
      <t>（幅：１２０ｍｍ，角度：４５度，中央：白</t>
    </r>
    <r>
      <rPr>
        <sz val="8"/>
        <rFont val="ＭＳ Ｐゴシック"/>
        <family val="3"/>
        <charset val="128"/>
      </rPr>
      <t>または</t>
    </r>
    <r>
      <rPr>
        <sz val="11"/>
        <rFont val="ＭＳ Ｐゴシック"/>
        <family val="3"/>
        <charset val="128"/>
      </rPr>
      <t>黒）</t>
    </r>
    <rPh sb="16" eb="18">
      <t>チュウオウ</t>
    </rPh>
    <rPh sb="19" eb="20">
      <t>シロ</t>
    </rPh>
    <rPh sb="23" eb="24">
      <t>クロ</t>
    </rPh>
    <phoneticPr fontId="2"/>
  </si>
  <si>
    <t>）</t>
    <phoneticPr fontId="2"/>
  </si>
  <si>
    <t>文字・マーク</t>
    <phoneticPr fontId="2"/>
  </si>
  <si>
    <t>）</t>
    <phoneticPr fontId="2"/>
  </si>
  <si>
    <r>
      <t>特別追加塗装</t>
    </r>
    <r>
      <rPr>
        <sz val="9"/>
        <rFont val="ＭＳ Ｐゴシック"/>
        <family val="3"/>
        <charset val="128"/>
      </rPr>
      <t>（追加塗装依頼書が必要）</t>
    </r>
    <rPh sb="0" eb="2">
      <t>トクベツ</t>
    </rPh>
    <rPh sb="2" eb="4">
      <t>ツイカ</t>
    </rPh>
    <rPh sb="4" eb="6">
      <t>トソウ</t>
    </rPh>
    <phoneticPr fontId="2"/>
  </si>
  <si>
    <t>タッチアップ用</t>
    <rPh sb="6" eb="7">
      <t>ヨウ</t>
    </rPh>
    <phoneticPr fontId="2"/>
  </si>
  <si>
    <t>枚）</t>
    <phoneticPr fontId="2"/>
  </si>
  <si>
    <t>指示図または写真…</t>
    <phoneticPr fontId="2"/>
  </si>
  <si>
    <t>角ゴシック</t>
    <phoneticPr fontId="2"/>
  </si>
  <si>
    <t>ロック</t>
    <phoneticPr fontId="2"/>
  </si>
  <si>
    <t>ホイール</t>
    <phoneticPr fontId="2"/>
  </si>
  <si>
    <t>仕様内容</t>
    <rPh sb="0" eb="2">
      <t>シヨウ</t>
    </rPh>
    <rPh sb="2" eb="4">
      <t>ナイヨウ</t>
    </rPh>
    <phoneticPr fontId="2"/>
  </si>
  <si>
    <t>仕様項目</t>
    <rPh sb="0" eb="2">
      <t>シヨウ</t>
    </rPh>
    <rPh sb="2" eb="4">
      <t>コウモク</t>
    </rPh>
    <phoneticPr fontId="2"/>
  </si>
  <si>
    <t>有</t>
    <rPh sb="0" eb="1">
      <t>アリ</t>
    </rPh>
    <phoneticPr fontId="2"/>
  </si>
  <si>
    <t>種別</t>
    <rPh sb="0" eb="2">
      <t>シュベツ</t>
    </rPh>
    <phoneticPr fontId="2"/>
  </si>
  <si>
    <t>標準</t>
    <rPh sb="0" eb="2">
      <t>ヒョウジュン</t>
    </rPh>
    <phoneticPr fontId="2"/>
  </si>
  <si>
    <t>無し</t>
    <rPh sb="0" eb="1">
      <t>ナ</t>
    </rPh>
    <phoneticPr fontId="2"/>
  </si>
  <si>
    <t>無し</t>
    <phoneticPr fontId="2"/>
  </si>
  <si>
    <t>発注仕様書Ｎｏ</t>
  </si>
  <si>
    <t>10.00-20-14PR</t>
  </si>
  <si>
    <t>いすゞ</t>
  </si>
  <si>
    <t>10.00-20-16PR</t>
  </si>
  <si>
    <t>10.00R20-14PR</t>
  </si>
  <si>
    <t>10R22.5-14PR</t>
  </si>
  <si>
    <t>ニッサン</t>
  </si>
  <si>
    <t>11.00-20-14PR</t>
  </si>
  <si>
    <t>11.00-20-16PR</t>
  </si>
  <si>
    <t>トヨタ</t>
  </si>
  <si>
    <t>11.1-20-16PR</t>
  </si>
  <si>
    <t>マツダ</t>
  </si>
  <si>
    <t>11.1R-20-16PR</t>
  </si>
  <si>
    <t>ダイハツ</t>
  </si>
  <si>
    <t>11/70R22.5-14PR</t>
  </si>
  <si>
    <t>11R22.5-14PR</t>
  </si>
  <si>
    <t>○</t>
  </si>
  <si>
    <t>11R22.5-16PR</t>
  </si>
  <si>
    <t>12R22.5-14PR</t>
  </si>
  <si>
    <t>12R22.5-16PR</t>
  </si>
  <si>
    <t>145R12-6PR LT</t>
  </si>
  <si>
    <t>155R12-8PR LT</t>
  </si>
  <si>
    <t>165R13-6PR LT</t>
  </si>
  <si>
    <t>9-1．耐寒グリース</t>
    <phoneticPr fontId="2"/>
  </si>
  <si>
    <t>9-2．積込操作盤ヒーター</t>
    <phoneticPr fontId="2"/>
  </si>
  <si>
    <t>9-3．ロータリーソレノイドカバー</t>
    <phoneticPr fontId="2"/>
  </si>
  <si>
    <t>有 (ダフニーグリース　ＸＬＡ-２相当品)</t>
    <rPh sb="0" eb="1">
      <t>アリ</t>
    </rPh>
    <phoneticPr fontId="2"/>
  </si>
  <si>
    <t>有 【キー「ＯＮ」にて作動、スイッチはキャブ内に取付】</t>
    <rPh sb="0" eb="1">
      <t>アリ</t>
    </rPh>
    <phoneticPr fontId="2"/>
  </si>
  <si>
    <t xml:space="preserve">有 【ロータリーソレノイド仕様のみ選択可、ロータリーソレノイドをボデー下に取付の場合は無し】 </t>
    <rPh sb="0" eb="1">
      <t>アリ</t>
    </rPh>
    <phoneticPr fontId="2"/>
  </si>
  <si>
    <t>11-1．アンダーコート（黒色）塗布</t>
    <rPh sb="13" eb="14">
      <t>クロ</t>
    </rPh>
    <rPh sb="14" eb="15">
      <t>イロ</t>
    </rPh>
    <rPh sb="16" eb="18">
      <t>トフ</t>
    </rPh>
    <phoneticPr fontId="2"/>
  </si>
  <si>
    <t>12-5．道具箱</t>
    <rPh sb="5" eb="7">
      <t>ドウグ</t>
    </rPh>
    <rPh sb="7" eb="8">
      <t>ハコ</t>
    </rPh>
    <phoneticPr fontId="2"/>
  </si>
  <si>
    <t>12-6．消火器</t>
    <rPh sb="5" eb="8">
      <t>ショウカキ</t>
    </rPh>
    <phoneticPr fontId="2"/>
  </si>
  <si>
    <t>12-8．その他</t>
    <rPh sb="7" eb="8">
      <t>タ</t>
    </rPh>
    <phoneticPr fontId="2"/>
  </si>
  <si>
    <t>175R14-8PR LT</t>
  </si>
  <si>
    <t>195/65R16 106/104L LT</t>
  </si>
  <si>
    <t>195/70R15 106/104L LT</t>
  </si>
  <si>
    <t>195/70R15.5 109/107L LT</t>
  </si>
  <si>
    <t>195/85R16 108/106L LT</t>
  </si>
  <si>
    <t>195/85R16 114/112L LT</t>
  </si>
  <si>
    <t>195R14-8PR LT</t>
  </si>
  <si>
    <t>205/70R16 111/109L LT</t>
  </si>
  <si>
    <t>205/75R16 113/111L LT</t>
  </si>
  <si>
    <t>205/80R17.5 114/112L LT</t>
  </si>
  <si>
    <t>205/80R17.5 120/118L LT</t>
  </si>
  <si>
    <t>205/85R16 117/115L LT</t>
  </si>
  <si>
    <t>205R15-8PR LT</t>
  </si>
  <si>
    <t>□</t>
  </si>
  <si>
    <t xml:space="preserve">215/60R15.5 110/108L LT </t>
  </si>
  <si>
    <t>215/70R17.5 112/110L LT</t>
  </si>
  <si>
    <t>215/70R17.5 118/116L LT</t>
  </si>
  <si>
    <t>215/70R17.5 123/121J</t>
  </si>
  <si>
    <t>225/60R17.5 116/114L LT</t>
  </si>
  <si>
    <t>225/70R19.5 130/128J</t>
  </si>
  <si>
    <t>225/75R16 118/116L LT</t>
  </si>
  <si>
    <t>225/80R17.5 123/122L</t>
  </si>
  <si>
    <t>235/70R17.5 127/125J</t>
  </si>
  <si>
    <t>235/70R22.5 134/131J</t>
  </si>
  <si>
    <t>245/70R19.5 136/134J</t>
  </si>
  <si>
    <t>255/70R22.5 140/137J</t>
  </si>
  <si>
    <t>255/70R22.5 143/140J</t>
  </si>
  <si>
    <t>265/60R22.5 143/140J</t>
  </si>
  <si>
    <t>有 排出板が最前部に無いときに、テールゲートが降下しないようにするスイッチ</t>
    <phoneticPr fontId="2"/>
  </si>
  <si>
    <t>265/70R19.5 140/138J</t>
  </si>
  <si>
    <t>275/70R22.5 146/143J</t>
  </si>
  <si>
    <t>275/70R22.5 148/145J</t>
  </si>
  <si>
    <t>275/80R22.5 149/146J</t>
  </si>
  <si>
    <t>285/60R22.5 148/145J</t>
  </si>
  <si>
    <t>295/70R22.5 149/146J</t>
  </si>
  <si>
    <t>295/80R22.5 152/149J</t>
  </si>
  <si>
    <t>6.00-14-8PR LT</t>
  </si>
  <si>
    <t>6.50-14-8PR LT</t>
  </si>
  <si>
    <t>6.50-16-10PR LT</t>
  </si>
  <si>
    <t>6.50-16-12PR LT</t>
  </si>
  <si>
    <t>6.50-16-8PR LT</t>
  </si>
  <si>
    <t>6.50R16-10PR LT</t>
  </si>
  <si>
    <t>6.50R16-12PR LT</t>
  </si>
  <si>
    <t>6.50R16-8PR LT</t>
  </si>
  <si>
    <t>7.00-15-10PR LT</t>
  </si>
  <si>
    <t>7.00-16-10PR LT</t>
  </si>
  <si>
    <t>7.00-16-12PR LT</t>
  </si>
  <si>
    <t>7.00-16-8PR LT</t>
  </si>
  <si>
    <t>7.00R15-10PR LT</t>
  </si>
  <si>
    <t>7.00R15-12PR LT</t>
  </si>
  <si>
    <t>7.00R15-8PR LT</t>
  </si>
  <si>
    <t>7.00R16-10PR LT</t>
  </si>
  <si>
    <t>7.00R16-12PR LT</t>
  </si>
  <si>
    <t>7.00R16-8PR LT</t>
  </si>
  <si>
    <t>7.50-16-10PR LT</t>
  </si>
  <si>
    <t>7.50-16-12PR LT</t>
  </si>
  <si>
    <t>7.50-16-14PR LT</t>
  </si>
  <si>
    <t>7.50-20-12PR</t>
  </si>
  <si>
    <t>7.50R15-10PR LT</t>
  </si>
  <si>
    <t>7.50R15-12PR LT</t>
  </si>
  <si>
    <t>7.50R15-14PR LT</t>
  </si>
  <si>
    <t>7.50R16-10PR LT</t>
  </si>
  <si>
    <t>7.50R16-12PR LT</t>
  </si>
  <si>
    <t>7.50R16-14PR LT</t>
  </si>
  <si>
    <t>8.25-16-14PR LT</t>
  </si>
  <si>
    <t>8.25-20-14PR</t>
  </si>
  <si>
    <t>8.25R16-14PR LT</t>
  </si>
  <si>
    <t>8.25R20-14PR</t>
  </si>
  <si>
    <t>9.00-20-12PR</t>
  </si>
  <si>
    <t>9.00-20-14PR</t>
  </si>
  <si>
    <t>9.00R20-14PR</t>
  </si>
  <si>
    <t>9R22.5-14PR</t>
  </si>
  <si>
    <t>1名</t>
    <rPh sb="1" eb="2">
      <t>メイ</t>
    </rPh>
    <phoneticPr fontId="2"/>
  </si>
  <si>
    <t>営業統括部</t>
    <rPh sb="0" eb="2">
      <t>エイギョウ</t>
    </rPh>
    <rPh sb="2" eb="4">
      <t>トウカツ</t>
    </rPh>
    <rPh sb="4" eb="5">
      <t>ブ</t>
    </rPh>
    <phoneticPr fontId="2"/>
  </si>
  <si>
    <t>ディーゼル</t>
    <phoneticPr fontId="2"/>
  </si>
  <si>
    <t>標　準</t>
    <rPh sb="0" eb="1">
      <t>ヒョウ</t>
    </rPh>
    <rPh sb="2" eb="3">
      <t>ジュン</t>
    </rPh>
    <phoneticPr fontId="2"/>
  </si>
  <si>
    <t>マニュアル</t>
    <phoneticPr fontId="2"/>
  </si>
  <si>
    <t>日付</t>
    <rPh sb="0" eb="2">
      <t>ヒヅケ</t>
    </rPh>
    <phoneticPr fontId="2"/>
  </si>
  <si>
    <t>2名</t>
    <rPh sb="1" eb="2">
      <t>メイ</t>
    </rPh>
    <phoneticPr fontId="2"/>
  </si>
  <si>
    <t>仙台支店</t>
    <rPh sb="0" eb="2">
      <t>センダイ</t>
    </rPh>
    <rPh sb="2" eb="4">
      <t>シテン</t>
    </rPh>
    <phoneticPr fontId="15"/>
  </si>
  <si>
    <t>三菱ふそう</t>
    <rPh sb="0" eb="2">
      <t>ミツビシ</t>
    </rPh>
    <phoneticPr fontId="15"/>
  </si>
  <si>
    <t>ＣＮＧ</t>
    <phoneticPr fontId="2"/>
  </si>
  <si>
    <t>ミックスラジアル</t>
    <phoneticPr fontId="2"/>
  </si>
  <si>
    <t>大容量</t>
    <rPh sb="0" eb="3">
      <t>ダイヨウリョウ</t>
    </rPh>
    <phoneticPr fontId="2"/>
  </si>
  <si>
    <t>オートマチック</t>
    <phoneticPr fontId="2"/>
  </si>
  <si>
    <t>3名</t>
    <rPh sb="1" eb="2">
      <t>メイ</t>
    </rPh>
    <phoneticPr fontId="2"/>
  </si>
  <si>
    <t>日野</t>
    <rPh sb="0" eb="2">
      <t>ヒノ</t>
    </rPh>
    <phoneticPr fontId="15"/>
  </si>
  <si>
    <t>ＬＰＧ</t>
    <phoneticPr fontId="2"/>
  </si>
  <si>
    <t>スタッドレス</t>
    <phoneticPr fontId="2"/>
  </si>
  <si>
    <t>寒冷地</t>
    <rPh sb="0" eb="3">
      <t>カンレイチ</t>
    </rPh>
    <phoneticPr fontId="2"/>
  </si>
  <si>
    <t>スムーサー（いすゞ）</t>
    <phoneticPr fontId="2"/>
  </si>
  <si>
    <t>4名</t>
    <rPh sb="1" eb="2">
      <t>メイ</t>
    </rPh>
    <phoneticPr fontId="2"/>
  </si>
  <si>
    <t>埼玉支店</t>
    <rPh sb="0" eb="2">
      <t>サイタマ</t>
    </rPh>
    <rPh sb="2" eb="4">
      <t>シテン</t>
    </rPh>
    <phoneticPr fontId="15"/>
  </si>
  <si>
    <t>ハイブリッド</t>
    <phoneticPr fontId="2"/>
  </si>
  <si>
    <t>スノー</t>
    <phoneticPr fontId="2"/>
  </si>
  <si>
    <t>１２Ｖ（ＬＰＧ）</t>
    <phoneticPr fontId="2"/>
  </si>
  <si>
    <t>ＩＮＯＭＡＴ-Ⅱ（三菱）</t>
    <rPh sb="9" eb="11">
      <t>ミツビシ</t>
    </rPh>
    <phoneticPr fontId="2"/>
  </si>
  <si>
    <t>5名</t>
    <rPh sb="1" eb="2">
      <t>メイ</t>
    </rPh>
    <phoneticPr fontId="2"/>
  </si>
  <si>
    <t>千葉支店</t>
    <rPh sb="0" eb="2">
      <t>チバ</t>
    </rPh>
    <rPh sb="2" eb="4">
      <t>シテン</t>
    </rPh>
    <phoneticPr fontId="15"/>
  </si>
  <si>
    <t>１２Ｖ２個（ＬＰＧ）</t>
    <rPh sb="4" eb="5">
      <t>コ</t>
    </rPh>
    <phoneticPr fontId="2"/>
  </si>
  <si>
    <r>
      <t>《受注関連項目》</t>
    </r>
    <r>
      <rPr>
        <b/>
        <sz val="11"/>
        <color indexed="10"/>
        <rFont val="ＭＳ Ｐゴシック"/>
        <family val="3"/>
        <charset val="128"/>
      </rPr>
      <t>完成発送要望日については、座席指定方式の表にて必ず確認</t>
    </r>
    <rPh sb="1" eb="3">
      <t>ジュチュウ</t>
    </rPh>
    <rPh sb="3" eb="5">
      <t>カンレン</t>
    </rPh>
    <rPh sb="5" eb="7">
      <t>コウモク</t>
    </rPh>
    <rPh sb="8" eb="10">
      <t>カンセイ</t>
    </rPh>
    <rPh sb="10" eb="12">
      <t>ハッソウ</t>
    </rPh>
    <rPh sb="12" eb="14">
      <t>ヨウボウ</t>
    </rPh>
    <rPh sb="14" eb="15">
      <t>ビ</t>
    </rPh>
    <rPh sb="21" eb="23">
      <t>ザセキ</t>
    </rPh>
    <rPh sb="23" eb="25">
      <t>シテイ</t>
    </rPh>
    <rPh sb="25" eb="27">
      <t>ホウシキ</t>
    </rPh>
    <rPh sb="28" eb="29">
      <t>ヒョウ</t>
    </rPh>
    <rPh sb="31" eb="32">
      <t>カナラ</t>
    </rPh>
    <rPh sb="33" eb="35">
      <t>カクニン</t>
    </rPh>
    <phoneticPr fontId="2"/>
  </si>
  <si>
    <t>6名</t>
    <rPh sb="1" eb="2">
      <t>メイ</t>
    </rPh>
    <phoneticPr fontId="2"/>
  </si>
  <si>
    <t>東京支店</t>
    <rPh sb="0" eb="2">
      <t>トウキョウ</t>
    </rPh>
    <rPh sb="2" eb="4">
      <t>シテン</t>
    </rPh>
    <phoneticPr fontId="15"/>
  </si>
  <si>
    <t>事業所名</t>
    <rPh sb="0" eb="3">
      <t>ジギョウショ</t>
    </rPh>
    <rPh sb="3" eb="4">
      <t>ナ</t>
    </rPh>
    <phoneticPr fontId="2"/>
  </si>
  <si>
    <t>受注番号</t>
    <rPh sb="0" eb="2">
      <t>ジュチュウ</t>
    </rPh>
    <rPh sb="2" eb="4">
      <t>バンゴウ</t>
    </rPh>
    <phoneticPr fontId="2"/>
  </si>
  <si>
    <t>西東京営業所</t>
    <rPh sb="0" eb="1">
      <t>ニシ</t>
    </rPh>
    <rPh sb="1" eb="3">
      <t>トウキョウ</t>
    </rPh>
    <rPh sb="3" eb="6">
      <t>エイギョウショ</t>
    </rPh>
    <phoneticPr fontId="15"/>
  </si>
  <si>
    <t>注文者名</t>
    <rPh sb="0" eb="2">
      <t>チュウモン</t>
    </rPh>
    <rPh sb="2" eb="3">
      <t>シャ</t>
    </rPh>
    <rPh sb="3" eb="4">
      <t>ナ</t>
    </rPh>
    <phoneticPr fontId="2"/>
  </si>
  <si>
    <t>様</t>
    <rPh sb="0" eb="1">
      <t>サマ</t>
    </rPh>
    <phoneticPr fontId="2"/>
  </si>
  <si>
    <t>（フリガナ）</t>
    <phoneticPr fontId="2"/>
  </si>
  <si>
    <t>新潟営業所</t>
    <rPh sb="0" eb="2">
      <t>ニイガタ</t>
    </rPh>
    <rPh sb="2" eb="5">
      <t>エイギョウショ</t>
    </rPh>
    <phoneticPr fontId="15"/>
  </si>
  <si>
    <t>引当先名</t>
    <phoneticPr fontId="2"/>
  </si>
  <si>
    <t>完成発送要望日</t>
    <rPh sb="0" eb="2">
      <t>カンセイ</t>
    </rPh>
    <rPh sb="2" eb="4">
      <t>ハッソウ</t>
    </rPh>
    <rPh sb="4" eb="7">
      <t>ヨウボウビ</t>
    </rPh>
    <phoneticPr fontId="2"/>
  </si>
  <si>
    <t>納車予定日</t>
    <rPh sb="0" eb="2">
      <t>ノウシャ</t>
    </rPh>
    <rPh sb="2" eb="5">
      <t>ヨテイビ</t>
    </rPh>
    <phoneticPr fontId="2"/>
  </si>
  <si>
    <t>神奈川支店</t>
    <rPh sb="0" eb="3">
      <t>カナガワ</t>
    </rPh>
    <rPh sb="3" eb="5">
      <t>シテン</t>
    </rPh>
    <phoneticPr fontId="15"/>
  </si>
  <si>
    <t>車検場</t>
    <rPh sb="0" eb="2">
      <t>シャケン</t>
    </rPh>
    <rPh sb="2" eb="3">
      <t>バ</t>
    </rPh>
    <phoneticPr fontId="2"/>
  </si>
  <si>
    <t>転角証明要否</t>
    <rPh sb="0" eb="2">
      <t>テンカク</t>
    </rPh>
    <rPh sb="2" eb="4">
      <t>ショウメイ</t>
    </rPh>
    <rPh sb="4" eb="5">
      <t>ヨウ</t>
    </rPh>
    <rPh sb="5" eb="6">
      <t>ヒ</t>
    </rPh>
    <phoneticPr fontId="2"/>
  </si>
  <si>
    <t>不要</t>
    <rPh sb="0" eb="2">
      <t>フヨウ</t>
    </rPh>
    <phoneticPr fontId="2"/>
  </si>
  <si>
    <t>必要</t>
    <rPh sb="0" eb="2">
      <t>ヒツヨウ</t>
    </rPh>
    <phoneticPr fontId="2"/>
  </si>
  <si>
    <t>静岡営業所</t>
    <rPh sb="0" eb="2">
      <t>シズオカ</t>
    </rPh>
    <rPh sb="2" eb="5">
      <t>エイギョウショ</t>
    </rPh>
    <phoneticPr fontId="15"/>
  </si>
  <si>
    <t>ＳＲ充当</t>
    <rPh sb="2" eb="4">
      <t>ジュウトウ</t>
    </rPh>
    <phoneticPr fontId="2"/>
  </si>
  <si>
    <t>充当する（</t>
    <rPh sb="0" eb="2">
      <t>ジュウトウ</t>
    </rPh>
    <phoneticPr fontId="2"/>
  </si>
  <si>
    <t>）月生産分</t>
    <rPh sb="1" eb="2">
      <t>ツキ</t>
    </rPh>
    <rPh sb="2" eb="4">
      <t>セイサン</t>
    </rPh>
    <rPh sb="4" eb="5">
      <t>ブン</t>
    </rPh>
    <phoneticPr fontId="2"/>
  </si>
  <si>
    <t>名古屋支店</t>
    <rPh sb="0" eb="3">
      <t>ナゴヤ</t>
    </rPh>
    <rPh sb="3" eb="5">
      <t>シテン</t>
    </rPh>
    <phoneticPr fontId="15"/>
  </si>
  <si>
    <t>製造連番（受付時入力）</t>
    <rPh sb="0" eb="2">
      <t>セイゾウ</t>
    </rPh>
    <rPh sb="2" eb="4">
      <t>レンバン</t>
    </rPh>
    <rPh sb="5" eb="7">
      <t>ウケツケ</t>
    </rPh>
    <rPh sb="7" eb="8">
      <t>ジ</t>
    </rPh>
    <rPh sb="8" eb="10">
      <t>ニュウリョク</t>
    </rPh>
    <phoneticPr fontId="2"/>
  </si>
  <si>
    <t>関西支店</t>
    <rPh sb="0" eb="2">
      <t>カンサイ</t>
    </rPh>
    <rPh sb="2" eb="4">
      <t>シテン</t>
    </rPh>
    <phoneticPr fontId="15"/>
  </si>
  <si>
    <r>
      <t>《シャシ関連項目》</t>
    </r>
    <r>
      <rPr>
        <b/>
        <sz val="10"/>
        <color indexed="10"/>
        <rFont val="ＭＳ Ｐゴシック"/>
        <family val="3"/>
        <charset val="128"/>
      </rPr>
      <t>シャシの必要条件については、標準架装一覧表または技術検討書にて必ず確認</t>
    </r>
    <rPh sb="4" eb="6">
      <t>カンレン</t>
    </rPh>
    <rPh sb="6" eb="8">
      <t>コウモク</t>
    </rPh>
    <rPh sb="13" eb="15">
      <t>ヒツヨウ</t>
    </rPh>
    <rPh sb="15" eb="17">
      <t>ジョウケン</t>
    </rPh>
    <rPh sb="23" eb="25">
      <t>ヒョウジュン</t>
    </rPh>
    <rPh sb="25" eb="27">
      <t>カソウ</t>
    </rPh>
    <rPh sb="27" eb="30">
      <t>イチランヒョウ</t>
    </rPh>
    <rPh sb="33" eb="35">
      <t>ギジュツ</t>
    </rPh>
    <rPh sb="35" eb="37">
      <t>ケントウ</t>
    </rPh>
    <rPh sb="37" eb="38">
      <t>ショ</t>
    </rPh>
    <rPh sb="40" eb="41">
      <t>カナラ</t>
    </rPh>
    <rPh sb="42" eb="44">
      <t>カクニン</t>
    </rPh>
    <phoneticPr fontId="2"/>
  </si>
  <si>
    <t>仕様項目
№</t>
    <rPh sb="0" eb="2">
      <t>シヨウ</t>
    </rPh>
    <rPh sb="2" eb="4">
      <t>コウモク</t>
    </rPh>
    <phoneticPr fontId="2"/>
  </si>
  <si>
    <t>1-1．</t>
  </si>
  <si>
    <t>2-1．</t>
  </si>
  <si>
    <t>2-2．</t>
  </si>
  <si>
    <t>2-3．</t>
  </si>
  <si>
    <t>3-1．</t>
  </si>
  <si>
    <t>3-2．</t>
  </si>
  <si>
    <t>3-3．</t>
  </si>
  <si>
    <t>3-4．</t>
  </si>
  <si>
    <t>3-5．</t>
  </si>
  <si>
    <t>3-6．</t>
  </si>
  <si>
    <t>3-7．</t>
  </si>
  <si>
    <t>3-8．</t>
  </si>
  <si>
    <t>4-1．</t>
  </si>
  <si>
    <t>4-2．</t>
  </si>
  <si>
    <t>4-3．</t>
  </si>
  <si>
    <t>4-4．</t>
  </si>
  <si>
    <t>5-1．</t>
  </si>
  <si>
    <t>5-2．</t>
  </si>
  <si>
    <t>5-3．</t>
  </si>
  <si>
    <t>5-4．</t>
  </si>
  <si>
    <t>5-5．</t>
  </si>
  <si>
    <t>5-6．</t>
  </si>
  <si>
    <t>5-7．</t>
  </si>
  <si>
    <t>5-8．</t>
  </si>
  <si>
    <t>5-9．</t>
  </si>
  <si>
    <t>5-10．</t>
  </si>
  <si>
    <t>5-11．</t>
  </si>
  <si>
    <t>5-12．</t>
  </si>
  <si>
    <t>5-13．</t>
  </si>
  <si>
    <t>5-14．</t>
  </si>
  <si>
    <t>5-15．</t>
  </si>
  <si>
    <t>5-16．</t>
  </si>
  <si>
    <t>5-17．</t>
  </si>
  <si>
    <t>5-18．</t>
  </si>
  <si>
    <t>5-19．</t>
  </si>
  <si>
    <t>5-20．</t>
  </si>
  <si>
    <t>5-21．</t>
  </si>
  <si>
    <t>5-22．</t>
  </si>
  <si>
    <t>5-23．</t>
  </si>
  <si>
    <t>6-1．</t>
  </si>
  <si>
    <t>6-2．</t>
  </si>
  <si>
    <t>6-3．</t>
  </si>
  <si>
    <t>6-4．</t>
  </si>
  <si>
    <t>6-5．</t>
  </si>
  <si>
    <t>6-6．</t>
  </si>
  <si>
    <t>6-7．</t>
  </si>
  <si>
    <t>6-8．</t>
  </si>
  <si>
    <t>6-9．</t>
  </si>
  <si>
    <t>6-10．</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</si>
  <si>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</si>
  <si>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</si>
  <si>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</si>
  <si>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</si>
  <si>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</si>
  <si>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</si>
  <si>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</si>
  <si>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</si>
  <si>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</si>
  <si>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</si>
  <si>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</si>
  <si>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</si>
  <si>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</si>
  <si>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</si>
  <si>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</si>
  <si>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</si>
  <si>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</si>
  <si>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</si>
  <si>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</si>
  <si>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</si>
  <si>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</si>
  <si>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</si>
  <si>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</si>
  <si>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</si>
  <si>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</si>
  <si>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8-1．</t>
  </si>
  <si>
    <t>8-2．</t>
  </si>
  <si>
    <t>8-3．</t>
  </si>
  <si>
    <t>8-4．</t>
  </si>
  <si>
    <t>8-5．</t>
  </si>
  <si>
    <t>8-6．</t>
  </si>
  <si>
    <t>8-7．</t>
  </si>
  <si>
    <t>8-8．</t>
  </si>
  <si>
    <t>8-9．</t>
  </si>
  <si>
    <t>8-10．</t>
  </si>
  <si>
    <t>8-11．</t>
  </si>
  <si>
    <t>8-12．</t>
  </si>
  <si>
    <t>8-13．</t>
  </si>
  <si>
    <t>9-1．</t>
  </si>
  <si>
    <t>9-2．</t>
  </si>
  <si>
    <t>9-3．</t>
  </si>
  <si>
    <t>10-1．</t>
  </si>
  <si>
    <t>10-2．</t>
  </si>
  <si>
    <t>10-3．</t>
  </si>
  <si>
    <t>11-1．</t>
  </si>
  <si>
    <t>12-1．</t>
  </si>
  <si>
    <t>12-2．</t>
  </si>
  <si>
    <t>12-3．</t>
  </si>
  <si>
    <t>12-4．</t>
  </si>
  <si>
    <t>12-5．</t>
  </si>
  <si>
    <t>12-6．</t>
  </si>
  <si>
    <t>12-7．</t>
  </si>
  <si>
    <t>12-8．</t>
  </si>
  <si>
    <t>5-6．汚水溜り取付
       （汚水タンクへホースつなぐ）</t>
    <phoneticPr fontId="2"/>
  </si>
  <si>
    <t>5-14．積込操作盤・緊急停止スイッチ
         ボックスゴムカバー</t>
    <phoneticPr fontId="2"/>
  </si>
  <si>
    <t>6-9．作動油ドレンホース取付
       （フレームサイド下部まで取付）</t>
    <phoneticPr fontId="2"/>
  </si>
  <si>
    <t>7-21．配線接続位置
         （ボデー側とＴ／Ｇ側）</t>
    <rPh sb="5" eb="7">
      <t>ハイセン</t>
    </rPh>
    <rPh sb="7" eb="9">
      <t>セツゾク</t>
    </rPh>
    <rPh sb="9" eb="11">
      <t>イチ</t>
    </rPh>
    <rPh sb="25" eb="26">
      <t>ガワ</t>
    </rPh>
    <rPh sb="30" eb="31">
      <t>ガワ</t>
    </rPh>
    <phoneticPr fontId="2"/>
  </si>
  <si>
    <t>7-16．ロータリーソレノイド式
         エンジン制御</t>
    <rPh sb="15" eb="16">
      <t>シキ</t>
    </rPh>
    <rPh sb="30" eb="32">
      <t>セイギョ</t>
    </rPh>
    <phoneticPr fontId="2"/>
  </si>
  <si>
    <t>6-6．泥除ゴムに後方延長プレート取付</t>
    <rPh sb="11" eb="13">
      <t>エンチョウ</t>
    </rPh>
    <phoneticPr fontId="2"/>
  </si>
  <si>
    <t>京都営業所</t>
    <rPh sb="0" eb="2">
      <t>キョウト</t>
    </rPh>
    <rPh sb="2" eb="4">
      <t>エイギョウ</t>
    </rPh>
    <rPh sb="4" eb="5">
      <t>ショ</t>
    </rPh>
    <phoneticPr fontId="2"/>
  </si>
  <si>
    <t>シャシメーカー名</t>
    <rPh sb="7" eb="8">
      <t>ナ</t>
    </rPh>
    <phoneticPr fontId="2"/>
  </si>
  <si>
    <t>シャシ型式</t>
    <rPh sb="3" eb="5">
      <t>カタシキ</t>
    </rPh>
    <phoneticPr fontId="2"/>
  </si>
  <si>
    <t>広島支店</t>
    <rPh sb="0" eb="2">
      <t>ヒロシマ</t>
    </rPh>
    <rPh sb="2" eb="4">
      <t>シテン</t>
    </rPh>
    <phoneticPr fontId="15"/>
  </si>
  <si>
    <t>車体番号（シャシＮｏ）</t>
    <rPh sb="0" eb="2">
      <t>シャタイ</t>
    </rPh>
    <rPh sb="2" eb="4">
      <t>バンゴウ</t>
    </rPh>
    <phoneticPr fontId="2"/>
  </si>
  <si>
    <t>シャシ搬入予定日</t>
    <rPh sb="3" eb="5">
      <t>ハンニュウ</t>
    </rPh>
    <rPh sb="5" eb="8">
      <t>ヨテイビ</t>
    </rPh>
    <phoneticPr fontId="2"/>
  </si>
  <si>
    <t>四国支店</t>
    <rPh sb="0" eb="2">
      <t>シコク</t>
    </rPh>
    <rPh sb="2" eb="4">
      <t>シテン</t>
    </rPh>
    <phoneticPr fontId="15"/>
  </si>
  <si>
    <t>エンジンタイプ</t>
    <phoneticPr fontId="2"/>
  </si>
  <si>
    <t>11-2．</t>
  </si>
  <si>
    <t>１１.塗装</t>
    <rPh sb="3" eb="5">
      <t>トソウ</t>
    </rPh>
    <phoneticPr fontId="2"/>
  </si>
  <si>
    <t>11-2．標準ラベル類</t>
    <rPh sb="5" eb="7">
      <t>ヒョウジュン</t>
    </rPh>
    <rPh sb="10" eb="11">
      <t>ルイ</t>
    </rPh>
    <phoneticPr fontId="2"/>
  </si>
  <si>
    <t>積載（支店貼り付け）【本社塗装時のみ選択可】</t>
    <rPh sb="0" eb="2">
      <t>セキサイ</t>
    </rPh>
    <rPh sb="3" eb="5">
      <t>シテン</t>
    </rPh>
    <rPh sb="5" eb="6">
      <t>ハ</t>
    </rPh>
    <rPh sb="7" eb="8">
      <t>ツ</t>
    </rPh>
    <rPh sb="11" eb="13">
      <t>ホンシャ</t>
    </rPh>
    <rPh sb="13" eb="15">
      <t>トソウ</t>
    </rPh>
    <rPh sb="15" eb="16">
      <t>ジ</t>
    </rPh>
    <rPh sb="18" eb="20">
      <t>センタク</t>
    </rPh>
    <rPh sb="20" eb="21">
      <t>カ</t>
    </rPh>
    <phoneticPr fontId="2"/>
  </si>
  <si>
    <t>ＯＰ</t>
    <phoneticPr fontId="2"/>
  </si>
  <si>
    <t xml:space="preserve">別紙（補助仕様書）参照 </t>
    <phoneticPr fontId="2"/>
  </si>
  <si>
    <t>11-2．標準ラベル類</t>
    <phoneticPr fontId="2"/>
  </si>
  <si>
    <t>乗員数（人）</t>
    <rPh sb="0" eb="2">
      <t>ジョウイン</t>
    </rPh>
    <rPh sb="2" eb="3">
      <t>スウ</t>
    </rPh>
    <rPh sb="4" eb="5">
      <t>ニン</t>
    </rPh>
    <phoneticPr fontId="2"/>
  </si>
  <si>
    <t>福岡支店</t>
    <rPh sb="0" eb="2">
      <t>フクオカ</t>
    </rPh>
    <rPh sb="2" eb="4">
      <t>シテン</t>
    </rPh>
    <phoneticPr fontId="15"/>
  </si>
  <si>
    <t>ＰＴＯ種類</t>
    <rPh sb="3" eb="5">
      <t>シュルイ</t>
    </rPh>
    <phoneticPr fontId="2"/>
  </si>
  <si>
    <t>本体：</t>
    <rPh sb="0" eb="2">
      <t>ホンタイ</t>
    </rPh>
    <phoneticPr fontId="2"/>
  </si>
  <si>
    <t>サイドＰＴＯをｼｬｼに装着して搬入</t>
    <rPh sb="11" eb="13">
      <t>ソウチャク</t>
    </rPh>
    <rPh sb="15" eb="17">
      <t>ハンニュウ</t>
    </rPh>
    <phoneticPr fontId="2"/>
  </si>
  <si>
    <r>
      <t>その他</t>
    </r>
    <r>
      <rPr>
        <b/>
        <sz val="10"/>
        <rFont val="ＭＳ Ｐゴシック"/>
        <family val="3"/>
        <charset val="128"/>
      </rPr>
      <t>（詳細は下記特記事項に記入）</t>
    </r>
    <rPh sb="2" eb="3">
      <t>タ</t>
    </rPh>
    <rPh sb="4" eb="6">
      <t>ショウサイ</t>
    </rPh>
    <rPh sb="7" eb="9">
      <t>カキ</t>
    </rPh>
    <rPh sb="9" eb="11">
      <t>トッキ</t>
    </rPh>
    <rPh sb="11" eb="13">
      <t>ジコウ</t>
    </rPh>
    <rPh sb="14" eb="16">
      <t>キニュウ</t>
    </rPh>
    <phoneticPr fontId="2"/>
  </si>
  <si>
    <t>鹿児島営業所</t>
    <rPh sb="0" eb="3">
      <t>カゴシマ</t>
    </rPh>
    <rPh sb="3" eb="6">
      <t>エイギョウショ</t>
    </rPh>
    <phoneticPr fontId="15"/>
  </si>
  <si>
    <t>操作系統：</t>
    <rPh sb="0" eb="2">
      <t>ソウサ</t>
    </rPh>
    <rPh sb="2" eb="4">
      <t>ケイトウ</t>
    </rPh>
    <phoneticPr fontId="2"/>
  </si>
  <si>
    <t>操作系統一式をｼｬｼに装着して搬入</t>
    <rPh sb="0" eb="2">
      <t>ソウサ</t>
    </rPh>
    <rPh sb="2" eb="4">
      <t>ケイトウ</t>
    </rPh>
    <rPh sb="4" eb="6">
      <t>イッシキ</t>
    </rPh>
    <rPh sb="11" eb="13">
      <t>ソウチャク</t>
    </rPh>
    <rPh sb="15" eb="17">
      <t>ハンニュウ</t>
    </rPh>
    <phoneticPr fontId="2"/>
  </si>
  <si>
    <t>タイヤサイズ（Ｆ,Ｒ）</t>
    <phoneticPr fontId="2"/>
  </si>
  <si>
    <t>タイヤパターン</t>
    <phoneticPr fontId="2"/>
  </si>
  <si>
    <t>トランスミッションタイプ</t>
    <phoneticPr fontId="2"/>
  </si>
  <si>
    <t>バッテリータイプ</t>
    <phoneticPr fontId="2"/>
  </si>
  <si>
    <t>シャシ仕様及び特記事項</t>
    <rPh sb="3" eb="5">
      <t>シヨウ</t>
    </rPh>
    <rPh sb="5" eb="6">
      <t>オヨ</t>
    </rPh>
    <rPh sb="7" eb="9">
      <t>トッキ</t>
    </rPh>
    <rPh sb="9" eb="11">
      <t>ジコウ</t>
    </rPh>
    <phoneticPr fontId="2"/>
  </si>
  <si>
    <t>架装型式 （荷箱容積）</t>
    <rPh sb="0" eb="2">
      <t>カソウ</t>
    </rPh>
    <rPh sb="2" eb="4">
      <t>カタシキ</t>
    </rPh>
    <rPh sb="6" eb="8">
      <t>ニバコ</t>
    </rPh>
    <rPh sb="8" eb="10">
      <t>ヨウセキ</t>
    </rPh>
    <phoneticPr fontId="2"/>
  </si>
  <si>
    <t>要望最大積載量（ｋｇ）</t>
    <rPh sb="0" eb="2">
      <t>ヨウボウ</t>
    </rPh>
    <rPh sb="2" eb="4">
      <t>サイダイ</t>
    </rPh>
    <rPh sb="4" eb="7">
      <t>セキサイリョウ</t>
    </rPh>
    <phoneticPr fontId="2"/>
  </si>
  <si>
    <t>工場出荷時塗装状態</t>
    <rPh sb="0" eb="2">
      <t>コウジョウ</t>
    </rPh>
    <rPh sb="2" eb="4">
      <t>シュッカ</t>
    </rPh>
    <rPh sb="4" eb="5">
      <t>ジ</t>
    </rPh>
    <rPh sb="5" eb="7">
      <t>トソウ</t>
    </rPh>
    <rPh sb="7" eb="9">
      <t>ジョウタイ</t>
    </rPh>
    <phoneticPr fontId="2"/>
  </si>
  <si>
    <t>塗装して出荷</t>
    <rPh sb="0" eb="2">
      <t>トソウ</t>
    </rPh>
    <rPh sb="4" eb="6">
      <t>シュッカ</t>
    </rPh>
    <phoneticPr fontId="2"/>
  </si>
  <si>
    <t>未塗装で出荷</t>
    <rPh sb="0" eb="1">
      <t>ミ</t>
    </rPh>
    <rPh sb="1" eb="3">
      <t>トソウ</t>
    </rPh>
    <rPh sb="4" eb="6">
      <t>シュッカ</t>
    </rPh>
    <phoneticPr fontId="2"/>
  </si>
  <si>
    <t>塗装仕様</t>
    <rPh sb="0" eb="2">
      <t>トソウ</t>
    </rPh>
    <rPh sb="2" eb="4">
      <t>シヨウ</t>
    </rPh>
    <phoneticPr fontId="2"/>
  </si>
  <si>
    <t>キャビン同色
（ﾎﾜｲﾄ）</t>
    <rPh sb="4" eb="6">
      <t>ドウショク</t>
    </rPh>
    <phoneticPr fontId="2"/>
  </si>
  <si>
    <t>キャビン同色
（ﾌﾞﾙｰ）</t>
    <rPh sb="4" eb="6">
      <t>ドウショク</t>
    </rPh>
    <phoneticPr fontId="2"/>
  </si>
  <si>
    <t>指定色</t>
    <rPh sb="0" eb="2">
      <t>シテイ</t>
    </rPh>
    <rPh sb="2" eb="3">
      <t>ショク</t>
    </rPh>
    <phoneticPr fontId="2"/>
  </si>
  <si>
    <t>-No</t>
    <phoneticPr fontId="2"/>
  </si>
  <si>
    <t>ホイール：</t>
    <phoneticPr fontId="2"/>
  </si>
  <si>
    <t>塗装しない</t>
    <rPh sb="0" eb="2">
      <t>トソウ</t>
    </rPh>
    <phoneticPr fontId="2"/>
  </si>
  <si>
    <t>外側のみ塗装</t>
    <rPh sb="0" eb="2">
      <t>ソトガワ</t>
    </rPh>
    <rPh sb="4" eb="6">
      <t>トソウ</t>
    </rPh>
    <phoneticPr fontId="2"/>
  </si>
  <si>
    <t>内外とも塗装</t>
    <rPh sb="0" eb="2">
      <t>ナイガイ</t>
    </rPh>
    <rPh sb="4" eb="6">
      <t>トソウ</t>
    </rPh>
    <phoneticPr fontId="2"/>
  </si>
  <si>
    <t>記入文字：</t>
    <rPh sb="0" eb="2">
      <t>キニュウ</t>
    </rPh>
    <rPh sb="2" eb="4">
      <t>モジ</t>
    </rPh>
    <phoneticPr fontId="2"/>
  </si>
  <si>
    <t>なし</t>
    <phoneticPr fontId="2"/>
  </si>
  <si>
    <t>その他（詳細は補助仕様書に記載すること）</t>
    <rPh sb="2" eb="3">
      <t>タ</t>
    </rPh>
    <rPh sb="4" eb="6">
      <t>ショウサイ</t>
    </rPh>
    <rPh sb="7" eb="9">
      <t>ホジョ</t>
    </rPh>
    <rPh sb="9" eb="12">
      <t>シヨウショ</t>
    </rPh>
    <rPh sb="13" eb="15">
      <t>キサイ</t>
    </rPh>
    <phoneticPr fontId="2"/>
  </si>
  <si>
    <t>積載物</t>
    <rPh sb="0" eb="2">
      <t>セキサイ</t>
    </rPh>
    <rPh sb="2" eb="3">
      <t>ブツ</t>
    </rPh>
    <phoneticPr fontId="2"/>
  </si>
  <si>
    <t>生ゴミ</t>
    <rPh sb="0" eb="1">
      <t>ナマ</t>
    </rPh>
    <phoneticPr fontId="2"/>
  </si>
  <si>
    <t>粗大ゴミ</t>
    <rPh sb="0" eb="2">
      <t>ソダイ</t>
    </rPh>
    <phoneticPr fontId="2"/>
  </si>
  <si>
    <t>廃プラ</t>
    <rPh sb="0" eb="1">
      <t>ハイ</t>
    </rPh>
    <phoneticPr fontId="2"/>
  </si>
  <si>
    <t>ダンボール</t>
    <phoneticPr fontId="2"/>
  </si>
  <si>
    <t>ペットボトル</t>
    <phoneticPr fontId="2"/>
  </si>
  <si>
    <t>空缶</t>
    <rPh sb="0" eb="2">
      <t>アキカン</t>
    </rPh>
    <phoneticPr fontId="2"/>
  </si>
  <si>
    <t>その他</t>
    <rPh sb="2" eb="3">
      <t>タ</t>
    </rPh>
    <phoneticPr fontId="2"/>
  </si>
  <si>
    <t>特に注意すべき点</t>
    <rPh sb="0" eb="1">
      <t>トク</t>
    </rPh>
    <rPh sb="2" eb="4">
      <t>チュウイ</t>
    </rPh>
    <rPh sb="7" eb="8">
      <t>テン</t>
    </rPh>
    <phoneticPr fontId="2"/>
  </si>
  <si>
    <t>本受注の仕様内容については、別紙選択仕様書および補助仕様書をご確認ください。</t>
    <rPh sb="0" eb="1">
      <t>ホン</t>
    </rPh>
    <rPh sb="1" eb="3">
      <t>ジュチュウ</t>
    </rPh>
    <rPh sb="4" eb="8">
      <t>シヨウナイヨウ</t>
    </rPh>
    <rPh sb="14" eb="16">
      <t>ベッシ</t>
    </rPh>
    <rPh sb="16" eb="18">
      <t>センタク</t>
    </rPh>
    <rPh sb="18" eb="21">
      <t>シヨウショ</t>
    </rPh>
    <rPh sb="24" eb="26">
      <t>ホジョ</t>
    </rPh>
    <rPh sb="26" eb="29">
      <t>シヨウショ</t>
    </rPh>
    <rPh sb="31" eb="33">
      <t>カクニン</t>
    </rPh>
    <phoneticPr fontId="2"/>
  </si>
  <si>
    <t>標準化・非標準　兼用</t>
  </si>
  <si>
    <t>１月</t>
    <rPh sb="1" eb="2">
      <t>ガツ</t>
    </rPh>
    <phoneticPr fontId="2"/>
  </si>
  <si>
    <t>２月</t>
  </si>
  <si>
    <t>３月</t>
  </si>
  <si>
    <t>４月</t>
  </si>
  <si>
    <t>５月</t>
  </si>
  <si>
    <t>６月</t>
  </si>
  <si>
    <t>７月</t>
  </si>
  <si>
    <t>８月</t>
  </si>
  <si>
    <t>９月</t>
  </si>
  <si>
    <t>１０月</t>
  </si>
  <si>
    <t>１１月</t>
  </si>
  <si>
    <t>１２月</t>
  </si>
  <si>
    <t>データ抽出用</t>
    <rPh sb="3" eb="6">
      <t>チュウシュツヨウ</t>
    </rPh>
    <phoneticPr fontId="2"/>
  </si>
  <si>
    <t>受注No.</t>
    <rPh sb="0" eb="2">
      <t>ジュチュウ</t>
    </rPh>
    <phoneticPr fontId="2"/>
  </si>
  <si>
    <t>車型</t>
    <rPh sb="0" eb="1">
      <t>シャ</t>
    </rPh>
    <rPh sb="1" eb="2">
      <t>ガタ</t>
    </rPh>
    <phoneticPr fontId="2"/>
  </si>
  <si>
    <t>事業所名</t>
    <rPh sb="0" eb="2">
      <t>ジギョウ</t>
    </rPh>
    <rPh sb="2" eb="3">
      <t>トコロ</t>
    </rPh>
    <rPh sb="3" eb="4">
      <t>メイ</t>
    </rPh>
    <phoneticPr fontId="2"/>
  </si>
  <si>
    <t>担当
営業名</t>
    <rPh sb="0" eb="2">
      <t>タントウ</t>
    </rPh>
    <rPh sb="3" eb="5">
      <t>エイギョウ</t>
    </rPh>
    <rPh sb="5" eb="6">
      <t>メイ</t>
    </rPh>
    <phoneticPr fontId="2"/>
  </si>
  <si>
    <t>標準化オプション仕様に設定されていない仕様を本書にて連絡願います。</t>
    <rPh sb="0" eb="3">
      <t>ヒョウジュンカ</t>
    </rPh>
    <rPh sb="8" eb="10">
      <t>シヨウ</t>
    </rPh>
    <rPh sb="11" eb="13">
      <t>セッテイ</t>
    </rPh>
    <rPh sb="19" eb="21">
      <t>シヨウ</t>
    </rPh>
    <rPh sb="22" eb="24">
      <t>ホンショ</t>
    </rPh>
    <rPh sb="26" eb="28">
      <t>レンラク</t>
    </rPh>
    <rPh sb="28" eb="29">
      <t>ネガ</t>
    </rPh>
    <phoneticPr fontId="2"/>
  </si>
  <si>
    <t>本書がある場合は、非標準仕様での受注となります。</t>
    <rPh sb="0" eb="2">
      <t>ホンショ</t>
    </rPh>
    <rPh sb="5" eb="7">
      <t>バアイ</t>
    </rPh>
    <rPh sb="9" eb="10">
      <t>ヒ</t>
    </rPh>
    <rPh sb="10" eb="12">
      <t>ヒョウジュン</t>
    </rPh>
    <rPh sb="12" eb="14">
      <t>シヨウ</t>
    </rPh>
    <rPh sb="16" eb="18">
      <t>ジュチュウ</t>
    </rPh>
    <phoneticPr fontId="2"/>
  </si>
  <si>
    <t>標準化仕様の見直しに活用しますので、商談時の情報として必ず記入願います。</t>
    <rPh sb="0" eb="3">
      <t>ヒョウジュンカ</t>
    </rPh>
    <rPh sb="3" eb="5">
      <t>シヨウ</t>
    </rPh>
    <rPh sb="6" eb="8">
      <t>ミナオ</t>
    </rPh>
    <rPh sb="10" eb="12">
      <t>カツヨウ</t>
    </rPh>
    <rPh sb="18" eb="20">
      <t>ショウダン</t>
    </rPh>
    <rPh sb="20" eb="21">
      <t>ジ</t>
    </rPh>
    <rPh sb="22" eb="24">
      <t>ジョウホウ</t>
    </rPh>
    <rPh sb="27" eb="28">
      <t>カナラ</t>
    </rPh>
    <rPh sb="29" eb="31">
      <t>キニュウ</t>
    </rPh>
    <rPh sb="31" eb="32">
      <t>ネガ</t>
    </rPh>
    <phoneticPr fontId="2"/>
  </si>
  <si>
    <t>技術検討依頼Ｎｏ</t>
    <rPh sb="0" eb="2">
      <t>ギジュツ</t>
    </rPh>
    <rPh sb="2" eb="4">
      <t>ケントウ</t>
    </rPh>
    <rPh sb="4" eb="6">
      <t>イライ</t>
    </rPh>
    <phoneticPr fontId="2"/>
  </si>
  <si>
    <t>№</t>
    <phoneticPr fontId="2"/>
  </si>
  <si>
    <t>F</t>
    <phoneticPr fontId="2"/>
  </si>
  <si>
    <t>G</t>
    <phoneticPr fontId="2"/>
  </si>
  <si>
    <t>H</t>
    <phoneticPr fontId="2"/>
  </si>
  <si>
    <t>I</t>
    <phoneticPr fontId="2"/>
  </si>
  <si>
    <t>J</t>
    <phoneticPr fontId="2"/>
  </si>
  <si>
    <t>K</t>
    <phoneticPr fontId="2"/>
  </si>
  <si>
    <t>L</t>
    <phoneticPr fontId="2"/>
  </si>
  <si>
    <t>M</t>
    <phoneticPr fontId="2"/>
  </si>
  <si>
    <t xml:space="preserve">耐候性鋼板ｔ２．８ </t>
  </si>
  <si>
    <t xml:space="preserve">別紙（補助仕様書）参照 </t>
  </si>
  <si>
    <t xml:space="preserve">左側のみ取付 </t>
  </si>
  <si>
    <t xml:space="preserve">左右取付 </t>
  </si>
  <si>
    <t xml:space="preserve">２ヶ所 </t>
  </si>
  <si>
    <t xml:space="preserve">４ヶ所 </t>
  </si>
  <si>
    <t xml:space="preserve">耐候性鋼板製 </t>
  </si>
  <si>
    <t xml:space="preserve">ＳＵＳｔ３．０ </t>
  </si>
  <si>
    <t xml:space="preserve">同材ｔ２．３ </t>
  </si>
  <si>
    <t xml:space="preserve">ＳＵＳｔ２．０ </t>
  </si>
  <si>
    <t xml:space="preserve">天井シートカバー塗装近似色に変更（防炎シート） </t>
  </si>
  <si>
    <t>有 テールゲート左側サイドカバー内</t>
  </si>
  <si>
    <t>有 テールゲート上昇時に後部安全棒をセットする（引き出す）までブザーが鳴り続ける</t>
  </si>
  <si>
    <t>有 材質はシャシ排気管に準じる</t>
  </si>
  <si>
    <t xml:space="preserve">ギヤポンプ </t>
  </si>
  <si>
    <t xml:space="preserve">ピストンポンプ </t>
  </si>
  <si>
    <t xml:space="preserve">ロゴ有 </t>
  </si>
  <si>
    <t xml:space="preserve">２０Ａパイプ１段 </t>
  </si>
  <si>
    <t xml:space="preserve">２０Ａパイプ２段 </t>
  </si>
  <si>
    <t xml:space="preserve">２０Ａパイプ３段 </t>
  </si>
  <si>
    <t xml:space="preserve">２０Ａパイプ１段ＳＵＳ(バフ有) </t>
  </si>
  <si>
    <t xml:space="preserve">２０Ａパイプ２段ＳＵＳ(バフ有) </t>
  </si>
  <si>
    <t xml:space="preserve">２０Ａパイプ３段ＳＵＳ(バフ有) </t>
  </si>
  <si>
    <t xml:space="preserve">押しチャンネル１段 </t>
  </si>
  <si>
    <t xml:space="preserve">押しチャンネル２段 </t>
  </si>
  <si>
    <t>仕様１　有（ＳＹＳ製ＣＨ－１３０型フォグランプ，ＳＵＳ製，３５Ｗ，左側１個取付）</t>
  </si>
  <si>
    <t>本社塗装時：貼り付け／未塗装発送時：積載（支店貼り付け）</t>
    <rPh sb="0" eb="2">
      <t>ホンシャ</t>
    </rPh>
    <rPh sb="2" eb="4">
      <t>トソウ</t>
    </rPh>
    <rPh sb="4" eb="5">
      <t>ジ</t>
    </rPh>
    <rPh sb="6" eb="7">
      <t>ハ</t>
    </rPh>
    <rPh sb="8" eb="9">
      <t>ツ</t>
    </rPh>
    <rPh sb="11" eb="12">
      <t>ミ</t>
    </rPh>
    <rPh sb="12" eb="14">
      <t>トソウ</t>
    </rPh>
    <rPh sb="14" eb="16">
      <t>ハッソウ</t>
    </rPh>
    <rPh sb="16" eb="17">
      <t>ジ</t>
    </rPh>
    <rPh sb="18" eb="20">
      <t>セキサイ</t>
    </rPh>
    <rPh sb="21" eb="23">
      <t>シテン</t>
    </rPh>
    <rPh sb="23" eb="24">
      <t>ハ</t>
    </rPh>
    <rPh sb="25" eb="26">
      <t>ツ</t>
    </rPh>
    <phoneticPr fontId="2"/>
  </si>
  <si>
    <t>仕様２　有（ＳＹＳ製ＣＨ－１３０型フォグランプ，ＳＵＳ製，３５Ｗ，右側１個取付）</t>
  </si>
  <si>
    <t>仕様３　有（ＳＹＳ製ＣＨ－１３０型フォグランプ，ＳＵＳ製，３５Ｗ，左右各１個取付）</t>
  </si>
  <si>
    <t>仕様４　有（ＳＹＳ製ＣＨ－１３０型フォグランプ，ＳＵＳ製，３５Ｗ，テールゲート内に取付）</t>
  </si>
  <si>
    <t>仕様５　有（今仙電機製ＢＬ８４-１０３-１０００型，背面プラスチック製，２５Ｗ，左側１個取付）</t>
  </si>
  <si>
    <t>仕様６　有（今仙電機製ＢＬ８４-１０３-１０００型，背面プラスチック製，２５Ｗ，右側１個取付）</t>
  </si>
  <si>
    <t>仕様７　有（今仙電機製ＢＬ８４-１０３-１０００型，背面プラスチック製，２５Ｗ，左右各１個取付）</t>
  </si>
  <si>
    <t>仕様８　有（ＳＹＳ製ＳＹＳ-１０６３型，背面プラスチック製，４０Ｗ，左側１個取付）</t>
  </si>
  <si>
    <t>仕様９　有（ＳＹＳ製ＳＹＳ-１０６３型，背面プラスチック製，４０Ｗ，右側１個取付）</t>
  </si>
  <si>
    <t>仕様１０　有（ＳＹＳ製ＳＹＳ-１０６３型，背面プラスチック製，４０Ｗ，左右各１個取付）</t>
  </si>
  <si>
    <t xml:space="preserve">受注仕様書（プレスマスター）    </t>
    <rPh sb="0" eb="2">
      <t>ジュチュウ</t>
    </rPh>
    <rPh sb="2" eb="5">
      <t>シヨウショ</t>
    </rPh>
    <phoneticPr fontId="2"/>
  </si>
  <si>
    <t>TKG-NKR85YN-FN5APY-M</t>
  </si>
  <si>
    <t>TKG-NKR85YN-FN5APY-D</t>
  </si>
  <si>
    <t>7-14．タイヤ灯</t>
    <phoneticPr fontId="2"/>
  </si>
  <si>
    <t>7-15．マーカーランプ</t>
    <phoneticPr fontId="2"/>
  </si>
  <si>
    <t>8-5．ホーキ立て（パイプ式）取付</t>
    <phoneticPr fontId="2"/>
  </si>
  <si>
    <t>8-11．車輪止め</t>
    <phoneticPr fontId="2"/>
  </si>
  <si>
    <t xml:space="preserve">押しチャンネル３段 </t>
  </si>
  <si>
    <t xml:space="preserve">押しチャンネル１段ＳＵＳ(バフ有) </t>
  </si>
  <si>
    <t xml:space="preserve">押しチャンネル２段ＳＵＳ(バフ有) </t>
  </si>
  <si>
    <t xml:space="preserve">押しチャンネル３段ＳＵＳ(バフ有) </t>
  </si>
  <si>
    <t>有（市光工業製ＩＳ－１００型） 後部扉中央に取付</t>
  </si>
  <si>
    <t>仕様の
種別</t>
    <rPh sb="0" eb="2">
      <t>シヨウ</t>
    </rPh>
    <rPh sb="4" eb="6">
      <t>シュベツ</t>
    </rPh>
    <phoneticPr fontId="2"/>
  </si>
  <si>
    <t>PA5</t>
  </si>
  <si>
    <t>－</t>
    <phoneticPr fontId="2"/>
  </si>
  <si>
    <t>有（小糸製Ｂ型，左側のみ取付） キャブ内スイッチ付き</t>
  </si>
  <si>
    <t>有（小糸製Ｂ型，左右取付） キャブ内スイッチ付き</t>
  </si>
  <si>
    <t>配線のみ施工(左側のみ取付用) キャブ内スイッチ付き</t>
  </si>
  <si>
    <t>配線のみ施工(左右取付用) キャブ内スイッチ付き</t>
  </si>
  <si>
    <t>有（ＷＢ間左右各２個） スモール連動，黄色</t>
  </si>
  <si>
    <t>有（Ｔ／Ｇ後端左右各１個） スモール連動，黄色</t>
  </si>
  <si>
    <t>有（ＷＢ間左右各２個 ＋ Ｔ／Ｇ後端左右各１個） スモール連動，黄色</t>
  </si>
  <si>
    <t>有（ＯＦＦスイッチ有） 夜間収集仕様</t>
  </si>
  <si>
    <t>有（ノボル製　電子式，１０Ｗ） スピーカはキャブバック左側取付</t>
  </si>
  <si>
    <t>有（ノボル製　ＳＤカード式，１０Ｗ） スピーカはキャブバック左側取付</t>
  </si>
  <si>
    <t>有 パルス式(制御ボックスで制御)</t>
  </si>
  <si>
    <t>有（積込操作盤上に取付） 緑色マーカーランプ</t>
  </si>
  <si>
    <t>有（キャブ内に取付） 電装パネルに緑色ＬＥＤランプ追加</t>
  </si>
  <si>
    <t xml:space="preserve">両方取付 </t>
  </si>
  <si>
    <t>有（２本用） ボデー床下に吊下げ</t>
  </si>
  <si>
    <t>有（１ヶ所） ボデー前端左側</t>
  </si>
  <si>
    <t>特別仕様となる仕様項目No.</t>
    <rPh sb="0" eb="2">
      <t>トクベツ</t>
    </rPh>
    <rPh sb="2" eb="4">
      <t>シヨウ</t>
    </rPh>
    <rPh sb="7" eb="9">
      <t>シヨウ</t>
    </rPh>
    <rPh sb="9" eb="11">
      <t>コウモク</t>
    </rPh>
    <phoneticPr fontId="2"/>
  </si>
  <si>
    <t>有（１ヶ所） ボデー前端右側</t>
  </si>
  <si>
    <t>有（２ヶ所） ボデー前端左右</t>
  </si>
  <si>
    <t>有 テールゲート左側取付</t>
  </si>
  <si>
    <t>有 投入口下部左側に取付</t>
  </si>
  <si>
    <t>有 投入口下部左右に取付</t>
  </si>
  <si>
    <t>有 テールゲート右取付</t>
  </si>
  <si>
    <t>有 テールゲート左取付</t>
  </si>
  <si>
    <t>有 テールゲート左右取付</t>
  </si>
  <si>
    <t>シングル型 左右取付</t>
  </si>
  <si>
    <t xml:space="preserve">自動車用３型 １本 </t>
  </si>
  <si>
    <t>自動車用３型 ２本 取付スペースの確認が必要</t>
  </si>
  <si>
    <t>自動車用４型 １本 取付スペースの確認が必要</t>
  </si>
  <si>
    <t>自動車用４型 ２本 取付スペースの確認が必要</t>
  </si>
  <si>
    <t>自動車用１０型 １本 取付スペースの確認が必要</t>
  </si>
  <si>
    <t>自動車用１０型 ２本 取付スペースの確認が必要</t>
  </si>
  <si>
    <t>有 消火器用ビニール製カバー（３型、４型に適用）</t>
  </si>
  <si>
    <t>4-1．ドラム板</t>
    <rPh sb="7" eb="8">
      <t>イタ</t>
    </rPh>
    <phoneticPr fontId="2"/>
  </si>
  <si>
    <t>4-4．汚水パッキン枠</t>
    <rPh sb="4" eb="6">
      <t>オスイ</t>
    </rPh>
    <rPh sb="10" eb="11">
      <t>ワク</t>
    </rPh>
    <phoneticPr fontId="2"/>
  </si>
  <si>
    <t>5-1．ドラム二重張り</t>
    <rPh sb="7" eb="8">
      <t>ニ</t>
    </rPh>
    <phoneticPr fontId="2"/>
  </si>
  <si>
    <t>5-2．側板二重張り</t>
    <rPh sb="6" eb="7">
      <t>ニ</t>
    </rPh>
    <phoneticPr fontId="2"/>
  </si>
  <si>
    <t>5-10．後部扉取っ手部にφ１６丸棒追加</t>
    <rPh sb="11" eb="12">
      <t>ブ</t>
    </rPh>
    <phoneticPr fontId="2"/>
  </si>
  <si>
    <t>6-3．油圧ポンプ</t>
    <rPh sb="4" eb="6">
      <t>ユアツ</t>
    </rPh>
    <phoneticPr fontId="2"/>
  </si>
  <si>
    <t>6-4．後部フェンダ</t>
    <rPh sb="4" eb="6">
      <t>コウブ</t>
    </rPh>
    <phoneticPr fontId="2"/>
  </si>
  <si>
    <t>6-5．泥除けゴムに巻き込み防止枠兼振れ止め取付</t>
    <rPh sb="22" eb="24">
      <t>トリツケ</t>
    </rPh>
    <phoneticPr fontId="2"/>
  </si>
  <si>
    <t>固定式（幅１２０ｍｍ） 取付可否については、別紙『車種別標準架装一覧表』で確認のこと</t>
    <rPh sb="12" eb="14">
      <t>トリツケ</t>
    </rPh>
    <rPh sb="14" eb="16">
      <t>カヒ</t>
    </rPh>
    <rPh sb="22" eb="24">
      <t>ベッシ</t>
    </rPh>
    <rPh sb="25" eb="32">
      <t>シャシュベツヒョウジュンカソウ</t>
    </rPh>
    <rPh sb="32" eb="34">
      <t>イチラン</t>
    </rPh>
    <rPh sb="34" eb="35">
      <t>ヒョウ</t>
    </rPh>
    <rPh sb="37" eb="39">
      <t>カクニン</t>
    </rPh>
    <phoneticPr fontId="2"/>
  </si>
  <si>
    <t xml:space="preserve">別紙（補助仕様書）参照 </t>
    <phoneticPr fontId="2"/>
  </si>
  <si>
    <t>【PA54H-T1仕様】SUS製薄型（500X125X300）(ﾎﾞﾃﾞｰ右下に取付) いすゞ2tCNGのみ適用</t>
    <phoneticPr fontId="2"/>
  </si>
  <si>
    <t>【PA54H-T1仕様】SUS製薄型（400X125X300）(ﾎﾞﾃﾞｰ右下に取付) ｲｽｽﾞ2tﾃﾞｨｰｾﾞﾙ 日野2tHV車のみ</t>
    <phoneticPr fontId="2"/>
  </si>
  <si>
    <t>有　【PA54H-T1仕様】SUS製薄型（500X125X300）</t>
    <phoneticPr fontId="2"/>
  </si>
  <si>
    <t>有　【PA54H-T1仕様】SUS製薄型（400X125X300）</t>
    <phoneticPr fontId="2"/>
  </si>
  <si>
    <t>有　【PA54H-T1仕様】SUS製大型</t>
    <phoneticPr fontId="2"/>
  </si>
  <si>
    <t>6-7．後部フェンダ泥除けゴム</t>
    <rPh sb="4" eb="6">
      <t>コウブ</t>
    </rPh>
    <rPh sb="10" eb="12">
      <t>ドロヨ</t>
    </rPh>
    <phoneticPr fontId="2"/>
  </si>
  <si>
    <t>7-1．テールランプ取付位置</t>
    <rPh sb="10" eb="12">
      <t>トリツケ</t>
    </rPh>
    <rPh sb="12" eb="14">
      <t>イチ</t>
    </rPh>
    <phoneticPr fontId="2"/>
  </si>
  <si>
    <t>7-5．ライセンスプレート受</t>
    <rPh sb="13" eb="14">
      <t>ウケ</t>
    </rPh>
    <phoneticPr fontId="2"/>
  </si>
  <si>
    <t>7-7．バックランプ取付位置</t>
    <rPh sb="10" eb="12">
      <t>トリツケ</t>
    </rPh>
    <rPh sb="12" eb="14">
      <t>イチ</t>
    </rPh>
    <phoneticPr fontId="2"/>
  </si>
  <si>
    <t>8-1．道具箱</t>
    <rPh sb="4" eb="6">
      <t>ドウグ</t>
    </rPh>
    <rPh sb="6" eb="7">
      <t>ハコ</t>
    </rPh>
    <phoneticPr fontId="2"/>
  </si>
  <si>
    <t>2-1．ボデー床板</t>
    <phoneticPr fontId="2"/>
  </si>
  <si>
    <t>4-3．汚水タンク</t>
    <phoneticPr fontId="2"/>
  </si>
  <si>
    <t>5-11．テールゲートサイドカバー</t>
    <phoneticPr fontId="2"/>
  </si>
  <si>
    <t>5-12．ガイドテーブル</t>
    <phoneticPr fontId="2"/>
  </si>
  <si>
    <t>6-1．フレームカバー</t>
    <phoneticPr fontId="2"/>
  </si>
  <si>
    <t>6-2．Ｔ型マフラー取付</t>
    <phoneticPr fontId="2"/>
  </si>
  <si>
    <t>7-6．「作業中」表示燈（電光式）</t>
    <phoneticPr fontId="2"/>
  </si>
  <si>
    <t>7-8．バックランププロテクタ</t>
    <phoneticPr fontId="2"/>
  </si>
  <si>
    <t>7-9．後方確認用テレビカメラシステム</t>
    <phoneticPr fontId="2"/>
  </si>
  <si>
    <t>技術検討依頼Ｎｏ．</t>
    <rPh sb="0" eb="2">
      <t>ギジュツ</t>
    </rPh>
    <rPh sb="2" eb="4">
      <t>ケントウ</t>
    </rPh>
    <rPh sb="4" eb="6">
      <t>イライ</t>
    </rPh>
    <phoneticPr fontId="2"/>
  </si>
  <si>
    <t>引当先</t>
    <rPh sb="0" eb="2">
      <t>ヒキアテ</t>
    </rPh>
    <rPh sb="2" eb="3">
      <t>サキ</t>
    </rPh>
    <phoneticPr fontId="2"/>
  </si>
  <si>
    <t>９．寒冷地仕様</t>
    <rPh sb="2" eb="5">
      <t>カンレイチ</t>
    </rPh>
    <rPh sb="5" eb="7">
      <t>シヨウ</t>
    </rPh>
    <phoneticPr fontId="2"/>
  </si>
  <si>
    <t>１０．その他</t>
    <rPh sb="5" eb="6">
      <t>タ</t>
    </rPh>
    <phoneticPr fontId="2"/>
  </si>
  <si>
    <t>10-1．タイヤキャリア</t>
    <phoneticPr fontId="2"/>
  </si>
  <si>
    <t>12-1．後方確認用テレビカメラシステム</t>
    <phoneticPr fontId="2"/>
  </si>
  <si>
    <t>12-2．作業灯</t>
    <phoneticPr fontId="2"/>
  </si>
  <si>
    <t>12-3．タイヤ灯</t>
    <phoneticPr fontId="2"/>
  </si>
  <si>
    <t>12-4．オルゴール</t>
    <phoneticPr fontId="2"/>
  </si>
  <si>
    <t>12-7．タイヤキャリア</t>
    <phoneticPr fontId="2"/>
  </si>
  <si>
    <t>１１.下回り塗装</t>
    <rPh sb="3" eb="5">
      <t>シタマワ</t>
    </rPh>
    <rPh sb="6" eb="8">
      <t>トソウ</t>
    </rPh>
    <phoneticPr fontId="2"/>
  </si>
  <si>
    <t>１２．積載部品</t>
    <rPh sb="3" eb="5">
      <t>セキサイ</t>
    </rPh>
    <rPh sb="5" eb="7">
      <t>ブヒン</t>
    </rPh>
    <phoneticPr fontId="2"/>
  </si>
  <si>
    <t>有（ＳＹＳ製ＣＨ－１３０型フォグランプ，ＳＵＳ製，３５Ｗ）</t>
    <rPh sb="0" eb="1">
      <t>アリ</t>
    </rPh>
    <rPh sb="5" eb="6">
      <t>セイ</t>
    </rPh>
    <rPh sb="12" eb="13">
      <t>カタ</t>
    </rPh>
    <rPh sb="23" eb="24">
      <t>セイ</t>
    </rPh>
    <phoneticPr fontId="2"/>
  </si>
  <si>
    <t>有（今仙電機製ＢＬ８４-１０３-１０００型，背面プラスチック製，２５Ｗ）</t>
    <rPh sb="0" eb="1">
      <t>アリ</t>
    </rPh>
    <rPh sb="20" eb="21">
      <t>カタ</t>
    </rPh>
    <rPh sb="22" eb="24">
      <t>ハイメン</t>
    </rPh>
    <rPh sb="30" eb="31">
      <t>セイ</t>
    </rPh>
    <phoneticPr fontId="2"/>
  </si>
  <si>
    <t>有（ＳＹＳ製ＳＹＳ-１０６３型，背面プラスチック製，４０Ｗ）</t>
    <rPh sb="0" eb="1">
      <t>アリ</t>
    </rPh>
    <rPh sb="5" eb="6">
      <t>セイ</t>
    </rPh>
    <rPh sb="14" eb="15">
      <t>カタ</t>
    </rPh>
    <rPh sb="16" eb="18">
      <t>ハイメン</t>
    </rPh>
    <rPh sb="24" eb="25">
      <t>セイ</t>
    </rPh>
    <phoneticPr fontId="2"/>
  </si>
  <si>
    <t>有　ＳＭＳ３５０型、ＳＵＳ製（ＢＫＴ含まず）</t>
    <rPh sb="13" eb="14">
      <t>セイ</t>
    </rPh>
    <phoneticPr fontId="2"/>
  </si>
  <si>
    <t>有　ＤＨ型、ＳＵＳ製（ＢＫＴ含まず）</t>
    <rPh sb="9" eb="10">
      <t>セイ</t>
    </rPh>
    <phoneticPr fontId="2"/>
  </si>
  <si>
    <t>有　ＳＰ３５０型、ＳＵＳ製（ＢＫＴ含まず）</t>
    <rPh sb="12" eb="13">
      <t>セイ</t>
    </rPh>
    <phoneticPr fontId="2"/>
  </si>
  <si>
    <t>有　Ｓ５００Ｓ型、ＳＵＳ製（ＢＫＴ含まず）</t>
    <rPh sb="12" eb="13">
      <t>セイ</t>
    </rPh>
    <phoneticPr fontId="2"/>
  </si>
  <si>
    <t>有　ＳＰ５００型、ＳＵＳ製（ＢＫＴ含まず）</t>
    <rPh sb="12" eb="13">
      <t>セイ</t>
    </rPh>
    <phoneticPr fontId="2"/>
  </si>
  <si>
    <t>補助仕様書№</t>
    <rPh sb="0" eb="2">
      <t>ホジョ</t>
    </rPh>
    <rPh sb="2" eb="4">
      <t>シヨウ</t>
    </rPh>
    <rPh sb="4" eb="5">
      <t>ショ</t>
    </rPh>
    <phoneticPr fontId="2"/>
  </si>
  <si>
    <t>ＵＤトラックス</t>
    <phoneticPr fontId="2"/>
  </si>
  <si>
    <r>
      <t>KA</t>
    </r>
    <r>
      <rPr>
        <sz val="11"/>
        <rFont val="ＭＳ Ｐゴシック"/>
        <family val="3"/>
        <charset val="128"/>
      </rPr>
      <t>643D</t>
    </r>
    <r>
      <rPr>
        <sz val="11"/>
        <rFont val="ＭＳ Ｐゴシック"/>
        <family val="3"/>
        <charset val="128"/>
      </rPr>
      <t>-</t>
    </r>
    <r>
      <rPr>
        <sz val="11"/>
        <rFont val="ＭＳ Ｐゴシック"/>
        <family val="3"/>
        <charset val="128"/>
      </rPr>
      <t>M</t>
    </r>
    <r>
      <rPr>
        <sz val="11"/>
        <rFont val="ＭＳ Ｐゴシック"/>
        <family val="3"/>
        <charset val="128"/>
      </rPr>
      <t>S</t>
    </r>
    <r>
      <rPr>
        <sz val="11"/>
        <rFont val="ＭＳ Ｐゴシック"/>
        <family val="3"/>
        <charset val="128"/>
      </rPr>
      <t>H (4.3)</t>
    </r>
    <phoneticPr fontId="2"/>
  </si>
  <si>
    <r>
      <t>KA</t>
    </r>
    <r>
      <rPr>
        <sz val="11"/>
        <rFont val="ＭＳ Ｐゴシック"/>
        <family val="3"/>
        <charset val="128"/>
      </rPr>
      <t>643D</t>
    </r>
    <r>
      <rPr>
        <sz val="11"/>
        <rFont val="ＭＳ Ｐゴシック"/>
        <family val="3"/>
        <charset val="128"/>
      </rPr>
      <t>-</t>
    </r>
    <r>
      <rPr>
        <sz val="11"/>
        <rFont val="ＭＳ Ｐゴシック"/>
        <family val="3"/>
        <charset val="128"/>
      </rPr>
      <t>M</t>
    </r>
    <r>
      <rPr>
        <sz val="11"/>
        <rFont val="ＭＳ Ｐゴシック"/>
        <family val="3"/>
        <charset val="128"/>
      </rPr>
      <t>N</t>
    </r>
    <r>
      <rPr>
        <sz val="11"/>
        <rFont val="ＭＳ Ｐゴシック"/>
        <family val="3"/>
        <charset val="128"/>
      </rPr>
      <t>H (4.3)</t>
    </r>
    <phoneticPr fontId="2"/>
  </si>
  <si>
    <r>
      <t>KA649D-</t>
    </r>
    <r>
      <rPr>
        <sz val="11"/>
        <rFont val="ＭＳ Ｐゴシック"/>
        <family val="3"/>
        <charset val="128"/>
      </rPr>
      <t>M</t>
    </r>
    <r>
      <rPr>
        <sz val="11"/>
        <rFont val="ＭＳ Ｐゴシック"/>
        <family val="3"/>
        <charset val="128"/>
      </rPr>
      <t>S</t>
    </r>
    <r>
      <rPr>
        <sz val="11"/>
        <rFont val="ＭＳ Ｐゴシック"/>
        <family val="3"/>
        <charset val="128"/>
      </rPr>
      <t>H (4.9)</t>
    </r>
    <phoneticPr fontId="2"/>
  </si>
  <si>
    <r>
      <t>KA649D-</t>
    </r>
    <r>
      <rPr>
        <sz val="11"/>
        <rFont val="ＭＳ Ｐゴシック"/>
        <family val="3"/>
        <charset val="128"/>
      </rPr>
      <t>M</t>
    </r>
    <r>
      <rPr>
        <sz val="11"/>
        <rFont val="ＭＳ Ｐゴシック"/>
        <family val="3"/>
        <charset val="128"/>
      </rPr>
      <t>N</t>
    </r>
    <r>
      <rPr>
        <sz val="11"/>
        <rFont val="ＭＳ Ｐゴシック"/>
        <family val="3"/>
        <charset val="128"/>
      </rPr>
      <t>H (4.9)</t>
    </r>
    <phoneticPr fontId="2"/>
  </si>
  <si>
    <r>
      <t>KA</t>
    </r>
    <r>
      <rPr>
        <sz val="11"/>
        <rFont val="ＭＳ Ｐゴシック"/>
        <family val="3"/>
        <charset val="128"/>
      </rPr>
      <t>650D-M</t>
    </r>
    <r>
      <rPr>
        <sz val="11"/>
        <rFont val="ＭＳ Ｐゴシック"/>
        <family val="3"/>
        <charset val="128"/>
      </rPr>
      <t>S</t>
    </r>
    <r>
      <rPr>
        <sz val="11"/>
        <rFont val="ＭＳ Ｐゴシック"/>
        <family val="3"/>
        <charset val="128"/>
      </rPr>
      <t>H (5.0)</t>
    </r>
    <phoneticPr fontId="2"/>
  </si>
  <si>
    <t>不可</t>
    <rPh sb="0" eb="2">
      <t>フカ</t>
    </rPh>
    <phoneticPr fontId="2"/>
  </si>
  <si>
    <t>ＯＰ</t>
    <phoneticPr fontId="2"/>
  </si>
  <si>
    <t>有 ＤＨ型</t>
    <rPh sb="4" eb="5">
      <t>ガタ</t>
    </rPh>
    <phoneticPr fontId="2"/>
  </si>
  <si>
    <t>有 ＳＭＳ３５０型（３５０Ｘ２５２Ｘ２７２）、ＳＵＳ製</t>
    <rPh sb="8" eb="9">
      <t>ガタ</t>
    </rPh>
    <rPh sb="26" eb="27">
      <t>セイ</t>
    </rPh>
    <phoneticPr fontId="2"/>
  </si>
  <si>
    <t>有 ＭＳ３５０型（３５０Ｘ２５２Ｘ２７２）</t>
    <rPh sb="7" eb="8">
      <t>ガタ</t>
    </rPh>
    <phoneticPr fontId="2"/>
  </si>
  <si>
    <t>有 ５００Ｓ型（５００Ｘ２９０Ｘ３２０）</t>
    <rPh sb="6" eb="7">
      <t>ガタ</t>
    </rPh>
    <phoneticPr fontId="2"/>
  </si>
  <si>
    <t>有 Ｓ５００Ｓ型（５００Ｘ２９０Ｘ３２０）、ＳＵＳ製</t>
    <rPh sb="7" eb="8">
      <t>ガタ</t>
    </rPh>
    <phoneticPr fontId="2"/>
  </si>
  <si>
    <t>有 Ｐ３５０型（３５０Ｘ２５０Ｘ２５０）、パンチング</t>
    <rPh sb="6" eb="7">
      <t>カタ</t>
    </rPh>
    <phoneticPr fontId="2"/>
  </si>
  <si>
    <t>有 ＳＰ３５０型（３５０Ｘ２５０Ｘ２５０）、パンチング・ＳＵＳ製</t>
    <rPh sb="7" eb="8">
      <t>ガタ</t>
    </rPh>
    <phoneticPr fontId="2"/>
  </si>
  <si>
    <t>有 Ｐ５００型（５００Ｘ３００Ｘ３００）、パンチング</t>
    <rPh sb="6" eb="7">
      <t>カタ</t>
    </rPh>
    <phoneticPr fontId="2"/>
  </si>
  <si>
    <t>有 ＳＰ５００型（５００Ｘ３００Ｘ３００）、パンチング・ＳＵＳ製</t>
    <rPh sb="7" eb="8">
      <t>ガタ</t>
    </rPh>
    <phoneticPr fontId="2"/>
  </si>
  <si>
    <t>有 ＥＸ３５０型（３５０Ｘ２５０Ｘ２５０）、エキスパンド</t>
    <rPh sb="7" eb="8">
      <t>カタ</t>
    </rPh>
    <phoneticPr fontId="2"/>
  </si>
  <si>
    <t>有 ＥＸ５００型（５００Ｘ３００Ｘ３００）、エキスパンド</t>
    <rPh sb="7" eb="8">
      <t>ガタ</t>
    </rPh>
    <phoneticPr fontId="2"/>
  </si>
  <si>
    <t>有 ＤＨ型、ＳＵＳ製</t>
    <rPh sb="9" eb="10">
      <t>セイ</t>
    </rPh>
    <phoneticPr fontId="2"/>
  </si>
  <si>
    <t>有　３５０型用共通ＢＫＴのみ</t>
    <rPh sb="7" eb="9">
      <t>キョウツウ</t>
    </rPh>
    <phoneticPr fontId="2"/>
  </si>
  <si>
    <t>有　ＤＨ型類似品（ＢＫＴ含まず）</t>
    <rPh sb="5" eb="7">
      <t>ルイジ</t>
    </rPh>
    <rPh sb="7" eb="8">
      <t>ヒン</t>
    </rPh>
    <phoneticPr fontId="2"/>
  </si>
  <si>
    <t>有　ＤＨ型類似品、ＳＵＳ製（ＢＫＴ含まず）</t>
    <rPh sb="5" eb="7">
      <t>ルイジ</t>
    </rPh>
    <rPh sb="7" eb="8">
      <t>ヒン</t>
    </rPh>
    <rPh sb="12" eb="13">
      <t>セイ</t>
    </rPh>
    <phoneticPr fontId="2"/>
  </si>
  <si>
    <t>有　ＤＨ型、ＤＨ型類似品用共通ＢＫＴのみ</t>
    <rPh sb="4" eb="5">
      <t>ガタ</t>
    </rPh>
    <rPh sb="9" eb="11">
      <t>ルイジ</t>
    </rPh>
    <rPh sb="11" eb="12">
      <t>ヒン</t>
    </rPh>
    <rPh sb="13" eb="15">
      <t>キョウツウ</t>
    </rPh>
    <phoneticPr fontId="2"/>
  </si>
  <si>
    <t>有　５００Ｓ型（ＢＫＴ含まず）</t>
    <phoneticPr fontId="2"/>
  </si>
  <si>
    <t>有　５００型用共通ＢＫＴのみ</t>
    <rPh sb="7" eb="9">
      <t>キョウツウ</t>
    </rPh>
    <phoneticPr fontId="2"/>
  </si>
  <si>
    <t>ＰＴＯ「ＯＮ」時点灯、スイッチ：積込操作盤</t>
    <rPh sb="7" eb="9">
      <t>ジテン</t>
    </rPh>
    <rPh sb="9" eb="10">
      <t>トウ</t>
    </rPh>
    <rPh sb="16" eb="18">
      <t>ツミコミ</t>
    </rPh>
    <rPh sb="18" eb="21">
      <t>ソウサバン</t>
    </rPh>
    <phoneticPr fontId="2"/>
  </si>
  <si>
    <t>8-3．手袋入れ</t>
    <rPh sb="4" eb="6">
      <t>テブクロ</t>
    </rPh>
    <rPh sb="6" eb="7">
      <t>イ</t>
    </rPh>
    <phoneticPr fontId="2"/>
  </si>
  <si>
    <t>8-4．スコップ掛け取付</t>
    <rPh sb="10" eb="12">
      <t>トリツケ</t>
    </rPh>
    <phoneticPr fontId="2"/>
  </si>
  <si>
    <t>8-6．洗車ブラシ立て</t>
    <rPh sb="4" eb="6">
      <t>センシャ</t>
    </rPh>
    <rPh sb="9" eb="10">
      <t>タ</t>
    </rPh>
    <phoneticPr fontId="2"/>
  </si>
  <si>
    <t>8-7．ちりとり入れ</t>
    <rPh sb="8" eb="9">
      <t>イ</t>
    </rPh>
    <phoneticPr fontId="2"/>
  </si>
  <si>
    <t>8-8．手板入れ</t>
    <rPh sb="4" eb="5">
      <t>テ</t>
    </rPh>
    <rPh sb="5" eb="6">
      <t>イタ</t>
    </rPh>
    <rPh sb="6" eb="7">
      <t>イ</t>
    </rPh>
    <phoneticPr fontId="2"/>
  </si>
  <si>
    <t>8-9．箕掛け</t>
    <rPh sb="4" eb="5">
      <t>ミ</t>
    </rPh>
    <rPh sb="5" eb="6">
      <t>カ</t>
    </rPh>
    <phoneticPr fontId="2"/>
  </si>
  <si>
    <t>8-10．タオル掛け</t>
    <rPh sb="8" eb="9">
      <t>カ</t>
    </rPh>
    <phoneticPr fontId="2"/>
  </si>
  <si>
    <t>8-12．消火器</t>
    <rPh sb="5" eb="8">
      <t>ショウカキ</t>
    </rPh>
    <phoneticPr fontId="2"/>
  </si>
  <si>
    <t>8-13．消火器カバー</t>
    <rPh sb="5" eb="8">
      <t>ショウカキ</t>
    </rPh>
    <phoneticPr fontId="2"/>
  </si>
  <si>
    <t>7-11．作業灯</t>
    <phoneticPr fontId="2"/>
  </si>
  <si>
    <t>7-12．作業灯スイッチ</t>
    <phoneticPr fontId="2"/>
  </si>
  <si>
    <t>最終</t>
    <rPh sb="0" eb="2">
      <t>サイシュウ</t>
    </rPh>
    <phoneticPr fontId="2"/>
  </si>
  <si>
    <t>有（ＶＳ－Ｌ２０６ＶＷ－２　LED型，散光式，１５Ｗ）</t>
    <phoneticPr fontId="2"/>
  </si>
  <si>
    <t>（　　　　　　　　　　　　　　　　　　　　　　　　）</t>
    <phoneticPr fontId="2"/>
  </si>
  <si>
    <t>．　．</t>
    <phoneticPr fontId="2"/>
  </si>
  <si>
    <t>別紙（補助仕様書）参照</t>
  </si>
  <si>
    <t>有　小糸製Ｂ型，左側</t>
    <rPh sb="0" eb="1">
      <t>アリ</t>
    </rPh>
    <rPh sb="2" eb="4">
      <t>コイト</t>
    </rPh>
    <rPh sb="4" eb="5">
      <t>セイ</t>
    </rPh>
    <rPh sb="6" eb="7">
      <t>カタ</t>
    </rPh>
    <rPh sb="9" eb="10">
      <t>ガワ</t>
    </rPh>
    <phoneticPr fontId="2"/>
  </si>
  <si>
    <t>有　小糸製Ｂ型，右側</t>
    <rPh sb="0" eb="1">
      <t>アリ</t>
    </rPh>
    <rPh sb="2" eb="4">
      <t>コイト</t>
    </rPh>
    <rPh sb="4" eb="5">
      <t>セイ</t>
    </rPh>
    <rPh sb="6" eb="7">
      <t>カタ</t>
    </rPh>
    <rPh sb="8" eb="9">
      <t>ミギ</t>
    </rPh>
    <rPh sb="9" eb="10">
      <t>ガワ</t>
    </rPh>
    <phoneticPr fontId="2"/>
  </si>
  <si>
    <t>有　ノボル製　電子式，１０Ｗ</t>
    <rPh sb="0" eb="1">
      <t>アリ</t>
    </rPh>
    <phoneticPr fontId="2"/>
  </si>
  <si>
    <t>有　ノボル製　ＳＤカード式，１０Ｗ</t>
    <rPh sb="0" eb="1">
      <t>アリ</t>
    </rPh>
    <phoneticPr fontId="2"/>
  </si>
  <si>
    <t>有　ＭＳ３５０型（ＢＫＴ含まず）</t>
  </si>
  <si>
    <t>有　ＤＨ型（ＢＫＴ含まず）</t>
  </si>
  <si>
    <t>有　Ｐ３５０型（ＢＫＴ含まず）</t>
  </si>
  <si>
    <t xml:space="preserve">有　自動車用３型 </t>
  </si>
  <si>
    <t xml:space="preserve">有　自動車用４型 </t>
  </si>
  <si>
    <t xml:space="preserve">有　自動車用１０型 </t>
  </si>
  <si>
    <t>有　車輪止め　ダブル型</t>
  </si>
  <si>
    <t>有　車輪止め　シングル型</t>
  </si>
  <si>
    <t>有　「作業中」表示燈（電光式）　（市光工業製ＩＳ－１００型）</t>
  </si>
  <si>
    <t>有　スコップ掛け</t>
  </si>
  <si>
    <t>有　ホーキ立て（パイプ式）</t>
  </si>
  <si>
    <t>有　洗車ブラシ立て</t>
  </si>
  <si>
    <t>有　ちりとり入れ</t>
  </si>
  <si>
    <t>有　手板入れ</t>
  </si>
  <si>
    <t>有　箕掛け</t>
  </si>
  <si>
    <t>有　タオル掛け</t>
  </si>
  <si>
    <t>１</t>
    <phoneticPr fontId="2"/>
  </si>
  <si>
    <t>２</t>
  </si>
  <si>
    <t>３</t>
  </si>
  <si>
    <t>４</t>
  </si>
  <si>
    <t>５</t>
  </si>
  <si>
    <t>６</t>
  </si>
  <si>
    <t>７</t>
  </si>
  <si>
    <t>８</t>
  </si>
  <si>
    <t>９</t>
  </si>
  <si>
    <t>入力欄用</t>
    <rPh sb="0" eb="2">
      <t>ニュウリョク</t>
    </rPh>
    <rPh sb="2" eb="3">
      <t>ラン</t>
    </rPh>
    <rPh sb="3" eb="4">
      <t>ヨウ</t>
    </rPh>
    <phoneticPr fontId="2"/>
  </si>
  <si>
    <r>
      <t>KA</t>
    </r>
    <r>
      <rPr>
        <sz val="11"/>
        <rFont val="ＭＳ Ｐゴシック"/>
        <family val="3"/>
        <charset val="128"/>
      </rPr>
      <t>650D</t>
    </r>
    <r>
      <rPr>
        <sz val="11"/>
        <rFont val="ＭＳ Ｐゴシック"/>
        <family val="3"/>
        <charset val="128"/>
      </rPr>
      <t>-</t>
    </r>
    <r>
      <rPr>
        <sz val="11"/>
        <rFont val="ＭＳ Ｐゴシック"/>
        <family val="3"/>
        <charset val="128"/>
      </rPr>
      <t>M</t>
    </r>
    <r>
      <rPr>
        <sz val="11"/>
        <rFont val="ＭＳ Ｐゴシック"/>
        <family val="3"/>
        <charset val="128"/>
      </rPr>
      <t>N</t>
    </r>
    <r>
      <rPr>
        <sz val="11"/>
        <rFont val="ＭＳ Ｐゴシック"/>
        <family val="3"/>
        <charset val="128"/>
      </rPr>
      <t>H (5.0)</t>
    </r>
    <phoneticPr fontId="2"/>
  </si>
  <si>
    <r>
      <t>KA660D-</t>
    </r>
    <r>
      <rPr>
        <sz val="11"/>
        <rFont val="ＭＳ Ｐゴシック"/>
        <family val="3"/>
        <charset val="128"/>
      </rPr>
      <t>M</t>
    </r>
    <r>
      <rPr>
        <sz val="11"/>
        <rFont val="ＭＳ Ｐゴシック"/>
        <family val="3"/>
        <charset val="128"/>
      </rPr>
      <t>S</t>
    </r>
    <r>
      <rPr>
        <sz val="11"/>
        <rFont val="ＭＳ Ｐゴシック"/>
        <family val="3"/>
        <charset val="128"/>
      </rPr>
      <t>H (6.0)</t>
    </r>
    <phoneticPr fontId="2"/>
  </si>
  <si>
    <r>
      <t>KA660D-</t>
    </r>
    <r>
      <rPr>
        <sz val="11"/>
        <rFont val="ＭＳ Ｐゴシック"/>
        <family val="3"/>
        <charset val="128"/>
      </rPr>
      <t>M</t>
    </r>
    <r>
      <rPr>
        <sz val="11"/>
        <rFont val="ＭＳ Ｐゴシック"/>
        <family val="3"/>
        <charset val="128"/>
      </rPr>
      <t>N</t>
    </r>
    <r>
      <rPr>
        <sz val="11"/>
        <rFont val="ＭＳ Ｐゴシック"/>
        <family val="3"/>
        <charset val="128"/>
      </rPr>
      <t>H (6.0)</t>
    </r>
    <phoneticPr fontId="2"/>
  </si>
  <si>
    <r>
      <t>KA665D-</t>
    </r>
    <r>
      <rPr>
        <sz val="11"/>
        <rFont val="ＭＳ Ｐゴシック"/>
        <family val="3"/>
        <charset val="128"/>
      </rPr>
      <t>M</t>
    </r>
    <r>
      <rPr>
        <sz val="11"/>
        <rFont val="ＭＳ Ｐゴシック"/>
        <family val="3"/>
        <charset val="128"/>
      </rPr>
      <t>S</t>
    </r>
    <r>
      <rPr>
        <sz val="11"/>
        <rFont val="ＭＳ Ｐゴシック"/>
        <family val="3"/>
        <charset val="128"/>
      </rPr>
      <t>H (6.5)</t>
    </r>
    <phoneticPr fontId="2"/>
  </si>
  <si>
    <r>
      <t>KA665D-</t>
    </r>
    <r>
      <rPr>
        <sz val="11"/>
        <rFont val="ＭＳ Ｐゴシック"/>
        <family val="3"/>
        <charset val="128"/>
      </rPr>
      <t>M</t>
    </r>
    <r>
      <rPr>
        <sz val="11"/>
        <rFont val="ＭＳ Ｐゴシック"/>
        <family val="3"/>
        <charset val="128"/>
      </rPr>
      <t>N</t>
    </r>
    <r>
      <rPr>
        <sz val="11"/>
        <rFont val="ＭＳ Ｐゴシック"/>
        <family val="3"/>
        <charset val="128"/>
      </rPr>
      <t>H (6.5)</t>
    </r>
    <phoneticPr fontId="2"/>
  </si>
  <si>
    <r>
      <t>KA673D-</t>
    </r>
    <r>
      <rPr>
        <sz val="11"/>
        <rFont val="ＭＳ Ｐゴシック"/>
        <family val="3"/>
        <charset val="128"/>
      </rPr>
      <t>M</t>
    </r>
    <r>
      <rPr>
        <sz val="11"/>
        <rFont val="ＭＳ Ｐゴシック"/>
        <family val="3"/>
        <charset val="128"/>
      </rPr>
      <t>S</t>
    </r>
    <r>
      <rPr>
        <sz val="11"/>
        <rFont val="ＭＳ Ｐゴシック"/>
        <family val="3"/>
        <charset val="128"/>
      </rPr>
      <t>H (7.3)</t>
    </r>
    <phoneticPr fontId="2"/>
  </si>
  <si>
    <r>
      <t>KA673D-</t>
    </r>
    <r>
      <rPr>
        <sz val="11"/>
        <rFont val="ＭＳ Ｐゴシック"/>
        <family val="3"/>
        <charset val="128"/>
      </rPr>
      <t>M</t>
    </r>
    <r>
      <rPr>
        <sz val="11"/>
        <rFont val="ＭＳ Ｐゴシック"/>
        <family val="3"/>
        <charset val="128"/>
      </rPr>
      <t>N</t>
    </r>
    <r>
      <rPr>
        <sz val="11"/>
        <rFont val="ＭＳ Ｐゴシック"/>
        <family val="3"/>
        <charset val="128"/>
      </rPr>
      <t>H (7.3)</t>
    </r>
    <phoneticPr fontId="2"/>
  </si>
  <si>
    <r>
      <t>KB681D-</t>
    </r>
    <r>
      <rPr>
        <sz val="11"/>
        <rFont val="ＭＳ Ｐゴシック"/>
        <family val="3"/>
        <charset val="128"/>
      </rPr>
      <t>S</t>
    </r>
    <r>
      <rPr>
        <sz val="11"/>
        <rFont val="ＭＳ Ｐゴシック"/>
        <family val="3"/>
        <charset val="128"/>
      </rPr>
      <t>H (8.1)</t>
    </r>
    <phoneticPr fontId="2"/>
  </si>
  <si>
    <r>
      <t>KB681D-N</t>
    </r>
    <r>
      <rPr>
        <sz val="11"/>
        <rFont val="ＭＳ Ｐゴシック"/>
        <family val="3"/>
        <charset val="128"/>
      </rPr>
      <t>H (8.1)</t>
    </r>
    <phoneticPr fontId="2"/>
  </si>
  <si>
    <r>
      <t>KB6100D-S</t>
    </r>
    <r>
      <rPr>
        <sz val="11"/>
        <rFont val="ＭＳ Ｐゴシック"/>
        <family val="3"/>
        <charset val="128"/>
      </rPr>
      <t>H (10.0)</t>
    </r>
    <phoneticPr fontId="2"/>
  </si>
  <si>
    <r>
      <t>KB6100D-N</t>
    </r>
    <r>
      <rPr>
        <sz val="11"/>
        <rFont val="ＭＳ Ｐゴシック"/>
        <family val="3"/>
        <charset val="128"/>
      </rPr>
      <t>H (10.0)</t>
    </r>
    <phoneticPr fontId="2"/>
  </si>
  <si>
    <r>
      <t>KA642E-</t>
    </r>
    <r>
      <rPr>
        <sz val="11"/>
        <rFont val="ＭＳ Ｐゴシック"/>
        <family val="3"/>
        <charset val="128"/>
      </rPr>
      <t>M</t>
    </r>
    <r>
      <rPr>
        <sz val="11"/>
        <rFont val="ＭＳ Ｐゴシック"/>
        <family val="3"/>
        <charset val="128"/>
      </rPr>
      <t>S</t>
    </r>
    <r>
      <rPr>
        <sz val="11"/>
        <rFont val="ＭＳ Ｐゴシック"/>
        <family val="3"/>
        <charset val="128"/>
      </rPr>
      <t>H (4.2)</t>
    </r>
    <phoneticPr fontId="2"/>
  </si>
  <si>
    <r>
      <t>KA642E-</t>
    </r>
    <r>
      <rPr>
        <sz val="11"/>
        <rFont val="ＭＳ Ｐゴシック"/>
        <family val="3"/>
        <charset val="128"/>
      </rPr>
      <t>M</t>
    </r>
    <r>
      <rPr>
        <sz val="11"/>
        <rFont val="ＭＳ Ｐゴシック"/>
        <family val="3"/>
        <charset val="128"/>
      </rPr>
      <t>N</t>
    </r>
    <r>
      <rPr>
        <sz val="11"/>
        <rFont val="ＭＳ Ｐゴシック"/>
        <family val="3"/>
        <charset val="128"/>
      </rPr>
      <t>H (4.2)</t>
    </r>
    <phoneticPr fontId="2"/>
  </si>
  <si>
    <r>
      <t>KA642E-</t>
    </r>
    <r>
      <rPr>
        <sz val="11"/>
        <rFont val="ＭＳ Ｐゴシック"/>
        <family val="3"/>
        <charset val="128"/>
      </rPr>
      <t>MQ</t>
    </r>
    <r>
      <rPr>
        <sz val="11"/>
        <rFont val="ＭＳ Ｐゴシック"/>
        <family val="3"/>
        <charset val="128"/>
      </rPr>
      <t>S</t>
    </r>
    <r>
      <rPr>
        <sz val="11"/>
        <rFont val="ＭＳ Ｐゴシック"/>
        <family val="3"/>
        <charset val="128"/>
      </rPr>
      <t>H (4.2)</t>
    </r>
    <phoneticPr fontId="2"/>
  </si>
  <si>
    <r>
      <t>KA642E-</t>
    </r>
    <r>
      <rPr>
        <sz val="11"/>
        <rFont val="ＭＳ Ｐゴシック"/>
        <family val="3"/>
        <charset val="128"/>
      </rPr>
      <t>MQ</t>
    </r>
    <r>
      <rPr>
        <sz val="11"/>
        <rFont val="ＭＳ Ｐゴシック"/>
        <family val="3"/>
        <charset val="128"/>
      </rPr>
      <t>N</t>
    </r>
    <r>
      <rPr>
        <sz val="11"/>
        <rFont val="ＭＳ Ｐゴシック"/>
        <family val="3"/>
        <charset val="128"/>
      </rPr>
      <t>H (4.2)</t>
    </r>
    <phoneticPr fontId="2"/>
  </si>
  <si>
    <r>
      <t>KA650E-</t>
    </r>
    <r>
      <rPr>
        <sz val="11"/>
        <rFont val="ＭＳ Ｐゴシック"/>
        <family val="3"/>
        <charset val="128"/>
      </rPr>
      <t>M</t>
    </r>
    <r>
      <rPr>
        <sz val="11"/>
        <rFont val="ＭＳ Ｐゴシック"/>
        <family val="3"/>
        <charset val="128"/>
      </rPr>
      <t>S</t>
    </r>
    <r>
      <rPr>
        <sz val="11"/>
        <rFont val="ＭＳ Ｐゴシック"/>
        <family val="3"/>
        <charset val="128"/>
      </rPr>
      <t>H (5.0)</t>
    </r>
    <phoneticPr fontId="2"/>
  </si>
  <si>
    <r>
      <t>KA650E-</t>
    </r>
    <r>
      <rPr>
        <sz val="11"/>
        <rFont val="ＭＳ Ｐゴシック"/>
        <family val="3"/>
        <charset val="128"/>
      </rPr>
      <t>M</t>
    </r>
    <r>
      <rPr>
        <sz val="11"/>
        <rFont val="ＭＳ Ｐゴシック"/>
        <family val="3"/>
        <charset val="128"/>
      </rPr>
      <t>N</t>
    </r>
    <r>
      <rPr>
        <sz val="11"/>
        <rFont val="ＭＳ Ｐゴシック"/>
        <family val="3"/>
        <charset val="128"/>
      </rPr>
      <t>H (5.0)</t>
    </r>
    <phoneticPr fontId="2"/>
  </si>
  <si>
    <r>
      <t>KA650E-</t>
    </r>
    <r>
      <rPr>
        <sz val="11"/>
        <rFont val="ＭＳ Ｐゴシック"/>
        <family val="3"/>
        <charset val="128"/>
      </rPr>
      <t>MQ</t>
    </r>
    <r>
      <rPr>
        <sz val="11"/>
        <rFont val="ＭＳ Ｐゴシック"/>
        <family val="3"/>
        <charset val="128"/>
      </rPr>
      <t>S</t>
    </r>
    <r>
      <rPr>
        <sz val="11"/>
        <rFont val="ＭＳ Ｐゴシック"/>
        <family val="3"/>
        <charset val="128"/>
      </rPr>
      <t>H (5.0)</t>
    </r>
    <phoneticPr fontId="2"/>
  </si>
  <si>
    <r>
      <t>KA650E-</t>
    </r>
    <r>
      <rPr>
        <sz val="11"/>
        <rFont val="ＭＳ Ｐゴシック"/>
        <family val="3"/>
        <charset val="128"/>
      </rPr>
      <t>MQ</t>
    </r>
    <r>
      <rPr>
        <sz val="11"/>
        <rFont val="ＭＳ Ｐゴシック"/>
        <family val="3"/>
        <charset val="128"/>
      </rPr>
      <t>N</t>
    </r>
    <r>
      <rPr>
        <sz val="11"/>
        <rFont val="ＭＳ Ｐゴシック"/>
        <family val="3"/>
        <charset val="128"/>
      </rPr>
      <t>H (5.0)</t>
    </r>
    <phoneticPr fontId="2"/>
  </si>
  <si>
    <r>
      <t>KA660E-</t>
    </r>
    <r>
      <rPr>
        <sz val="11"/>
        <rFont val="ＭＳ Ｐゴシック"/>
        <family val="3"/>
        <charset val="128"/>
      </rPr>
      <t>MQ</t>
    </r>
    <r>
      <rPr>
        <sz val="11"/>
        <rFont val="ＭＳ Ｐゴシック"/>
        <family val="3"/>
        <charset val="128"/>
      </rPr>
      <t>S</t>
    </r>
    <r>
      <rPr>
        <sz val="11"/>
        <rFont val="ＭＳ Ｐゴシック"/>
        <family val="3"/>
        <charset val="128"/>
      </rPr>
      <t>H (6.0)</t>
    </r>
    <phoneticPr fontId="2"/>
  </si>
  <si>
    <r>
      <t>KB681E-</t>
    </r>
    <r>
      <rPr>
        <sz val="11"/>
        <rFont val="ＭＳ Ｐゴシック"/>
        <family val="3"/>
        <charset val="128"/>
      </rPr>
      <t>S</t>
    </r>
    <r>
      <rPr>
        <sz val="11"/>
        <rFont val="ＭＳ Ｐゴシック"/>
        <family val="3"/>
        <charset val="128"/>
      </rPr>
      <t>H (8.1)</t>
    </r>
    <phoneticPr fontId="2"/>
  </si>
  <si>
    <r>
      <t>KB681E-N</t>
    </r>
    <r>
      <rPr>
        <sz val="11"/>
        <rFont val="ＭＳ Ｐゴシック"/>
        <family val="3"/>
        <charset val="128"/>
      </rPr>
      <t>H (8.1)</t>
    </r>
    <phoneticPr fontId="2"/>
  </si>
  <si>
    <r>
      <t>KB681E-</t>
    </r>
    <r>
      <rPr>
        <sz val="11"/>
        <rFont val="ＭＳ Ｐゴシック"/>
        <family val="3"/>
        <charset val="128"/>
      </rPr>
      <t>Q</t>
    </r>
    <r>
      <rPr>
        <sz val="11"/>
        <rFont val="ＭＳ Ｐゴシック"/>
        <family val="3"/>
        <charset val="128"/>
      </rPr>
      <t>S</t>
    </r>
    <r>
      <rPr>
        <sz val="11"/>
        <rFont val="ＭＳ Ｐゴシック"/>
        <family val="3"/>
        <charset val="128"/>
      </rPr>
      <t>H (8.1)</t>
    </r>
    <phoneticPr fontId="2"/>
  </si>
  <si>
    <r>
      <t>KB681E-</t>
    </r>
    <r>
      <rPr>
        <sz val="11"/>
        <rFont val="ＭＳ Ｐゴシック"/>
        <family val="3"/>
        <charset val="128"/>
      </rPr>
      <t>Q</t>
    </r>
    <r>
      <rPr>
        <sz val="11"/>
        <rFont val="ＭＳ Ｐゴシック"/>
        <family val="3"/>
        <charset val="128"/>
      </rPr>
      <t>N</t>
    </r>
    <r>
      <rPr>
        <sz val="11"/>
        <rFont val="ＭＳ Ｐゴシック"/>
        <family val="3"/>
        <charset val="128"/>
      </rPr>
      <t>H (8.1)</t>
    </r>
    <phoneticPr fontId="2"/>
  </si>
  <si>
    <r>
      <t>KB6100E-S</t>
    </r>
    <r>
      <rPr>
        <sz val="11"/>
        <rFont val="ＭＳ Ｐゴシック"/>
        <family val="3"/>
        <charset val="128"/>
      </rPr>
      <t>H</t>
    </r>
    <r>
      <rPr>
        <sz val="11"/>
        <rFont val="ＭＳ Ｐゴシック"/>
        <family val="3"/>
        <charset val="128"/>
      </rPr>
      <t xml:space="preserve"> (10.0)</t>
    </r>
    <phoneticPr fontId="2"/>
  </si>
  <si>
    <r>
      <t>KB6100E-N</t>
    </r>
    <r>
      <rPr>
        <sz val="11"/>
        <rFont val="ＭＳ Ｐゴシック"/>
        <family val="3"/>
        <charset val="128"/>
      </rPr>
      <t>H</t>
    </r>
    <r>
      <rPr>
        <sz val="11"/>
        <rFont val="ＭＳ Ｐゴシック"/>
        <family val="3"/>
        <charset val="128"/>
      </rPr>
      <t xml:space="preserve"> (10.0)</t>
    </r>
    <phoneticPr fontId="2"/>
  </si>
  <si>
    <r>
      <t>KB6100E-QS</t>
    </r>
    <r>
      <rPr>
        <sz val="11"/>
        <rFont val="ＭＳ Ｐゴシック"/>
        <family val="3"/>
        <charset val="128"/>
      </rPr>
      <t>H</t>
    </r>
    <r>
      <rPr>
        <sz val="11"/>
        <rFont val="ＭＳ Ｐゴシック"/>
        <family val="3"/>
        <charset val="128"/>
      </rPr>
      <t xml:space="preserve"> (10.0)</t>
    </r>
    <phoneticPr fontId="2"/>
  </si>
  <si>
    <r>
      <t>KB6100E-QN</t>
    </r>
    <r>
      <rPr>
        <sz val="11"/>
        <rFont val="ＭＳ Ｐゴシック"/>
        <family val="3"/>
        <charset val="128"/>
      </rPr>
      <t>H</t>
    </r>
    <r>
      <rPr>
        <sz val="11"/>
        <rFont val="ＭＳ Ｐゴシック"/>
        <family val="3"/>
        <charset val="128"/>
      </rPr>
      <t xml:space="preserve"> (10.0)</t>
    </r>
    <phoneticPr fontId="2"/>
  </si>
  <si>
    <t>１Ｌｉｔ缶</t>
    <rPh sb="4" eb="5">
      <t>カン</t>
    </rPh>
    <phoneticPr fontId="2"/>
  </si>
  <si>
    <t>黒色</t>
    <rPh sb="0" eb="1">
      <t>クロ</t>
    </rPh>
    <rPh sb="1" eb="2">
      <t>イロ</t>
    </rPh>
    <phoneticPr fontId="2"/>
  </si>
  <si>
    <t>朱色（ﾅﾄｺ製　ｵﾚﾝｼﾞ　FC-544）</t>
    <rPh sb="0" eb="1">
      <t>シュ</t>
    </rPh>
    <rPh sb="1" eb="2">
      <t>イロ</t>
    </rPh>
    <rPh sb="6" eb="7">
      <t>セイ</t>
    </rPh>
    <phoneticPr fontId="2"/>
  </si>
  <si>
    <t>別紙（補助仕様書）参照</t>
    <rPh sb="0" eb="2">
      <t>ベッシ</t>
    </rPh>
    <rPh sb="3" eb="5">
      <t>ホジョ</t>
    </rPh>
    <rPh sb="5" eb="8">
      <t>シヨウショ</t>
    </rPh>
    <rPh sb="9" eb="11">
      <t>サンショウ</t>
    </rPh>
    <phoneticPr fontId="2"/>
  </si>
  <si>
    <t>特仕</t>
    <rPh sb="0" eb="1">
      <t>トク</t>
    </rPh>
    <rPh sb="1" eb="2">
      <t>シ</t>
    </rPh>
    <phoneticPr fontId="2"/>
  </si>
  <si>
    <t xml:space="preserve"> 補助仕様書【非標準のみ】　</t>
    <rPh sb="1" eb="2">
      <t>タスク</t>
    </rPh>
    <rPh sb="2" eb="3">
      <t>スケ</t>
    </rPh>
    <rPh sb="3" eb="4">
      <t>ツコウ</t>
    </rPh>
    <rPh sb="4" eb="5">
      <t>サマ</t>
    </rPh>
    <rPh sb="5" eb="6">
      <t>ショ</t>
    </rPh>
    <rPh sb="7" eb="8">
      <t>ヒ</t>
    </rPh>
    <rPh sb="8" eb="10">
      <t>ヒョウジュン</t>
    </rPh>
    <phoneticPr fontId="2"/>
  </si>
  <si>
    <t>発注仕様書№</t>
    <rPh sb="0" eb="2">
      <t>ハッチュウ</t>
    </rPh>
    <rPh sb="2" eb="5">
      <t>シヨウショ</t>
    </rPh>
    <phoneticPr fontId="2"/>
  </si>
  <si>
    <t>日　付</t>
    <rPh sb="0" eb="1">
      <t>ヒ</t>
    </rPh>
    <rPh sb="2" eb="3">
      <t>ヅケ</t>
    </rPh>
    <phoneticPr fontId="2"/>
  </si>
  <si>
    <t>事　業　所　名</t>
    <rPh sb="0" eb="3">
      <t>ジギョウ</t>
    </rPh>
    <rPh sb="4" eb="5">
      <t>ショ</t>
    </rPh>
    <rPh sb="6" eb="7">
      <t>メイ</t>
    </rPh>
    <phoneticPr fontId="2"/>
  </si>
  <si>
    <t>支店長</t>
    <rPh sb="0" eb="3">
      <t>シテンチョウ</t>
    </rPh>
    <phoneticPr fontId="2"/>
  </si>
  <si>
    <t>担当者</t>
    <rPh sb="0" eb="3">
      <t>タントウシャ</t>
    </rPh>
    <phoneticPr fontId="2"/>
  </si>
  <si>
    <t>業　務</t>
    <rPh sb="0" eb="3">
      <t>ギョウム</t>
    </rPh>
    <phoneticPr fontId="2"/>
  </si>
  <si>
    <t>本　社　技　術　部　印</t>
    <rPh sb="0" eb="3">
      <t>ホンシャ</t>
    </rPh>
    <rPh sb="4" eb="7">
      <t>ギジュツ</t>
    </rPh>
    <rPh sb="8" eb="9">
      <t>ブ</t>
    </rPh>
    <rPh sb="10" eb="11">
      <t>イン</t>
    </rPh>
    <phoneticPr fontId="2"/>
  </si>
  <si>
    <t>支店にて記入</t>
    <rPh sb="0" eb="2">
      <t>シテン</t>
    </rPh>
    <rPh sb="4" eb="6">
      <t>キニュウ</t>
    </rPh>
    <phoneticPr fontId="2"/>
  </si>
  <si>
    <t>受注№</t>
    <rPh sb="0" eb="2">
      <t>ジュチュウ</t>
    </rPh>
    <phoneticPr fontId="2"/>
  </si>
  <si>
    <t>補助仕様書No.</t>
    <rPh sb="0" eb="2">
      <t>ホジョ</t>
    </rPh>
    <rPh sb="2" eb="5">
      <t>シヨウショ</t>
    </rPh>
    <phoneticPr fontId="2"/>
  </si>
  <si>
    <t>セールスからお客様に</t>
    <rPh sb="7" eb="9">
      <t>キャクサマ</t>
    </rPh>
    <phoneticPr fontId="2"/>
  </si>
  <si>
    <t>注 文 者 名</t>
    <rPh sb="0" eb="3">
      <t>チュウモン</t>
    </rPh>
    <rPh sb="4" eb="5">
      <t>シャ</t>
    </rPh>
    <rPh sb="6" eb="7">
      <t>メイ</t>
    </rPh>
    <phoneticPr fontId="2"/>
  </si>
  <si>
    <t>分類</t>
    <rPh sb="0" eb="2">
      <t>ブンルイ</t>
    </rPh>
    <phoneticPr fontId="2"/>
  </si>
  <si>
    <t>数量</t>
    <rPh sb="0" eb="2">
      <t>スウリョウ</t>
    </rPh>
    <phoneticPr fontId="2"/>
  </si>
  <si>
    <t>1-1．シャシ型式</t>
    <rPh sb="7" eb="9">
      <t>カタシキ</t>
    </rPh>
    <phoneticPr fontId="2"/>
  </si>
  <si>
    <t>無し</t>
    <phoneticPr fontId="2"/>
  </si>
  <si>
    <t>１．シャシ</t>
    <phoneticPr fontId="2"/>
  </si>
  <si>
    <t>２．ボデー関係</t>
    <rPh sb="5" eb="7">
      <t>カンケイ</t>
    </rPh>
    <phoneticPr fontId="2"/>
  </si>
  <si>
    <t>３．ボデー付属品</t>
    <rPh sb="5" eb="7">
      <t>フゾク</t>
    </rPh>
    <rPh sb="7" eb="8">
      <t>ヒン</t>
    </rPh>
    <phoneticPr fontId="2"/>
  </si>
  <si>
    <t>４．テールゲート関係</t>
  </si>
  <si>
    <t>５．テールゲート付属品</t>
  </si>
  <si>
    <t>６．シャシ下回り</t>
  </si>
  <si>
    <t>７．灯火器、電気関係</t>
    <rPh sb="2" eb="4">
      <t>トウカ</t>
    </rPh>
    <rPh sb="4" eb="5">
      <t>キ</t>
    </rPh>
    <rPh sb="6" eb="8">
      <t>デンキ</t>
    </rPh>
    <rPh sb="8" eb="10">
      <t>カンケイ</t>
    </rPh>
    <phoneticPr fontId="2"/>
  </si>
  <si>
    <t>８．小物部品</t>
    <rPh sb="2" eb="4">
      <t>コモノ</t>
    </rPh>
    <rPh sb="4" eb="6">
      <t>ブヒン</t>
    </rPh>
    <phoneticPr fontId="2"/>
  </si>
  <si>
    <t>車種仕様選択</t>
    <rPh sb="0" eb="2">
      <t>シャシュ</t>
    </rPh>
    <rPh sb="2" eb="4">
      <t>シヨウ</t>
    </rPh>
    <rPh sb="4" eb="6">
      <t>センタク</t>
    </rPh>
    <phoneticPr fontId="2"/>
  </si>
  <si>
    <t>仕様番号</t>
    <rPh sb="0" eb="2">
      <t>シヨウ</t>
    </rPh>
    <rPh sb="2" eb="4">
      <t>バンゴウ</t>
    </rPh>
    <phoneticPr fontId="2"/>
  </si>
  <si>
    <t>列番号</t>
    <rPh sb="0" eb="1">
      <t>レツ</t>
    </rPh>
    <rPh sb="1" eb="3">
      <t>バンゴウ</t>
    </rPh>
    <phoneticPr fontId="2"/>
  </si>
  <si>
    <t>選択列番号</t>
    <rPh sb="0" eb="2">
      <t>センタク</t>
    </rPh>
    <rPh sb="2" eb="5">
      <t>レツバンゴウ</t>
    </rPh>
    <phoneticPr fontId="2"/>
  </si>
  <si>
    <t xml:space="preserve">無し </t>
  </si>
  <si>
    <t xml:space="preserve">ＳＵＳ製 </t>
  </si>
  <si>
    <t xml:space="preserve">有 </t>
  </si>
  <si>
    <t>標準化
仕様を
薦めた</t>
    <rPh sb="0" eb="3">
      <t>ヒョウジュンカ</t>
    </rPh>
    <rPh sb="4" eb="6">
      <t>シヨウ</t>
    </rPh>
    <rPh sb="8" eb="9">
      <t>スス</t>
    </rPh>
    <phoneticPr fontId="2"/>
  </si>
  <si>
    <t>標準化
仕様は
薦めな
かった</t>
    <rPh sb="0" eb="3">
      <t>ヒョウジュンカ</t>
    </rPh>
    <rPh sb="4" eb="6">
      <t>シヨウ</t>
    </rPh>
    <rPh sb="8" eb="9">
      <t>スス</t>
    </rPh>
    <phoneticPr fontId="2"/>
  </si>
  <si>
    <t>どの標準化設定仕様で
代替を薦めたか？
または薦めなかった理由</t>
    <rPh sb="2" eb="5">
      <t>ヒョウジュンカ</t>
    </rPh>
    <rPh sb="5" eb="7">
      <t>セッテイ</t>
    </rPh>
    <rPh sb="7" eb="9">
      <t>シヨウ</t>
    </rPh>
    <rPh sb="11" eb="13">
      <t>ダイガエ</t>
    </rPh>
    <rPh sb="14" eb="15">
      <t>スス</t>
    </rPh>
    <rPh sb="23" eb="24">
      <t>スス</t>
    </rPh>
    <rPh sb="29" eb="31">
      <t>リユウ</t>
    </rPh>
    <phoneticPr fontId="2"/>
  </si>
  <si>
    <t>標準化設定仕様にならなかった理由
（お客様の用途・意向など）</t>
    <rPh sb="0" eb="3">
      <t>ヒョウジュンカ</t>
    </rPh>
    <rPh sb="3" eb="5">
      <t>セッテイ</t>
    </rPh>
    <rPh sb="5" eb="7">
      <t>シヨウ</t>
    </rPh>
    <rPh sb="14" eb="16">
      <t>リユウ</t>
    </rPh>
    <rPh sb="19" eb="21">
      <t>キャクサマ</t>
    </rPh>
    <rPh sb="22" eb="24">
      <t>ヨウト</t>
    </rPh>
    <rPh sb="25" eb="27">
      <t>イコウ</t>
    </rPh>
    <phoneticPr fontId="2"/>
  </si>
  <si>
    <t>シ 　ャ 　シ　　　搬入予定日</t>
    <rPh sb="10" eb="12">
      <t>ハンニュウ</t>
    </rPh>
    <rPh sb="12" eb="15">
      <t>ヨテイビ</t>
    </rPh>
    <phoneticPr fontId="2"/>
  </si>
  <si>
    <t>完成発送　　　　要  望  日</t>
    <rPh sb="0" eb="2">
      <t>カンセイ</t>
    </rPh>
    <rPh sb="2" eb="4">
      <t>ハッソウ</t>
    </rPh>
    <rPh sb="8" eb="12">
      <t>ヨウボウ</t>
    </rPh>
    <rPh sb="14" eb="15">
      <t>ビ</t>
    </rPh>
    <phoneticPr fontId="2"/>
  </si>
  <si>
    <t>架装型式</t>
    <rPh sb="0" eb="4">
      <t>カソウカタシキ</t>
    </rPh>
    <phoneticPr fontId="2"/>
  </si>
  <si>
    <t>車種</t>
    <phoneticPr fontId="2"/>
  </si>
  <si>
    <t>車型</t>
    <phoneticPr fontId="2"/>
  </si>
  <si>
    <t>C／№</t>
    <phoneticPr fontId="2"/>
  </si>
  <si>
    <t>ＥＸ３５０型を２個並べて取付</t>
    <rPh sb="8" eb="9">
      <t>コ</t>
    </rPh>
    <rPh sb="9" eb="10">
      <t>ナラ</t>
    </rPh>
    <rPh sb="12" eb="14">
      <t>トリツケ</t>
    </rPh>
    <phoneticPr fontId="2"/>
  </si>
  <si>
    <t>長さ550ｍｍ、幅400ｍｍのポリ製カゴを収納したい。</t>
    <rPh sb="0" eb="1">
      <t>ナガ</t>
    </rPh>
    <rPh sb="8" eb="9">
      <t>ハバ</t>
    </rPh>
    <rPh sb="17" eb="18">
      <t>セイ</t>
    </rPh>
    <rPh sb="21" eb="23">
      <t>シュウノウ</t>
    </rPh>
    <phoneticPr fontId="2"/>
  </si>
  <si>
    <t>特　別  仕　様　明　細　欄</t>
    <rPh sb="0" eb="1">
      <t>トク</t>
    </rPh>
    <rPh sb="2" eb="3">
      <t>ベツ</t>
    </rPh>
    <rPh sb="5" eb="8">
      <t>シヨウ</t>
    </rPh>
    <rPh sb="9" eb="12">
      <t>メイサイ</t>
    </rPh>
    <rPh sb="13" eb="14">
      <t>ラン</t>
    </rPh>
    <phoneticPr fontId="2"/>
  </si>
  <si>
    <t>仕　様　内　容</t>
    <rPh sb="0" eb="1">
      <t>ツコウ</t>
    </rPh>
    <rPh sb="2" eb="3">
      <t>サマ</t>
    </rPh>
    <rPh sb="4" eb="5">
      <t>ナイ</t>
    </rPh>
    <rPh sb="6" eb="7">
      <t>カタチ</t>
    </rPh>
    <phoneticPr fontId="2"/>
  </si>
  <si>
    <t>代替品を薦めるための資料がなく、上手く説明できない。</t>
    <rPh sb="0" eb="2">
      <t>ダイガエ</t>
    </rPh>
    <rPh sb="2" eb="3">
      <t>ヒン</t>
    </rPh>
    <rPh sb="4" eb="5">
      <t>スス</t>
    </rPh>
    <rPh sb="10" eb="12">
      <t>シリョウ</t>
    </rPh>
    <rPh sb="16" eb="18">
      <t>ウマ</t>
    </rPh>
    <rPh sb="19" eb="21">
      <t>セツメイ</t>
    </rPh>
    <phoneticPr fontId="2"/>
  </si>
  <si>
    <t>（</t>
    <phoneticPr fontId="2"/>
  </si>
  <si>
    <t xml:space="preserve"> ／</t>
    <phoneticPr fontId="2"/>
  </si>
  <si>
    <t>）</t>
    <phoneticPr fontId="2"/>
  </si>
  <si>
    <r>
      <t>フ リ ガ ナ</t>
    </r>
    <r>
      <rPr>
        <sz val="10"/>
        <rFont val="ＭＳ Ｐゴシック"/>
        <family val="3"/>
        <charset val="128"/>
      </rPr>
      <t xml:space="preserve">
引　当　先 名</t>
    </r>
    <rPh sb="8" eb="11">
      <t>ヒキアテ</t>
    </rPh>
    <rPh sb="12" eb="13">
      <t>サキ</t>
    </rPh>
    <rPh sb="14" eb="15">
      <t>メイ</t>
    </rPh>
    <phoneticPr fontId="2"/>
  </si>
  <si>
    <t>（</t>
    <phoneticPr fontId="2"/>
  </si>
  <si>
    <t>生産ＳＲ車充当</t>
    <phoneticPr fontId="2"/>
  </si>
  <si>
    <t>大きなちりとりを収納したい。</t>
    <rPh sb="0" eb="1">
      <t>オオ</t>
    </rPh>
    <rPh sb="8" eb="10">
      <t>シュウノウ</t>
    </rPh>
    <phoneticPr fontId="2"/>
  </si>
  <si>
    <t>支店長</t>
  </si>
  <si>
    <t>業務</t>
    <rPh sb="0" eb="2">
      <t>ギョウム</t>
    </rPh>
    <phoneticPr fontId="2"/>
  </si>
  <si>
    <t>④受注仕様書へ戻る</t>
    <rPh sb="1" eb="3">
      <t>ジュチュウ</t>
    </rPh>
    <rPh sb="3" eb="6">
      <t>シヨウショ</t>
    </rPh>
    <rPh sb="7" eb="8">
      <t>モド</t>
    </rPh>
    <phoneticPr fontId="2"/>
  </si>
  <si>
    <t>選定シャシ型式</t>
    <rPh sb="0" eb="2">
      <t>センテイ</t>
    </rPh>
    <rPh sb="5" eb="7">
      <t>カタシキ</t>
    </rPh>
    <phoneticPr fontId="2"/>
  </si>
  <si>
    <t>架装型式</t>
    <phoneticPr fontId="2"/>
  </si>
  <si>
    <t>メーカー</t>
    <phoneticPr fontId="2"/>
  </si>
  <si>
    <t>UDﾄﾗｯｸｽ</t>
  </si>
  <si>
    <t>ﾏﾂﾀﾞ</t>
  </si>
  <si>
    <t>三菱</t>
  </si>
  <si>
    <t>ﾄﾖﾀ</t>
  </si>
  <si>
    <t>日野</t>
  </si>
  <si>
    <t>2-1．ボデー床板</t>
  </si>
  <si>
    <t>2-2．ボデー前面臭気対策</t>
  </si>
  <si>
    <t>12-4．オルゴール</t>
  </si>
  <si>
    <t>12-7．タイヤキャリア</t>
  </si>
  <si>
    <t>有　SS 巻き込み防止枠兼振れ止め</t>
    <rPh sb="0" eb="1">
      <t>ア</t>
    </rPh>
    <rPh sb="12" eb="13">
      <t>ケン</t>
    </rPh>
    <rPh sb="13" eb="14">
      <t>フ</t>
    </rPh>
    <rPh sb="15" eb="16">
      <t>ト</t>
    </rPh>
    <phoneticPr fontId="20"/>
  </si>
  <si>
    <t>有　SUS（バフ有） 巻き込み防止枠兼振れ止め</t>
    <rPh sb="0" eb="1">
      <t>ア</t>
    </rPh>
    <rPh sb="18" eb="19">
      <t>ケン</t>
    </rPh>
    <rPh sb="19" eb="20">
      <t>フ</t>
    </rPh>
    <rPh sb="21" eb="22">
      <t>ト</t>
    </rPh>
    <phoneticPr fontId="20"/>
  </si>
  <si>
    <t>有　SS</t>
    <rPh sb="0" eb="1">
      <t>アリ</t>
    </rPh>
    <phoneticPr fontId="2"/>
  </si>
  <si>
    <t>有　SS 補強ステー取付</t>
    <rPh sb="0" eb="1">
      <t>ア</t>
    </rPh>
    <phoneticPr fontId="20"/>
  </si>
  <si>
    <t>有　SUS（バフ有） 補強ステー取付</t>
    <rPh sb="0" eb="1">
      <t>ア</t>
    </rPh>
    <phoneticPr fontId="20"/>
  </si>
  <si>
    <t>無し 【マフラ後輪後出しの場合は取付不可】</t>
    <phoneticPr fontId="2"/>
  </si>
  <si>
    <t xml:space="preserve">ロゴ無し </t>
  </si>
  <si>
    <t>布入り泥除けゴム（ロゴ無し）</t>
  </si>
  <si>
    <t>ＳＵＳ製角型 塗装無し（バフ有）</t>
    <rPh sb="7" eb="9">
      <t>トソウ</t>
    </rPh>
    <rPh sb="9" eb="10">
      <t>ナ</t>
    </rPh>
    <phoneticPr fontId="2"/>
  </si>
  <si>
    <t>無し</t>
    <phoneticPr fontId="2"/>
  </si>
  <si>
    <t>無し</t>
    <phoneticPr fontId="2"/>
  </si>
  <si>
    <t>無し</t>
    <phoneticPr fontId="2"/>
  </si>
  <si>
    <t>12-2．作業灯</t>
    <rPh sb="5" eb="8">
      <t>サギョウトウ</t>
    </rPh>
    <phoneticPr fontId="2"/>
  </si>
  <si>
    <t>12-3．タイヤ灯</t>
    <rPh sb="8" eb="9">
      <t>トウ</t>
    </rPh>
    <phoneticPr fontId="2"/>
  </si>
  <si>
    <t>12-5．道具箱</t>
    <rPh sb="5" eb="7">
      <t>ドウグ</t>
    </rPh>
    <rPh sb="7" eb="8">
      <t>バコ</t>
    </rPh>
    <phoneticPr fontId="2"/>
  </si>
  <si>
    <t>仕様指示書（プレスマスター）リスト</t>
    <rPh sb="0" eb="2">
      <t>シヨウ</t>
    </rPh>
    <rPh sb="2" eb="4">
      <t>シジ</t>
    </rPh>
    <rPh sb="4" eb="5">
      <t>ショ</t>
    </rPh>
    <phoneticPr fontId="2"/>
  </si>
  <si>
    <t>6-5．泥除けゴムに巻き込み防止枠
　　　 兼振れ止め取付</t>
    <rPh sb="27" eb="29">
      <t>トリツケ</t>
    </rPh>
    <phoneticPr fontId="2"/>
  </si>
  <si>
    <t>１０</t>
  </si>
  <si>
    <t>PA5</t>
    <phoneticPr fontId="2"/>
  </si>
  <si>
    <t>PA54H-T1</t>
    <phoneticPr fontId="2"/>
  </si>
  <si>
    <t>PB6</t>
    <phoneticPr fontId="2"/>
  </si>
  <si>
    <t>PA5</t>
    <phoneticPr fontId="2"/>
  </si>
  <si>
    <t>１．シャシ</t>
    <phoneticPr fontId="2"/>
  </si>
  <si>
    <t xml:space="preserve">標準化設定シャシ   </t>
  </si>
  <si>
    <t xml:space="preserve">標準化設定外シャシ（非標準）   </t>
  </si>
  <si>
    <t>右扉　左蓋 ボデー前ステップ＋排出板移動防止ＳＷ＋ボデー内作業灯が取付されます</t>
  </si>
  <si>
    <t>シート式 ボデー前ステップ＋排出板移動防止ＳＷ＋ボデー内作業灯が取付されます</t>
  </si>
  <si>
    <t xml:space="preserve">無し  </t>
  </si>
  <si>
    <t xml:space="preserve">高さ１５０ｍｍ【 取付可否は転角による】 </t>
  </si>
  <si>
    <t xml:space="preserve">高さ２００ｍｍ【 取付可否は転角による】 </t>
  </si>
  <si>
    <t xml:space="preserve">高さ２５０ｍｍ【 取付可否は転角による】 </t>
  </si>
  <si>
    <t xml:space="preserve">高さ１５０ｍｍ（鋼板張り）【 取付可否は転角による】 </t>
  </si>
  <si>
    <t xml:space="preserve">高さ２００ｍｍ（鋼板張り）【 取付可否は転角による】 </t>
  </si>
  <si>
    <t xml:space="preserve">高さ２５０ｍｍ（鋼板張り）【 取付可否は転角による】 </t>
  </si>
  <si>
    <t xml:space="preserve">高さ２００ｍｍ（パンチングプレート張り）【 取付可否は転角による】 </t>
  </si>
  <si>
    <t xml:space="preserve">高さ２５０ｍｍ（パンチングプレート張り）【 取付可否は転角による】 </t>
  </si>
  <si>
    <t xml:space="preserve">別紙（補助仕様書）参照  </t>
  </si>
  <si>
    <t>3-9．火災延焼抑制装置(燃延くん)取付</t>
    <rPh sb="4" eb="6">
      <t>カサイ</t>
    </rPh>
    <rPh sb="6" eb="8">
      <t>エンショウ</t>
    </rPh>
    <rPh sb="8" eb="10">
      <t>ヨクセイ</t>
    </rPh>
    <rPh sb="10" eb="12">
      <t>ソウチ</t>
    </rPh>
    <rPh sb="13" eb="14">
      <t>モ</t>
    </rPh>
    <rPh sb="14" eb="15">
      <t>ノベ</t>
    </rPh>
    <rPh sb="18" eb="20">
      <t>トリツケ</t>
    </rPh>
    <phoneticPr fontId="2"/>
  </si>
  <si>
    <r>
      <t>3-</t>
    </r>
    <r>
      <rPr>
        <sz val="11"/>
        <rFont val="ＭＳ Ｐゴシック"/>
        <family val="3"/>
        <charset val="128"/>
      </rPr>
      <t>9</t>
    </r>
    <r>
      <rPr>
        <sz val="11"/>
        <rFont val="ＭＳ Ｐゴシック"/>
        <family val="3"/>
        <charset val="128"/>
      </rPr>
      <t>．</t>
    </r>
    <phoneticPr fontId="2"/>
  </si>
  <si>
    <t xml:space="preserve">前後各２箇所、左右各３箇所【天井枠取付時のみ選択】　  </t>
  </si>
  <si>
    <t xml:space="preserve">前後各３箇所、左右各３箇所【天井枠取付時のみ選択】 </t>
  </si>
  <si>
    <t xml:space="preserve">前後各３箇所、左右各４箇所【天井枠取付時のみ選択】 </t>
  </si>
  <si>
    <t xml:space="preserve">前後各４箇所、左右各４箇所【天井枠取付時のみ選択】 </t>
  </si>
  <si>
    <t xml:space="preserve">前後各４箇所、左右各５箇所【天井枠取付時のみ選択】 </t>
  </si>
  <si>
    <t xml:space="preserve">前後各５箇所、左右各５箇所【天井枠取付時のみ選択】 </t>
  </si>
  <si>
    <t>４．テールゲート関係</t>
    <phoneticPr fontId="2"/>
  </si>
  <si>
    <t xml:space="preserve">２－φ２５ </t>
  </si>
  <si>
    <t xml:space="preserve">４－φ２５ </t>
  </si>
  <si>
    <t xml:space="preserve">高さ１５０ｍｍ（パンチングプレート張り）【 取付可否は転角による】 </t>
    <phoneticPr fontId="2"/>
  </si>
  <si>
    <t xml:space="preserve">【都庁傭上仕様】消火ハッチ２ヶ所+黄色ラベル（三角マーク(小)+消火ハッチ）貼付 </t>
    <phoneticPr fontId="2"/>
  </si>
  <si>
    <t xml:space="preserve">【都庁傭上仕様】消火ハッチ２ヶ所+黄色ラベル（三角マーク(大)+消火ハッチ）貼付 </t>
    <phoneticPr fontId="2"/>
  </si>
  <si>
    <t xml:space="preserve">【都庁傭上仕様】消火ハッチ４ヶ所+黄色ラベル（三角マーク(小)+消火ハッチ）貼付 </t>
    <phoneticPr fontId="2"/>
  </si>
  <si>
    <t xml:space="preserve">【都庁傭上仕様】消火ハッチ４ヶ所+黄色ラベル（三角マーク(大)+消火ハッチ）貼付 </t>
    <phoneticPr fontId="2"/>
  </si>
  <si>
    <t>無し、汚水抜きキャップ左取付 汚水タンク蓋無し</t>
  </si>
  <si>
    <t>無し、汚水抜きキャップ右取付 汚水タンク蓋無し</t>
  </si>
  <si>
    <t>無し、汚水抜きキャップ左右取付 汚水タンク蓋無し</t>
  </si>
  <si>
    <t>無し、汚水抜きキャップ無し 汚水タンク蓋無し</t>
  </si>
  <si>
    <t>５．テールゲート付属品</t>
    <phoneticPr fontId="2"/>
  </si>
  <si>
    <t xml:space="preserve">同材ｔ４．５ </t>
  </si>
  <si>
    <t xml:space="preserve">ＳＳ製 </t>
  </si>
  <si>
    <t xml:space="preserve">ﾌﾟﾚｽﾌﾟﾚｰﾄ先端，ｻｲﾄﾞ(ｺﾞﾑ式） ＋ ﾊﾟｯｶｰﾌﾟﾚｰﾄ～ﾌﾟﾚｽﾌﾟﾚｰﾄ間（ｺﾞﾑ式，固定式） </t>
    <phoneticPr fontId="2"/>
  </si>
  <si>
    <t xml:space="preserve">ﾌﾟﾚｽﾌﾟﾚｰﾄ先端，ｻｲﾄﾞ(ｺﾞﾑ式） ＋ ﾊﾟｯｶｰﾌﾟﾚｰﾄ～ﾌﾟﾚｽﾌﾟﾚｰﾄ間（ｺﾞﾑ式，蝶番式） </t>
    <phoneticPr fontId="2"/>
  </si>
  <si>
    <t>ﾌﾟﾚｽﾌﾟﾚｰﾄ先端（ｺﾞﾑ二重式），ｻｲﾄﾞ(ｺﾞﾑ式） ＋ ﾊﾟｯｶｰﾌﾟﾚｰﾄ～ﾌﾟﾚｽﾌﾟﾚｰﾄ間（ｺﾞﾑ式，蝶番式）</t>
    <phoneticPr fontId="2"/>
  </si>
  <si>
    <t xml:space="preserve">ﾌﾟﾚｽﾌﾟﾚｰﾄ先端，ｻｲﾄﾞ(ｺﾞﾑ式） ＋ ﾊﾟｯｶｰﾌﾟﾚｰﾄ～ﾌﾟﾚｽﾌﾟﾚｰﾄ間（ｺﾞﾑ式，蝶番強度ｱｯﾌﾟ式） </t>
    <phoneticPr fontId="2"/>
  </si>
  <si>
    <t xml:space="preserve">ﾌﾟﾚｽﾌﾟﾚｰﾄ先端，ｻｲﾄﾞ(ｺﾞﾑ式） ＋ ﾊﾟｯｶｰﾌﾟﾚｰﾄ～ﾌﾟﾚｽﾌﾟﾚｰﾄ間（耐油ｺﾞﾑ式，蝶番強度ｱｯﾌﾟ式） </t>
    <phoneticPr fontId="2"/>
  </si>
  <si>
    <t xml:space="preserve">ＳＳ製２枚折れ扉 </t>
  </si>
  <si>
    <t xml:space="preserve">ＳＵＳ製２枚折れ扉 </t>
  </si>
  <si>
    <t>【PA54H-T1専用】 SS製１枚扉（４本アーム式） ｶﾞｲﾄﾞﾃｰﾌﾞﾙ折畳式，ﾃｰﾙﾗﾝﾌﾟ投入口下部に変更</t>
    <phoneticPr fontId="2"/>
  </si>
  <si>
    <t>【PA54H-T1専用】 SUS製１枚扉（４本アーム式） ｶﾞｲﾄﾞﾃｰﾌﾞﾙ折畳式，ﾃｰﾙﾗﾝﾌﾟ投入口下部に変更</t>
    <phoneticPr fontId="2"/>
  </si>
  <si>
    <t xml:space="preserve">シート式扉 </t>
  </si>
  <si>
    <t xml:space="preserve">パイプ式 </t>
  </si>
  <si>
    <t xml:space="preserve">大型トリガーハンドル </t>
  </si>
  <si>
    <t xml:space="preserve">無し（ＧＶＷ７０００kg未満） </t>
  </si>
  <si>
    <t xml:space="preserve">有（ＧＶＷ７０００kg以上）／型式認定品 </t>
  </si>
  <si>
    <t>汎用型 ＧＶＷ７０００kg未満のみ選択可</t>
  </si>
  <si>
    <t xml:space="preserve">シート式（グレー） </t>
  </si>
  <si>
    <t>６．シャシ下回り</t>
    <phoneticPr fontId="2"/>
  </si>
  <si>
    <t>ボデー幅取付（ＳＳ） 取付け不可の場合は、フレーム幅になります</t>
  </si>
  <si>
    <t>ボデー幅取付（ＳＵＳ） 取付け不可の場合は、フレーム幅になります</t>
  </si>
  <si>
    <t xml:space="preserve">ＳＳ製角型 </t>
  </si>
  <si>
    <t>ＰＡ：無し／ＰＢ：有 ＰＡ５４Ｈオイルタンクボデー内仕様の場合、有となります</t>
  </si>
  <si>
    <t xml:space="preserve">標準仕様 </t>
  </si>
  <si>
    <t>東京２３区清掃協議会仕様 掻き出し単独ＳＷ、ＰＴＯＳＷ、ＰＴＯランプ、排出板戻り完了ランプ</t>
  </si>
  <si>
    <t xml:space="preserve">投入口角パイプ下３連灯 </t>
  </si>
  <si>
    <t xml:space="preserve">有（枠を水平取付け） </t>
  </si>
  <si>
    <t xml:space="preserve">有（枠を傾斜取付け） </t>
  </si>
  <si>
    <t xml:space="preserve">有（後部扉にＢＫＴを取付け） </t>
  </si>
  <si>
    <t xml:space="preserve">有（作業中看板上にＢＫＴを取付け） </t>
  </si>
  <si>
    <t xml:space="preserve">【ＰＡ５４Ｈ－Ｔ１専用仕様】 有（作業中看板上にＢＫＴを取付け） </t>
    <phoneticPr fontId="2"/>
  </si>
  <si>
    <t>キー「ＯＮ」時点灯、スイッチ：キャブ内に取付</t>
    <phoneticPr fontId="2"/>
  </si>
  <si>
    <t>有（ボデー後端左右各１個） スモール連動，黄色</t>
  </si>
  <si>
    <t>有（ＷＢ間左右各２個 ＋ボデー後端左右各１個） スモール連動，黄色</t>
  </si>
  <si>
    <t>有（ＷＢ間左右各２個 ＋ボデー後端左右各１個＋ Ｔ／Ｇ後端左右各１個） スモール連動，黄色</t>
  </si>
  <si>
    <t>有（ＯＦＦスイッチ無し） 日野ＬＰＧ車は標準</t>
  </si>
  <si>
    <t xml:space="preserve">天井蝶番部付近で接続 </t>
  </si>
  <si>
    <t>有(ｽﾓｰﾙﾗﾝﾌﾟ点灯以上で左折時減音,後退時消音)</t>
    <phoneticPr fontId="2"/>
  </si>
  <si>
    <t xml:space="preserve">有(ｽﾓｰﾙﾗﾝﾌﾟ点灯以上で左折時減音,後退時消音)+ON/OFFｽｲｯﾁ取付 </t>
    <phoneticPr fontId="2"/>
  </si>
  <si>
    <t>有 ＤＨ型類似品（３７０Ｘ１３０Ｘ２７０）</t>
    <phoneticPr fontId="2"/>
  </si>
  <si>
    <t>有 ＤＨ型類似品（３７０Ｘ１３０Ｘ２７０）、ＳＵＳ製</t>
    <phoneticPr fontId="2"/>
  </si>
  <si>
    <t>有 ﾌﾚｰﾑｻｲﾄﾞに最大限（ＳＳ、鋼板製） 車型及び架装型式により道具箱の大きさは異なります</t>
    <phoneticPr fontId="2"/>
  </si>
  <si>
    <t>有 ﾌﾚｰﾑｻｲﾄﾞに最大限（ＳＵＳ、鋼板製） 車型及び架装型式により道具箱の大きさは異なります</t>
    <phoneticPr fontId="2"/>
  </si>
  <si>
    <t>有 ﾌﾚｰﾑｻｲﾄﾞに最大限（ＳＳ、ﾊﾟﾝﾁﾝｸﾞ製） 車型及び架装型式により道具箱の大きさは異なります</t>
    <phoneticPr fontId="2"/>
  </si>
  <si>
    <t>有 ﾌﾚｰﾑｻｲﾄﾞに最大限（ＳＵＳ、ﾊﾟﾝﾁﾝｸﾞ製） 車型及び架装型式により道具箱の大きさは異なります</t>
    <phoneticPr fontId="2"/>
  </si>
  <si>
    <t>有 ﾌﾚｰﾑｻｲﾄﾞに最大限（ＳＳ、ｴｷｽﾊﾟﾝﾄﾞ製） 車型及び架装型式により道具箱の大きさは異なります</t>
    <phoneticPr fontId="2"/>
  </si>
  <si>
    <t>有 ﾌﾚｰﾑｻｲﾄﾞに最大限（ＳＵＳ、ｴｷｽﾊﾟﾝﾄﾞ製） 車型及び架装型式により道具箱の大きさは異なります</t>
    <phoneticPr fontId="2"/>
  </si>
  <si>
    <t>【都庁傭上仕様】有（１ヶ所），底エキスパンド張り タイヤキャリア押さえ部前側</t>
  </si>
  <si>
    <t>【都庁傭上仕様】有（１ヶ所），底無し ボデー前端左側</t>
  </si>
  <si>
    <t>【都庁傭上仕様】有 ボデー前面板左に縦向きに取付</t>
  </si>
  <si>
    <t>ダブル型 右側取付</t>
  </si>
  <si>
    <t>シングル型（ＢＫＴ：ＳＵＳ製） 左右取付</t>
  </si>
  <si>
    <t>有 取付可否については、別紙『車種別標準架装一覧表』で確認のこと</t>
  </si>
  <si>
    <t>有 ＰＢ６のみ選択可</t>
  </si>
  <si>
    <t>有　ＥＸ３５０型（ＢＫＴ含まず）</t>
    <phoneticPr fontId="2"/>
  </si>
  <si>
    <t>有　Ｐ５００型（ＢＫＴ含まず）</t>
    <phoneticPr fontId="2"/>
  </si>
  <si>
    <t>有　ＥＸ５００型（ＢＫＴ含まず）</t>
    <phoneticPr fontId="2"/>
  </si>
  <si>
    <t>2-2．ボデー前面臭気対策</t>
    <phoneticPr fontId="2"/>
  </si>
  <si>
    <t>2-3．のぞき窓</t>
    <rPh sb="7" eb="8">
      <t>マド</t>
    </rPh>
    <phoneticPr fontId="2"/>
  </si>
  <si>
    <t>3-1．排出板下にゴム板</t>
    <rPh sb="4" eb="6">
      <t>ハイシュツ</t>
    </rPh>
    <rPh sb="6" eb="7">
      <t>バン</t>
    </rPh>
    <rPh sb="7" eb="8">
      <t>シタ</t>
    </rPh>
    <rPh sb="11" eb="12">
      <t>イタ</t>
    </rPh>
    <phoneticPr fontId="2"/>
  </si>
  <si>
    <t>3-2．掃除口取付（左右）</t>
    <phoneticPr fontId="2"/>
  </si>
  <si>
    <t>3-3．Ｔ／Ｇ降下防止スイッチ取付</t>
    <rPh sb="15" eb="17">
      <t>トリツケ</t>
    </rPh>
    <phoneticPr fontId="2"/>
  </si>
  <si>
    <t>3-4．ステップ取付</t>
    <phoneticPr fontId="2"/>
  </si>
  <si>
    <t>3-5．天井枠取付</t>
    <rPh sb="7" eb="9">
      <t>トリツケ</t>
    </rPh>
    <phoneticPr fontId="2"/>
  </si>
  <si>
    <t>3-6．天井枠フック</t>
    <rPh sb="4" eb="6">
      <t>テンジョウ</t>
    </rPh>
    <rPh sb="6" eb="7">
      <t>ワク</t>
    </rPh>
    <phoneticPr fontId="2"/>
  </si>
  <si>
    <t>3-7．バルブカバー</t>
    <phoneticPr fontId="2"/>
  </si>
  <si>
    <t>3-8．ボデー天井注水口取付</t>
    <phoneticPr fontId="2"/>
  </si>
  <si>
    <t>4-2．ドラム板汚水抜き穴</t>
    <rPh sb="7" eb="8">
      <t>イタ</t>
    </rPh>
    <rPh sb="8" eb="10">
      <t>オスイ</t>
    </rPh>
    <rPh sb="10" eb="11">
      <t>ヌ</t>
    </rPh>
    <rPh sb="12" eb="13">
      <t>アナ</t>
    </rPh>
    <phoneticPr fontId="2"/>
  </si>
  <si>
    <t>5-3．後部扉レール補強</t>
    <rPh sb="4" eb="6">
      <t>コウブ</t>
    </rPh>
    <rPh sb="6" eb="7">
      <t>トビラ</t>
    </rPh>
    <rPh sb="10" eb="12">
      <t>ホキョウ</t>
    </rPh>
    <phoneticPr fontId="2"/>
  </si>
  <si>
    <t>5-4．汚水排出装置取付</t>
    <phoneticPr fontId="2"/>
  </si>
  <si>
    <t>5-5．汚水タンク蓋</t>
    <rPh sb="9" eb="10">
      <t>フタ</t>
    </rPh>
    <phoneticPr fontId="2"/>
  </si>
  <si>
    <t>5-6．汚水溜り取付（汚水タンクへホースつなぐ）</t>
    <phoneticPr fontId="2"/>
  </si>
  <si>
    <t>有 （１５Ａパイプ）</t>
    <phoneticPr fontId="2"/>
  </si>
  <si>
    <t>有 （φ１６丸棒）</t>
    <phoneticPr fontId="2"/>
  </si>
  <si>
    <t>有 （φ１２丸棒）</t>
    <phoneticPr fontId="2"/>
  </si>
  <si>
    <t>5-15．積込操作盤・緊急停止スイッチボックスガード取付</t>
    <phoneticPr fontId="2"/>
  </si>
  <si>
    <t>5-16．連絡ブザー用押しボタンスイッチを右側に増設</t>
    <phoneticPr fontId="2"/>
  </si>
  <si>
    <t>5-17．コーナープロテクタ</t>
    <phoneticPr fontId="2"/>
  </si>
  <si>
    <t>5-18．後部バンパ</t>
    <rPh sb="5" eb="7">
      <t>コウブ</t>
    </rPh>
    <phoneticPr fontId="2"/>
  </si>
  <si>
    <t>5-19．天井カバー</t>
    <rPh sb="5" eb="7">
      <t>テンジョウ</t>
    </rPh>
    <phoneticPr fontId="2"/>
  </si>
  <si>
    <t>有（反転装置取付の場合は無しとなる）</t>
    <rPh sb="2" eb="4">
      <t>ハンテン</t>
    </rPh>
    <rPh sb="4" eb="6">
      <t>ソウチ</t>
    </rPh>
    <rPh sb="6" eb="8">
      <t>トリツケ</t>
    </rPh>
    <rPh sb="9" eb="11">
      <t>バアイ</t>
    </rPh>
    <rPh sb="12" eb="13">
      <t>ナ</t>
    </rPh>
    <phoneticPr fontId="2"/>
  </si>
  <si>
    <t>ﾌﾟﾚｽﾌﾟﾚｰﾄ先端，ｻｲﾄﾞ(ｺﾞﾑ式）のみ，プレート間無し</t>
    <rPh sb="29" eb="30">
      <t>カン</t>
    </rPh>
    <rPh sb="30" eb="31">
      <t>ナ</t>
    </rPh>
    <phoneticPr fontId="2"/>
  </si>
  <si>
    <t>TPG-NKR85AN-EE5APY-M</t>
  </si>
  <si>
    <t>TPG-NKR85AN-EE5APY-D</t>
  </si>
  <si>
    <t>TPG-NMR85AN-EE5APY-M</t>
  </si>
  <si>
    <t>TPG-NMR85AN-EE5APY-D</t>
  </si>
  <si>
    <t>TPG-NMR85N-EJ5APY-M</t>
  </si>
  <si>
    <t>TPG-NMR85N-EJ5APY-D</t>
  </si>
  <si>
    <t>TPG-LKR85AN-EE5APY-M</t>
  </si>
  <si>
    <t>TPG-LKR85AN-EE5APY-D</t>
  </si>
  <si>
    <t>TPG-LMR85AN-EE5APY-M</t>
  </si>
  <si>
    <t>TPG-LMR85AN-EE5APY-D</t>
  </si>
  <si>
    <t>TPG-LMR85N-EJ5APY-M</t>
  </si>
  <si>
    <t>TPG-LMR85N-EJ5APY-D</t>
  </si>
  <si>
    <t>TPG-NMR85N-FJ5APY-M</t>
  </si>
  <si>
    <t>TPG-NMR85N-FJ5APY-D</t>
  </si>
  <si>
    <t>TPG-LMR85N-FJ5APY-M</t>
  </si>
  <si>
    <t>TPG-LMR85N-FJ5APY-D</t>
  </si>
  <si>
    <t>ＳＵＳ製（パッキン押え板付） 　※ＰＡ５４Ｈ，ＰＡ５５Ｈのみ選択可</t>
    <rPh sb="30" eb="32">
      <t>センタク</t>
    </rPh>
    <rPh sb="32" eb="33">
      <t>カ</t>
    </rPh>
    <phoneticPr fontId="2"/>
  </si>
  <si>
    <t>無し（リフトシリンダカバー取付） 全高制限仕様は標準　PA56H-3、PA56H-5、PA57H、PA57H-4</t>
    <phoneticPr fontId="2"/>
  </si>
  <si>
    <t>有（小糸製Ｂ型，左側のみ取付） スモール連動，キャブ内スイッチ無し</t>
    <rPh sb="26" eb="27">
      <t>ナイ</t>
    </rPh>
    <rPh sb="31" eb="32">
      <t>ナシ</t>
    </rPh>
    <phoneticPr fontId="2"/>
  </si>
  <si>
    <t>有（小糸製Ｂ型，左右取付） スモール連動，キャブ内スイッチ無し</t>
    <rPh sb="24" eb="25">
      <t>ナイ</t>
    </rPh>
    <rPh sb="29" eb="30">
      <t>ナシ</t>
    </rPh>
    <phoneticPr fontId="2"/>
  </si>
  <si>
    <t>配線のみ施工(左側のみ取付用) スモール連動，キャブ内スイッチ無し</t>
    <rPh sb="26" eb="27">
      <t>ナイ</t>
    </rPh>
    <rPh sb="31" eb="32">
      <t>ナシ</t>
    </rPh>
    <phoneticPr fontId="2"/>
  </si>
  <si>
    <t>配線のみ施工(左右取付用) スモール連動，キャブ内スイッチ無し</t>
    <rPh sb="24" eb="25">
      <t>ナイ</t>
    </rPh>
    <rPh sb="29" eb="30">
      <t>ナシ</t>
    </rPh>
    <phoneticPr fontId="2"/>
  </si>
  <si>
    <t>無し【消火器を積載部品で選択している場合のみ選択可】</t>
    <rPh sb="0" eb="1">
      <t>ナ</t>
    </rPh>
    <rPh sb="3" eb="6">
      <t>ショウカキ</t>
    </rPh>
    <rPh sb="7" eb="9">
      <t>セキサイ</t>
    </rPh>
    <rPh sb="9" eb="11">
      <t>ブヒン</t>
    </rPh>
    <rPh sb="12" eb="14">
      <t>センタク</t>
    </rPh>
    <rPh sb="18" eb="20">
      <t>バアイ</t>
    </rPh>
    <rPh sb="22" eb="24">
      <t>センタク</t>
    </rPh>
    <rPh sb="24" eb="25">
      <t>カ</t>
    </rPh>
    <phoneticPr fontId="2"/>
  </si>
  <si>
    <t>有（モリタ消防LED，左側のみ取付） スモール連動，キャブ内スイッチ無し</t>
    <rPh sb="0" eb="1">
      <t>アリ</t>
    </rPh>
    <rPh sb="5" eb="7">
      <t>ショウボウ</t>
    </rPh>
    <phoneticPr fontId="2"/>
  </si>
  <si>
    <t>有（モリタ消防LED，左右取付） スモール連動，キャブ内スイッチ無し</t>
    <rPh sb="0" eb="1">
      <t>アリ</t>
    </rPh>
    <rPh sb="5" eb="7">
      <t>ショウボウ</t>
    </rPh>
    <phoneticPr fontId="2"/>
  </si>
  <si>
    <t>有（ＳＵＳ製ボックス蓋無し） １５０Ｘ１５０Ｘ２００ （右側取付）</t>
    <rPh sb="28" eb="30">
      <t>ミギガワ</t>
    </rPh>
    <rPh sb="30" eb="32">
      <t>トリツケ</t>
    </rPh>
    <phoneticPr fontId="2"/>
  </si>
  <si>
    <t>有（ＳＵＳ製ボックス蓋無し） １５０Ｘ１５０Ｘ２００ （左側取付）</t>
    <rPh sb="28" eb="30">
      <t>ヒダリガワ</t>
    </rPh>
    <rPh sb="30" eb="32">
      <t>トリツケ</t>
    </rPh>
    <phoneticPr fontId="2"/>
  </si>
  <si>
    <t>有（ＳＵＳ製ボックス蓋無し） １５０Ｘ１５０Ｘ２００ （左右取付）</t>
    <rPh sb="28" eb="29">
      <t>ヒダリ</t>
    </rPh>
    <rPh sb="30" eb="32">
      <t>トリツケ</t>
    </rPh>
    <phoneticPr fontId="2"/>
  </si>
  <si>
    <t>有（ＳＵＳ製ボックス蓋付） １５０Ｘ１５０Ｘ２００ （右側取付）</t>
    <rPh sb="27" eb="29">
      <t>ミギガワ</t>
    </rPh>
    <rPh sb="29" eb="31">
      <t>トリツケ</t>
    </rPh>
    <phoneticPr fontId="2"/>
  </si>
  <si>
    <t>有（ＳＵＳ製ボックス蓋付） １５０Ｘ１５０Ｘ２００ （左側取付）</t>
    <rPh sb="27" eb="29">
      <t>ヒダリガワ</t>
    </rPh>
    <rPh sb="29" eb="31">
      <t>トリツケ</t>
    </rPh>
    <phoneticPr fontId="2"/>
  </si>
  <si>
    <t>有（ＳＵＳ製ボックス蓋付） １５０Ｘ１５０Ｘ２００ （左右取付）</t>
    <rPh sb="27" eb="29">
      <t>サユウ</t>
    </rPh>
    <rPh sb="29" eb="31">
      <t>トリツケ</t>
    </rPh>
    <phoneticPr fontId="2"/>
  </si>
  <si>
    <t xml:space="preserve">【都庁傭上仕様】有(ｽﾓｰﾙﾗﾝﾌﾟ点灯以上で左折時減音無し,後退時消音無し) </t>
    <rPh sb="28" eb="29">
      <t>ナ</t>
    </rPh>
    <phoneticPr fontId="2"/>
  </si>
  <si>
    <t xml:space="preserve">【都庁傭上仕様】有(ｽﾓｰﾙﾗﾝﾌﾟ点灯以上で左折時減音無し,後退時消音無し)+ON/OFFｽｲｯﾁ取付 </t>
    <rPh sb="28" eb="29">
      <t>ナ</t>
    </rPh>
    <rPh sb="36" eb="37">
      <t>ナ</t>
    </rPh>
    <phoneticPr fontId="2"/>
  </si>
  <si>
    <t>PA54H</t>
  </si>
  <si>
    <t>ﾆｯｻﾝ</t>
  </si>
  <si>
    <t>TKG-XZU600A-TYMMB5</t>
  </si>
  <si>
    <t>TKG-XZU600X-TYMMB5</t>
  </si>
  <si>
    <t>TKG-XZU600H-TKMQB3</t>
  </si>
  <si>
    <t>TKG-XZU600H-TKMQC3</t>
  </si>
  <si>
    <t>TKG-XZU600E-TKMQB3</t>
  </si>
  <si>
    <t>TKG-XZU600E-TKMQC3</t>
  </si>
  <si>
    <t>PA54H-T1</t>
  </si>
  <si>
    <t>PA55H</t>
  </si>
  <si>
    <t>TKG-XZU640-TKMQC3</t>
  </si>
  <si>
    <t>TKG-XZU640M-TKMQC3</t>
  </si>
  <si>
    <t>TKG-LKR85YN-FN5APY-M</t>
  </si>
  <si>
    <t>TKG-LKR85YN-FN5APY-D</t>
  </si>
  <si>
    <t>PA56H</t>
  </si>
  <si>
    <t>PA57H-2</t>
  </si>
  <si>
    <t>PB681E</t>
  </si>
  <si>
    <t>PB685E</t>
  </si>
  <si>
    <t>PB6100E</t>
  </si>
  <si>
    <t>TFG-NKR82ZAN-EE5APY-M</t>
  </si>
  <si>
    <t>TFG-NKR82ZAN-EE5APY-D</t>
  </si>
  <si>
    <t>TFG-LKR82ZAN-EE5APY-M</t>
  </si>
  <si>
    <t>TFG-LKR82ZAN-EE5APY-D</t>
  </si>
  <si>
    <t>TFG-NMR82ZAN-EE5APY-M</t>
  </si>
  <si>
    <t>TFG-NMR82ZAN-EE5APY-D</t>
  </si>
  <si>
    <t>TFG-LMR82ZAN-EE5APY-M</t>
  </si>
  <si>
    <t>TFG-LMR82ZAN-EE5APY-D</t>
  </si>
  <si>
    <t>NBG-BZU600X-TYMMP5</t>
  </si>
  <si>
    <t>NBG-BZU600A-TYMMP5</t>
  </si>
  <si>
    <t>TSG-NKR85KAN-EE5APY-HD</t>
  </si>
  <si>
    <t>TSG-NMR85KAN-EE5APY-HD</t>
  </si>
  <si>
    <t>TSG-NMR85N-FJ5APY-HD</t>
  </si>
  <si>
    <t>TSG-XKU600X-TYUMC5</t>
  </si>
  <si>
    <t>TSG-XKU600A-TYUMC5</t>
  </si>
  <si>
    <t>TFG-NMR82ZN-FJ5APY-M</t>
  </si>
  <si>
    <t>TFG-NMR82ZN-FJ5APY-D</t>
  </si>
  <si>
    <t>TFG-LMR82ZN-FJ5APY-M</t>
  </si>
  <si>
    <t>TFG-LMR82ZN-FJ5APY-D</t>
  </si>
  <si>
    <t>Ｔ／Ｇ右後ろ 【全長6mを超える場合は投入口左右下部に取付】</t>
    <rPh sb="8" eb="10">
      <t>ゼンチョウ</t>
    </rPh>
    <rPh sb="13" eb="14">
      <t>コ</t>
    </rPh>
    <rPh sb="16" eb="18">
      <t>バアイ</t>
    </rPh>
    <rPh sb="19" eb="21">
      <t>トウニュウ</t>
    </rPh>
    <rPh sb="21" eb="22">
      <t>クチ</t>
    </rPh>
    <rPh sb="22" eb="24">
      <t>サユウ</t>
    </rPh>
    <rPh sb="24" eb="26">
      <t>カブ</t>
    </rPh>
    <rPh sb="27" eb="29">
      <t>トリツケ</t>
    </rPh>
    <phoneticPr fontId="2"/>
  </si>
  <si>
    <t>無し</t>
    <phoneticPr fontId="2"/>
  </si>
  <si>
    <t>PA7</t>
    <phoneticPr fontId="2"/>
  </si>
  <si>
    <t>PA742E-T</t>
    <phoneticPr fontId="2"/>
  </si>
  <si>
    <t>PA7</t>
    <phoneticPr fontId="2"/>
  </si>
  <si>
    <t>PA742E-T</t>
    <phoneticPr fontId="2"/>
  </si>
  <si>
    <t>有 （汚水タンク本体・側板鉄製）</t>
    <rPh sb="3" eb="5">
      <t>オスイ</t>
    </rPh>
    <rPh sb="8" eb="10">
      <t>ホンタイ</t>
    </rPh>
    <rPh sb="11" eb="13">
      <t>ソクバン</t>
    </rPh>
    <rPh sb="13" eb="15">
      <t>テツセイ</t>
    </rPh>
    <phoneticPr fontId="2"/>
  </si>
  <si>
    <t xml:space="preserve">有 （汚水タンク本体のみＳＵＳ製） </t>
    <rPh sb="0" eb="1">
      <t>ア</t>
    </rPh>
    <phoneticPr fontId="2"/>
  </si>
  <si>
    <t xml:space="preserve">有 （汚水タンク本体・側板下部ＳＵＳ製） </t>
    <rPh sb="0" eb="1">
      <t>ア</t>
    </rPh>
    <phoneticPr fontId="2"/>
  </si>
  <si>
    <t>無し　（汚水タンク本体無し）</t>
    <rPh sb="0" eb="1">
      <t>ナ</t>
    </rPh>
    <rPh sb="4" eb="6">
      <t>オスイ</t>
    </rPh>
    <rPh sb="9" eb="11">
      <t>ホンタイ</t>
    </rPh>
    <rPh sb="11" eb="12">
      <t>ナ</t>
    </rPh>
    <phoneticPr fontId="2"/>
  </si>
  <si>
    <r>
      <t>ＳＳ製１枚扉（２本アーム式） 　</t>
    </r>
    <r>
      <rPr>
        <sz val="9"/>
        <color rgb="FFFF0000"/>
        <rFont val="ＭＳ Ｐゴシック"/>
        <family val="3"/>
        <charset val="128"/>
      </rPr>
      <t>※PA7型で折畳みガイドテーブル無しの場合は、下部にゴム板取付</t>
    </r>
    <rPh sb="20" eb="21">
      <t>ガタ</t>
    </rPh>
    <rPh sb="22" eb="24">
      <t>オリタタ</t>
    </rPh>
    <rPh sb="32" eb="33">
      <t>ナ</t>
    </rPh>
    <rPh sb="35" eb="37">
      <t>バアイ</t>
    </rPh>
    <rPh sb="39" eb="41">
      <t>カブ</t>
    </rPh>
    <rPh sb="44" eb="45">
      <t>イタ</t>
    </rPh>
    <rPh sb="45" eb="47">
      <t>トリツケ</t>
    </rPh>
    <phoneticPr fontId="2"/>
  </si>
  <si>
    <r>
      <t>ＳＵＳ製１枚扉（２本アーム式）  　</t>
    </r>
    <r>
      <rPr>
        <sz val="9"/>
        <color rgb="FFFF0000"/>
        <rFont val="ＭＳ Ｐゴシック"/>
        <family val="3"/>
        <charset val="128"/>
      </rPr>
      <t>※PA7型で折畳みガイドテーブル無しの場合は、下部にゴム板取付</t>
    </r>
    <phoneticPr fontId="2"/>
  </si>
  <si>
    <t>有</t>
    <phoneticPr fontId="2"/>
  </si>
  <si>
    <r>
      <t>レバー式　</t>
    </r>
    <r>
      <rPr>
        <sz val="9"/>
        <color rgb="FF0000FF"/>
        <rFont val="ＭＳ Ｐゴシック"/>
        <family val="3"/>
        <charset val="128"/>
      </rPr>
      <t>【PA7系のみ選択可】</t>
    </r>
    <rPh sb="3" eb="4">
      <t>シキ</t>
    </rPh>
    <rPh sb="9" eb="10">
      <t>ケイ</t>
    </rPh>
    <rPh sb="12" eb="14">
      <t>センタク</t>
    </rPh>
    <rPh sb="14" eb="15">
      <t>カ</t>
    </rPh>
    <phoneticPr fontId="2"/>
  </si>
  <si>
    <t>後部扉に直付け 　※大型車及び三菱小型車はシャシ純正BKT取付が標準　【PA7系は選択不可】</t>
    <rPh sb="10" eb="12">
      <t>オオガタ</t>
    </rPh>
    <rPh sb="12" eb="13">
      <t>シャ</t>
    </rPh>
    <rPh sb="13" eb="14">
      <t>オヨ</t>
    </rPh>
    <rPh sb="15" eb="17">
      <t>ミツビシ</t>
    </rPh>
    <rPh sb="17" eb="19">
      <t>コガタ</t>
    </rPh>
    <rPh sb="19" eb="20">
      <t>シャ</t>
    </rPh>
    <rPh sb="24" eb="26">
      <t>ジュンセイ</t>
    </rPh>
    <rPh sb="29" eb="31">
      <t>トリツケ</t>
    </rPh>
    <rPh sb="32" eb="34">
      <t>ヒョウジュン</t>
    </rPh>
    <rPh sb="39" eb="40">
      <t>ケイ</t>
    </rPh>
    <rPh sb="41" eb="43">
      <t>センタク</t>
    </rPh>
    <rPh sb="43" eb="45">
      <t>フカ</t>
    </rPh>
    <phoneticPr fontId="2"/>
  </si>
  <si>
    <t>有（市光工業製ＩＳ－２００型） リヤパネルに取付</t>
    <phoneticPr fontId="2"/>
  </si>
  <si>
    <t xml:space="preserve">別紙（補助仕様書）参照 </t>
    <phoneticPr fontId="2"/>
  </si>
  <si>
    <t>7-24．注意喚起システム</t>
    <rPh sb="5" eb="7">
      <t>チュウイ</t>
    </rPh>
    <rPh sb="7" eb="9">
      <t>カンキ</t>
    </rPh>
    <phoneticPr fontId="2"/>
  </si>
  <si>
    <t>音声＋青色ＬＥＤ、ＯＮ／ＯＦＦスイッチ付</t>
    <rPh sb="0" eb="2">
      <t>オンセイ</t>
    </rPh>
    <rPh sb="3" eb="5">
      <t>アオイロ</t>
    </rPh>
    <rPh sb="19" eb="20">
      <t>ツキ</t>
    </rPh>
    <phoneticPr fontId="2"/>
  </si>
  <si>
    <t>有 ＭＳ３５０型（３５０Ｘ２５２Ｘ２７２）【ＣＮＧ車、ハイブリッド車は取付不可】</t>
    <rPh sb="7" eb="8">
      <t>ガタ</t>
    </rPh>
    <rPh sb="35" eb="37">
      <t>トリツケ</t>
    </rPh>
    <rPh sb="37" eb="39">
      <t>フカ</t>
    </rPh>
    <phoneticPr fontId="2"/>
  </si>
  <si>
    <t>有 ＳＭＳ３５０型（３５０Ｘ２５２Ｘ２７２）、ＳＵＳ製【ＣＮＧ車、ハイブリッド車は取付不可】</t>
    <rPh sb="8" eb="9">
      <t>ガタ</t>
    </rPh>
    <rPh sb="26" eb="27">
      <t>セイ</t>
    </rPh>
    <phoneticPr fontId="2"/>
  </si>
  <si>
    <t>有 （ＤＨ型、３７０Ｘ１７５Ｘ２７０）</t>
    <rPh sb="5" eb="6">
      <t>ガタ</t>
    </rPh>
    <phoneticPr fontId="6"/>
  </si>
  <si>
    <t>有 （ＤＨ型、３７０Ｘ１７５Ｘ２７０）、ＳＵＳ製</t>
    <rPh sb="23" eb="24">
      <t>セイ</t>
    </rPh>
    <phoneticPr fontId="6"/>
  </si>
  <si>
    <t>有 ＤＨ型類似品（３７０Ｘ１３０Ｘ２７０）</t>
  </si>
  <si>
    <t>有 ＤＨ型類似品（３７０Ｘ１３０Ｘ２７０）、ＳＵＳ製</t>
  </si>
  <si>
    <t>有 ﾌﾚｰﾑｻｲﾄﾞに最大限（ＳＳ、鋼板製） 車型及び架装型式により道具箱の大きさは異なります</t>
  </si>
  <si>
    <t>有 ﾌﾚｰﾑｻｲﾄﾞに最大限（ＳＵＳ、鋼板製） 車型及び架装型式により道具箱の大きさは異なります</t>
  </si>
  <si>
    <t>有 ﾌﾚｰﾑｻｲﾄﾞに最大限（ＳＳ、ﾊﾟﾝﾁﾝｸﾞ製） 車型及び架装型式により道具箱の大きさは異なります</t>
  </si>
  <si>
    <t>有 ﾌﾚｰﾑｻｲﾄﾞに最大限（ＳＵＳ、ﾊﾟﾝﾁﾝｸﾞ製） 車型及び架装型式により道具箱の大きさは異なります</t>
  </si>
  <si>
    <t>有 ﾌﾚｰﾑｻｲﾄﾞに最大限（ＳＳ、ｴｷｽﾊﾟﾝﾄﾞ製） 車型及び架装型式により道具箱の大きさは異なります</t>
  </si>
  <si>
    <t>有 ﾌﾚｰﾑｻｲﾄﾞに最大限（ＳＵＳ、ｴｷｽﾊﾟﾝﾄﾞ製） 車型及び架装型式により道具箱の大きさは異なります</t>
  </si>
  <si>
    <t>【都庁仕様】SUS製薄型（500X125X300）(ﾎﾞﾃﾞｰ左側下に取付) いすゞ2tCNG車のみ適用</t>
    <rPh sb="1" eb="3">
      <t>トチョウ</t>
    </rPh>
    <phoneticPr fontId="2"/>
  </si>
  <si>
    <t>【都庁仕様】SUS製薄型（400X125X300）(ﾎﾞﾃﾞｰ左側下に取付) 日野2tHV車のみ適用</t>
    <rPh sb="1" eb="3">
      <t>トチョウ</t>
    </rPh>
    <phoneticPr fontId="2"/>
  </si>
  <si>
    <t>【PA54H-T1仕様】SUS製大型 日野2tディーゼル車、2tLPG車にのみ適用</t>
  </si>
  <si>
    <t>ＯＰ</t>
    <phoneticPr fontId="2"/>
  </si>
  <si>
    <t>ＯＰ</t>
    <phoneticPr fontId="2"/>
  </si>
  <si>
    <t>ＯＰ</t>
  </si>
  <si>
    <t>ダブル型 左側取付</t>
    <phoneticPr fontId="2"/>
  </si>
  <si>
    <t/>
  </si>
  <si>
    <t>PA743E</t>
  </si>
  <si>
    <t>生産設計課</t>
    <rPh sb="0" eb="2">
      <t>セイサン</t>
    </rPh>
    <rPh sb="2" eb="5">
      <t>セッケイカ</t>
    </rPh>
    <phoneticPr fontId="2"/>
  </si>
  <si>
    <t>無し</t>
    <phoneticPr fontId="2"/>
  </si>
  <si>
    <t>有 　ＰＡ５４Ｈ、ＰＡ７４Ｅのみ選択可</t>
    <phoneticPr fontId="2"/>
  </si>
  <si>
    <t xml:space="preserve">高張力鋼板t６．０ </t>
    <phoneticPr fontId="2"/>
  </si>
  <si>
    <t>高張力鋼板ｔ８．０</t>
    <phoneticPr fontId="2"/>
  </si>
  <si>
    <t xml:space="preserve">同材ｔ３．２ </t>
    <phoneticPr fontId="2"/>
  </si>
  <si>
    <t>上側左右のみ有り</t>
    <rPh sb="0" eb="1">
      <t>ウエ</t>
    </rPh>
    <rPh sb="1" eb="2">
      <t>ガワ</t>
    </rPh>
    <rPh sb="2" eb="4">
      <t>サユウ</t>
    </rPh>
    <rPh sb="6" eb="7">
      <t>ア</t>
    </rPh>
    <phoneticPr fontId="2"/>
  </si>
  <si>
    <t>5-13．連続積込スイッチ</t>
    <rPh sb="5" eb="7">
      <t>レンゾク</t>
    </rPh>
    <rPh sb="7" eb="9">
      <t>ツミコミ</t>
    </rPh>
    <phoneticPr fontId="2"/>
  </si>
  <si>
    <t>テールゲートサイド上部（丸型電球式）　【ハイマウントリアパネル無し】</t>
    <rPh sb="12" eb="14">
      <t>マルガタ</t>
    </rPh>
    <rPh sb="14" eb="16">
      <t>デンキュウ</t>
    </rPh>
    <rPh sb="16" eb="17">
      <t>シキ</t>
    </rPh>
    <rPh sb="31" eb="32">
      <t>ナ</t>
    </rPh>
    <phoneticPr fontId="2"/>
  </si>
  <si>
    <t>ハイマウントリアパネルに取付</t>
    <rPh sb="12" eb="14">
      <t>トリツケ</t>
    </rPh>
    <phoneticPr fontId="2"/>
  </si>
  <si>
    <t>後部扉に直付け 　【PA7系 リアパネル無しのみ選択可】</t>
    <rPh sb="13" eb="14">
      <t>ケイ</t>
    </rPh>
    <rPh sb="20" eb="21">
      <t>ナ</t>
    </rPh>
    <rPh sb="24" eb="26">
      <t>センタク</t>
    </rPh>
    <rPh sb="26" eb="27">
      <t>カ</t>
    </rPh>
    <phoneticPr fontId="2"/>
  </si>
  <si>
    <t>投入口角パイプ下右側　【全長6mを超える場合は投入口左右下部に取付】</t>
    <rPh sb="3" eb="4">
      <t>カク</t>
    </rPh>
    <rPh sb="7" eb="8">
      <t>シタ</t>
    </rPh>
    <rPh sb="9" eb="10">
      <t>ガワ</t>
    </rPh>
    <phoneticPr fontId="2"/>
  </si>
  <si>
    <t>投入口角パイプ下左右</t>
    <rPh sb="3" eb="4">
      <t>カク</t>
    </rPh>
    <rPh sb="7" eb="8">
      <t>シタ</t>
    </rPh>
    <rPh sb="8" eb="10">
      <t>サユウ</t>
    </rPh>
    <phoneticPr fontId="2"/>
  </si>
  <si>
    <t>有（ハイマウントリアパネルに取付）　【PA7系のみ選択可】</t>
    <rPh sb="0" eb="1">
      <t>アリ</t>
    </rPh>
    <rPh sb="14" eb="16">
      <t>トリツケ</t>
    </rPh>
    <rPh sb="22" eb="23">
      <t>ケイ</t>
    </rPh>
    <rPh sb="25" eb="27">
      <t>センタク</t>
    </rPh>
    <rPh sb="27" eb="28">
      <t>カ</t>
    </rPh>
    <phoneticPr fontId="2"/>
  </si>
  <si>
    <t xml:space="preserve">ボデー前（バルブカバー内） </t>
    <phoneticPr fontId="2"/>
  </si>
  <si>
    <t>音声のみ、ＯＮ／ＯＦＦスイッチ付　（積込動作、ＴＧ上昇・降下）　【全機種対応】</t>
    <rPh sb="0" eb="2">
      <t>オンセイ</t>
    </rPh>
    <rPh sb="15" eb="16">
      <t>ツキ</t>
    </rPh>
    <rPh sb="18" eb="20">
      <t>ツミコミ</t>
    </rPh>
    <rPh sb="20" eb="22">
      <t>ドウサ</t>
    </rPh>
    <rPh sb="25" eb="27">
      <t>ジョウショウ</t>
    </rPh>
    <rPh sb="28" eb="30">
      <t>コウカ</t>
    </rPh>
    <rPh sb="33" eb="36">
      <t>ゼンキシュ</t>
    </rPh>
    <rPh sb="36" eb="38">
      <t>タイオウ</t>
    </rPh>
    <phoneticPr fontId="2"/>
  </si>
  <si>
    <t>テールゲートサイド上部（丸型電球式）＋ボデーパーツ製ランプ２連灯 【リアパネル無し】</t>
    <rPh sb="12" eb="14">
      <t>マルガタ</t>
    </rPh>
    <rPh sb="14" eb="16">
      <t>デンキュウ</t>
    </rPh>
    <rPh sb="16" eb="17">
      <t>シキ</t>
    </rPh>
    <rPh sb="39" eb="40">
      <t>ナ</t>
    </rPh>
    <phoneticPr fontId="2"/>
  </si>
  <si>
    <t>シャシ純正ＢＫＴ 大型車及び三菱小型車はシャシ純正ＢＫＴ取付が標準　※リアパネル無しのみ選択可</t>
    <rPh sb="40" eb="41">
      <t>ナ</t>
    </rPh>
    <rPh sb="44" eb="46">
      <t>センタク</t>
    </rPh>
    <rPh sb="46" eb="47">
      <t>カ</t>
    </rPh>
    <phoneticPr fontId="2"/>
  </si>
  <si>
    <t>有 ＰＴＯ「ＯＮ」のままギアを入れるとブザー鳴動</t>
    <phoneticPr fontId="2"/>
  </si>
  <si>
    <t>《スペアタイヤの配送先》</t>
    <rPh sb="8" eb="10">
      <t>ハイソウ</t>
    </rPh>
    <rPh sb="10" eb="11">
      <t>サキ</t>
    </rPh>
    <phoneticPr fontId="2"/>
  </si>
  <si>
    <t>ＶＢＡ４３３Ｈ－Ｃ</t>
    <phoneticPr fontId="2"/>
  </si>
  <si>
    <t>配送方法</t>
    <rPh sb="0" eb="2">
      <t>ハイソウ</t>
    </rPh>
    <rPh sb="2" eb="4">
      <t>ホウホウ</t>
    </rPh>
    <phoneticPr fontId="2"/>
  </si>
  <si>
    <t>積載：</t>
    <rPh sb="0" eb="2">
      <t>セキサイ</t>
    </rPh>
    <phoneticPr fontId="2"/>
  </si>
  <si>
    <t>ＶＢＡ４３３Ｈ－Ｗ</t>
    <phoneticPr fontId="2"/>
  </si>
  <si>
    <t>配送：</t>
    <rPh sb="0" eb="2">
      <t>ハイソウ</t>
    </rPh>
    <phoneticPr fontId="2"/>
  </si>
  <si>
    <t>ＶＢ４３４Ｈ</t>
    <phoneticPr fontId="2"/>
  </si>
  <si>
    <t>不要：</t>
    <rPh sb="0" eb="2">
      <t>フヨウ</t>
    </rPh>
    <phoneticPr fontId="2"/>
  </si>
  <si>
    <t>ＶＢ４３４Ｈ－Ｃ</t>
    <phoneticPr fontId="2"/>
  </si>
  <si>
    <t>宛先名</t>
    <rPh sb="0" eb="1">
      <t>アテ</t>
    </rPh>
    <rPh sb="1" eb="2">
      <t>サキ</t>
    </rPh>
    <rPh sb="2" eb="3">
      <t>メイ</t>
    </rPh>
    <phoneticPr fontId="2"/>
  </si>
  <si>
    <t>担当者名</t>
    <rPh sb="0" eb="2">
      <t>タントウ</t>
    </rPh>
    <rPh sb="2" eb="3">
      <t>シャ</t>
    </rPh>
    <rPh sb="3" eb="4">
      <t>メイ</t>
    </rPh>
    <phoneticPr fontId="2"/>
  </si>
  <si>
    <t>ＶＢ４３４Ｈ－Ｗ</t>
    <phoneticPr fontId="2"/>
  </si>
  <si>
    <t>住所</t>
    <rPh sb="0" eb="2">
      <t>ジュウショ</t>
    </rPh>
    <phoneticPr fontId="2"/>
  </si>
  <si>
    <t>電話番号</t>
    <rPh sb="0" eb="2">
      <t>デンワ</t>
    </rPh>
    <rPh sb="2" eb="4">
      <t>バンゴウ</t>
    </rPh>
    <phoneticPr fontId="2"/>
  </si>
  <si>
    <t>－</t>
    <phoneticPr fontId="2"/>
  </si>
  <si>
    <t>ＶＢＲ４３４Ｈ</t>
    <phoneticPr fontId="2"/>
  </si>
  <si>
    <t>支店・営業所</t>
    <rPh sb="0" eb="2">
      <t>シテン</t>
    </rPh>
    <rPh sb="3" eb="6">
      <t>エイギョウショ</t>
    </rPh>
    <phoneticPr fontId="2"/>
  </si>
  <si>
    <r>
      <t>仕様１ 有（市光工業製　６．１型ルームミラー式ｶﾗｰﾓﾆﾀｰ／</t>
    </r>
    <r>
      <rPr>
        <sz val="9"/>
        <color rgb="FF0000FF"/>
        <rFont val="ＭＳ Ｐゴシック"/>
        <family val="3"/>
        <charset val="128"/>
      </rPr>
      <t>小型カメラ</t>
    </r>
    <r>
      <rPr>
        <sz val="9"/>
        <rFont val="ＭＳ Ｐゴシック"/>
        <family val="3"/>
        <charset val="128"/>
      </rPr>
      <t>)</t>
    </r>
    <phoneticPr fontId="2"/>
  </si>
  <si>
    <t>仕様２　有（市光工業製　６．１型ルームミラー式ｶﾗｰﾓﾆﾀｰ／ｶﾒﾗｼｬｯﾀｰ無し)</t>
    <phoneticPr fontId="2"/>
  </si>
  <si>
    <t>仕様３　有（市光工業製　６．１型ルームミラー式ｶﾗｰﾓﾆﾀｰ／ｶﾒﾗｼｬｯﾀｰ有)</t>
    <phoneticPr fontId="2"/>
  </si>
  <si>
    <r>
      <t>仕様４　有（市光工業製　７型ルームミラー式ｶﾗｰﾓﾆﾀｰ／</t>
    </r>
    <r>
      <rPr>
        <sz val="9"/>
        <color rgb="FF0000FF"/>
        <rFont val="ＭＳ Ｐゴシック"/>
        <family val="3"/>
        <charset val="128"/>
      </rPr>
      <t>小型カメラ</t>
    </r>
    <r>
      <rPr>
        <sz val="9"/>
        <rFont val="ＭＳ Ｐゴシック"/>
        <family val="3"/>
        <charset val="128"/>
      </rPr>
      <t>)</t>
    </r>
    <phoneticPr fontId="2"/>
  </si>
  <si>
    <t>仕様５　有（市光工業製　７型ルームミラー式ｶﾗｰﾓﾆﾀｰ／ｶﾒﾗｼｬｯﾀｰ無し)</t>
    <phoneticPr fontId="2"/>
  </si>
  <si>
    <t>仕様６　有（市光工業製　７型ルームミラー式ｶﾗｰﾓﾆﾀｰ／ｶﾒﾗｼｬｯﾀｰ有)</t>
  </si>
  <si>
    <t>仕様６　有（市光工業製　７型ルームミラー式ｶﾗｰﾓﾆﾀｰ／ｶﾒﾗｼｬｯﾀｰ有)</t>
    <phoneticPr fontId="2"/>
  </si>
  <si>
    <r>
      <t>仕様７　有（市光工業製　７型ドライブレコーダー付ｶﾗｰﾓﾆﾀｰ/</t>
    </r>
    <r>
      <rPr>
        <sz val="9"/>
        <color rgb="FF0000FF"/>
        <rFont val="ＭＳ Ｐゴシック"/>
        <family val="3"/>
        <charset val="128"/>
      </rPr>
      <t>小型ｶﾒﾗ</t>
    </r>
    <r>
      <rPr>
        <sz val="9"/>
        <rFont val="ＭＳ Ｐゴシック"/>
        <family val="3"/>
        <charset val="128"/>
      </rPr>
      <t>/ﾋﾞｭｰﾜｰ付USBﾒﾓﾘｰ有)</t>
    </r>
    <rPh sb="52" eb="53">
      <t>アリ</t>
    </rPh>
    <phoneticPr fontId="2"/>
  </si>
  <si>
    <t>仕様８　有（市光工業製　７型ドライブレコーダー付ｶﾗｰﾓﾆﾀｰ/ｶﾒﾗｼｬｯﾀｰ無/ﾋﾞｭｰﾜｰ付USBﾒﾓﾘｰ有)</t>
  </si>
  <si>
    <t>仕様８　有（市光工業製　７型ドライブレコーダー付ｶﾗｰﾓﾆﾀｰ/ｶﾒﾗｼｬｯﾀｰ無/ﾋﾞｭｰﾜｰ付USBﾒﾓﾘｰ有)</t>
    <phoneticPr fontId="2"/>
  </si>
  <si>
    <t>仕様９　有（市光工業製　７型ドライブレコーダー付ｶﾗｰﾓﾆﾀｰ/ｶﾒﾗｼｬｯﾀｰ有/ﾋﾞｭｰﾜｰ付USBﾒﾓﾘｰ有)</t>
  </si>
  <si>
    <t>仕様９　有（市光工業製　７型ドライブレコーダー付ｶﾗｰﾓﾆﾀｰ/ｶﾒﾗｼｬｯﾀｰ有/ﾋﾞｭｰﾜｰ付USBﾒﾓﾘｰ有)</t>
    <phoneticPr fontId="2"/>
  </si>
  <si>
    <r>
      <t>仕様１０　有（市光工業製　７型ドライブレコーダー付ｶﾗｰﾓﾆﾀｰ/</t>
    </r>
    <r>
      <rPr>
        <sz val="9"/>
        <color rgb="FF0000FF"/>
        <rFont val="ＭＳ Ｐゴシック"/>
        <family val="3"/>
        <charset val="128"/>
      </rPr>
      <t>小型ｶﾒﾗ</t>
    </r>
    <r>
      <rPr>
        <sz val="9"/>
        <rFont val="ＭＳ Ｐゴシック"/>
        <family val="3"/>
        <charset val="128"/>
      </rPr>
      <t>/ﾋﾞｭｰﾜｰ付USBﾒﾓﾘｰ無し)</t>
    </r>
    <rPh sb="53" eb="54">
      <t>ナ</t>
    </rPh>
    <phoneticPr fontId="2"/>
  </si>
  <si>
    <t>仕様１１　有（市光工業製　７型ドライブレコーダー付ｶﾗｰﾓﾆﾀｰ/ｶﾒﾗｼｬｯﾀｰ無/ﾋﾞｭｰﾜｰ付USBﾒﾓﾘｰ無し)</t>
  </si>
  <si>
    <t>仕様１１　有（市光工業製　７型ドライブレコーダー付ｶﾗｰﾓﾆﾀｰ/ｶﾒﾗｼｬｯﾀｰ無/ﾋﾞｭｰﾜｰ付USBﾒﾓﾘｰ無し)</t>
    <phoneticPr fontId="2"/>
  </si>
  <si>
    <t>仕様１２　有（市光工業製　７型ドライブレコーダー付ｶﾗｰﾓﾆﾀｰ/ｶﾒﾗｼｬｯﾀｰ有/ﾋﾞｭｰﾜｰ付USBﾒﾓﾘｰ無し)</t>
  </si>
  <si>
    <t>仕様１２　有（市光工業製　７型ドライブレコーダー付ｶﾗｰﾓﾆﾀｰ/ｶﾒﾗｼｬｯﾀｰ有/ﾋﾞｭｰﾜｰ付USBﾒﾓﾘｰ無し)</t>
    <phoneticPr fontId="2"/>
  </si>
  <si>
    <t>仕様１３　有（ヴューテック製　７型ルームミラー式ｶﾗｰﾓﾆﾀｰ／ｶﾒﾗｼｬｯﾀｰ無し)</t>
  </si>
  <si>
    <t>仕様１３　有（ヴューテック製　７型ルームミラー式ｶﾗｰﾓﾆﾀｰ／ｶﾒﾗｼｬｯﾀｰ無し)</t>
    <phoneticPr fontId="2"/>
  </si>
  <si>
    <t>仕様１４　有（ヴューテック製　７型ルームミラー式ｶﾗｰﾓﾆﾀｰ／ｶﾒﾗｼｬｯﾀｰ有)</t>
  </si>
  <si>
    <t>仕様１４　有（ヴューテック製　７型ルームミラー式ｶﾗｰﾓﾆﾀｰ／ｶﾒﾗｼｬｯﾀｰ有)</t>
    <phoneticPr fontId="2"/>
  </si>
  <si>
    <r>
      <t>仕様１５　有（クラリオン製　</t>
    </r>
    <r>
      <rPr>
        <sz val="9"/>
        <color rgb="FF0000FF"/>
        <rFont val="ＭＳ Ｐゴシック"/>
        <family val="3"/>
        <charset val="128"/>
      </rPr>
      <t>５．６型</t>
    </r>
    <r>
      <rPr>
        <sz val="9"/>
        <rFont val="ＭＳ Ｐゴシック"/>
        <family val="3"/>
        <charset val="128"/>
      </rPr>
      <t>ルームミラー式ｶﾗｰﾓﾆﾀｰ／ｶﾒﾗｼｬｯﾀｰ無し)</t>
    </r>
    <phoneticPr fontId="2"/>
  </si>
  <si>
    <r>
      <t>仕様１６　有（クラリオン製　</t>
    </r>
    <r>
      <rPr>
        <sz val="9"/>
        <color rgb="FF0000FF"/>
        <rFont val="ＭＳ Ｐゴシック"/>
        <family val="3"/>
        <charset val="128"/>
      </rPr>
      <t>５．６型</t>
    </r>
    <r>
      <rPr>
        <sz val="9"/>
        <rFont val="ＭＳ Ｐゴシック"/>
        <family val="3"/>
        <charset val="128"/>
      </rPr>
      <t>ルームミラー式ｶﾗｰﾓﾆﾀｰ／ｶﾒﾗｼｬｯﾀｰ有)</t>
    </r>
    <phoneticPr fontId="2"/>
  </si>
  <si>
    <t>仕様１７　有（クラリオン製　７型ルームミラー式ｶﾗｰﾓﾆﾀｰ／ｶﾒﾗｼｬｯﾀｰ無し)</t>
  </si>
  <si>
    <t>仕様１７　有（クラリオン製　７型ルームミラー式ｶﾗｰﾓﾆﾀｰ／ｶﾒﾗｼｬｯﾀｰ無し)</t>
    <phoneticPr fontId="2"/>
  </si>
  <si>
    <t>仕様１８　有（クラリオン製　７型ルームミラー式ｶﾗｰﾓﾆﾀｰ／ｶﾒﾗｼｬｯﾀｰ有)</t>
  </si>
  <si>
    <t>仕様１８　有（クラリオン製　７型ルームミラー式ｶﾗｰﾓﾆﾀｰ／ｶﾒﾗｼｬｯﾀｰ有)</t>
    <phoneticPr fontId="2"/>
  </si>
  <si>
    <r>
      <t>仕様１９　有（クラリオン製　</t>
    </r>
    <r>
      <rPr>
        <sz val="9"/>
        <color rgb="FF0000FF"/>
        <rFont val="ＭＳ Ｐゴシック"/>
        <family val="3"/>
        <charset val="128"/>
      </rPr>
      <t>５．６型</t>
    </r>
    <r>
      <rPr>
        <sz val="9"/>
        <rFont val="ＭＳ Ｐゴシック"/>
        <family val="3"/>
        <charset val="128"/>
      </rPr>
      <t>ルームミラー式ｶﾗｰﾓﾆﾀｰ／小型カメラ)</t>
    </r>
    <rPh sb="33" eb="35">
      <t>コガタ</t>
    </rPh>
    <phoneticPr fontId="2"/>
  </si>
  <si>
    <r>
      <t>仕様２０　有（クラリオン製　７型ルームミラー式ｶﾗｰﾓﾆﾀｰ／</t>
    </r>
    <r>
      <rPr>
        <sz val="9"/>
        <color rgb="FF0000FF"/>
        <rFont val="ＭＳ Ｐゴシック"/>
        <family val="3"/>
        <charset val="128"/>
      </rPr>
      <t>小型カメラ</t>
    </r>
    <r>
      <rPr>
        <sz val="9"/>
        <rFont val="ＭＳ Ｐゴシック"/>
        <family val="3"/>
        <charset val="128"/>
      </rPr>
      <t>)</t>
    </r>
    <rPh sb="31" eb="33">
      <t>コガタ</t>
    </rPh>
    <phoneticPr fontId="2"/>
  </si>
  <si>
    <t>仕様１０　有（市光工業製　７型ドライブレコーダー付ｶﾗｰﾓﾆﾀｰ/小型ｶﾒﾗ/ﾋﾞｭｰﾜｰ付USBﾒﾓﾘｰ無し)</t>
    <rPh sb="53" eb="54">
      <t>ナ</t>
    </rPh>
    <phoneticPr fontId="2"/>
  </si>
  <si>
    <t>仕様１５　有（クラリオン製　５．６型ルームミラー式ｶﾗｰﾓﾆﾀｰ／ｶﾒﾗｼｬｯﾀｰ無し)</t>
  </si>
  <si>
    <t>仕様１９　有（クラリオン製　５．６型ルームミラー式ｶﾗｰﾓﾆﾀｰ／小型カメラ)</t>
    <rPh sb="33" eb="35">
      <t>コガタ</t>
    </rPh>
    <phoneticPr fontId="2"/>
  </si>
  <si>
    <t>仕様２０　有（クラリオン製　７型ルームミラー式ｶﾗｰﾓﾆﾀｰ／小型カメラ)</t>
    <rPh sb="31" eb="33">
      <t>コガタ</t>
    </rPh>
    <phoneticPr fontId="2"/>
  </si>
  <si>
    <t>仕様７　有（市光工業製　７型ドライブレコーダー付ｶﾗｰﾓﾆﾀｰ/小型ｶﾒﾗ/ﾋﾞｭｰﾜｰ付USBﾒﾓﾘｰ有)</t>
    <rPh sb="52" eb="53">
      <t>アリ</t>
    </rPh>
    <phoneticPr fontId="2"/>
  </si>
  <si>
    <t>仕様１６　有（クラリオン製　５．６型ルームミラー式ｶﾗｰﾓﾆﾀｰ／ｶﾒﾗｼｬｯﾀｰ有)</t>
  </si>
  <si>
    <r>
      <t>仕様１　有（市光工業製　６．１型ルームミラー式ｶﾗｰﾓﾆﾀｰ／</t>
    </r>
    <r>
      <rPr>
        <sz val="9"/>
        <color rgb="FF0000FF"/>
        <rFont val="ＭＳ Ｐゴシック"/>
        <family val="3"/>
        <charset val="128"/>
      </rPr>
      <t>小型カメラ</t>
    </r>
    <r>
      <rPr>
        <sz val="9"/>
        <rFont val="ＭＳ Ｐゴシック"/>
        <family val="3"/>
        <charset val="128"/>
      </rPr>
      <t>)</t>
    </r>
    <phoneticPr fontId="2"/>
  </si>
  <si>
    <r>
      <t>有　</t>
    </r>
    <r>
      <rPr>
        <sz val="9"/>
        <color rgb="FFFF0000"/>
        <rFont val="ＭＳ Ｐゴシック"/>
        <family val="3"/>
        <charset val="128"/>
      </rPr>
      <t>【お客様発行の依頼書が必要】</t>
    </r>
    <rPh sb="4" eb="6">
      <t>キャクサマ</t>
    </rPh>
    <rPh sb="6" eb="8">
      <t>ハッコウ</t>
    </rPh>
    <rPh sb="9" eb="12">
      <t>イライショ</t>
    </rPh>
    <rPh sb="13" eb="15">
      <t>ヒツヨウ</t>
    </rPh>
    <phoneticPr fontId="2"/>
  </si>
  <si>
    <t>無し 【三菱小型車は右後３つのみ標準でSS型取付。左右取付の場合は『有』を選択のこと】</t>
    <rPh sb="4" eb="6">
      <t>ミツビシ</t>
    </rPh>
    <rPh sb="6" eb="8">
      <t>コガタ</t>
    </rPh>
    <rPh sb="8" eb="9">
      <t>シャ</t>
    </rPh>
    <rPh sb="10" eb="11">
      <t>ミギ</t>
    </rPh>
    <rPh sb="11" eb="12">
      <t>ウシ</t>
    </rPh>
    <rPh sb="16" eb="18">
      <t>ヒョウジュン</t>
    </rPh>
    <rPh sb="21" eb="22">
      <t>ガタ</t>
    </rPh>
    <rPh sb="22" eb="24">
      <t>トリツケ</t>
    </rPh>
    <rPh sb="25" eb="27">
      <t>サユウ</t>
    </rPh>
    <rPh sb="27" eb="29">
      <t>トリツケ</t>
    </rPh>
    <rPh sb="30" eb="32">
      <t>バアイ</t>
    </rPh>
    <rPh sb="34" eb="35">
      <t>アリ</t>
    </rPh>
    <rPh sb="37" eb="39">
      <t>センタク</t>
    </rPh>
    <phoneticPr fontId="2"/>
  </si>
  <si>
    <t>有　【三菱小型車は標準架装一覧表に記載のシャシＯＰを実施のこと】</t>
    <rPh sb="3" eb="5">
      <t>ミツビシ</t>
    </rPh>
    <rPh sb="5" eb="7">
      <t>コガタ</t>
    </rPh>
    <rPh sb="7" eb="8">
      <t>シャ</t>
    </rPh>
    <rPh sb="9" eb="11">
      <t>ヒョウジュン</t>
    </rPh>
    <rPh sb="11" eb="13">
      <t>カソウ</t>
    </rPh>
    <rPh sb="13" eb="15">
      <t>イチラン</t>
    </rPh>
    <rPh sb="15" eb="16">
      <t>ヒョウ</t>
    </rPh>
    <rPh sb="17" eb="19">
      <t>キサイ</t>
    </rPh>
    <rPh sb="26" eb="28">
      <t>ジッシ</t>
    </rPh>
    <phoneticPr fontId="2"/>
  </si>
  <si>
    <t>有（市光工業製ＩＳ－２００型） 枠に取付</t>
    <rPh sb="16" eb="17">
      <t>ワク</t>
    </rPh>
    <phoneticPr fontId="2"/>
  </si>
  <si>
    <t xml:space="preserve">【ＰＡ５４Ｈ－Ｔ１，ＰＡ７４３Ｅ－Ｔ 専用仕様】 有（枠を水平取付け） </t>
    <phoneticPr fontId="2"/>
  </si>
  <si>
    <t xml:space="preserve">【ＰＡ５４Ｈ－Ｔ１，ＰＡ７４３Ｅ－Ｔ 専用仕様】 有（枠を水平取付け、コーナーカット） </t>
    <phoneticPr fontId="2"/>
  </si>
  <si>
    <t>仕様１１　有（日本ﾎﾞﾃﾞｰﾊﾟｰﾂ製，ＬＳＬ－１００８Ｂ，ＬＥＤ丸型，左側１個取付）</t>
    <rPh sb="7" eb="9">
      <t>ニホン</t>
    </rPh>
    <rPh sb="18" eb="19">
      <t>セイ</t>
    </rPh>
    <rPh sb="33" eb="34">
      <t>マル</t>
    </rPh>
    <phoneticPr fontId="2"/>
  </si>
  <si>
    <t>仕様１２　有（日本ﾎﾞﾃﾞｰﾊﾟｰﾂ製，ＬＳＬ－１００８Ｂ，ＬＥＤ丸型，右側１個取付）</t>
    <rPh sb="7" eb="9">
      <t>ニホン</t>
    </rPh>
    <rPh sb="18" eb="19">
      <t>セイ</t>
    </rPh>
    <rPh sb="33" eb="34">
      <t>マル</t>
    </rPh>
    <rPh sb="36" eb="37">
      <t>ミギ</t>
    </rPh>
    <phoneticPr fontId="2"/>
  </si>
  <si>
    <t>仕様１３　有（日本ﾎﾞﾃﾞｰﾊﾟｰﾂ製，ＬＳＬ－１００８Ｂ，ＬＥＤ丸型，左右各１個取付）</t>
    <rPh sb="7" eb="9">
      <t>ニホン</t>
    </rPh>
    <rPh sb="18" eb="19">
      <t>セイ</t>
    </rPh>
    <rPh sb="33" eb="34">
      <t>マル</t>
    </rPh>
    <rPh sb="36" eb="38">
      <t>サユウ</t>
    </rPh>
    <rPh sb="38" eb="39">
      <t>カク</t>
    </rPh>
    <phoneticPr fontId="2"/>
  </si>
  <si>
    <t>仕様１４　有（日本ﾎﾞﾃﾞｰﾊﾟｰﾂ製，ＬＳＬ－１０１０Ａ，LED角型小，KB7用，左側１個取付）　【他機種も取付可】</t>
    <rPh sb="7" eb="9">
      <t>ニホン</t>
    </rPh>
    <rPh sb="18" eb="19">
      <t>セイ</t>
    </rPh>
    <rPh sb="33" eb="35">
      <t>カクガタ</t>
    </rPh>
    <rPh sb="35" eb="36">
      <t>ショウ</t>
    </rPh>
    <rPh sb="40" eb="41">
      <t>ヨウ</t>
    </rPh>
    <rPh sb="42" eb="44">
      <t>ヒダリガワ</t>
    </rPh>
    <rPh sb="45" eb="46">
      <t>コ</t>
    </rPh>
    <rPh sb="46" eb="48">
      <t>トリツケ</t>
    </rPh>
    <rPh sb="51" eb="52">
      <t>ホカ</t>
    </rPh>
    <rPh sb="52" eb="54">
      <t>キシュ</t>
    </rPh>
    <rPh sb="55" eb="57">
      <t>トリツケ</t>
    </rPh>
    <rPh sb="57" eb="58">
      <t>カ</t>
    </rPh>
    <phoneticPr fontId="2"/>
  </si>
  <si>
    <t>仕様１５　有（日本ﾎﾞﾃﾞｰﾊﾟｰﾂ製，ＬＳＬ－１０１０Ａ，LED角型小，KB7用，右側１個取付）　【他機種も取付可】</t>
    <rPh sb="7" eb="9">
      <t>ニホン</t>
    </rPh>
    <rPh sb="18" eb="19">
      <t>セイ</t>
    </rPh>
    <rPh sb="33" eb="35">
      <t>カクガタ</t>
    </rPh>
    <rPh sb="35" eb="36">
      <t>ショウ</t>
    </rPh>
    <rPh sb="40" eb="41">
      <t>ヨウ</t>
    </rPh>
    <rPh sb="42" eb="44">
      <t>トリツケ</t>
    </rPh>
    <rPh sb="45" eb="46">
      <t>コ</t>
    </rPh>
    <rPh sb="46" eb="48">
      <t>トリツケ</t>
    </rPh>
    <rPh sb="51" eb="52">
      <t>ホカ</t>
    </rPh>
    <rPh sb="52" eb="54">
      <t>キシュ</t>
    </rPh>
    <rPh sb="55" eb="57">
      <t>トリツケ</t>
    </rPh>
    <rPh sb="57" eb="58">
      <t>カ</t>
    </rPh>
    <phoneticPr fontId="2"/>
  </si>
  <si>
    <t>仕様１６　有（日本ﾎﾞﾃﾞｰﾊﾟｰﾂ製，ＬＳＬ－１０１０Ａ，LED角型小，KB7用，左右各１個取付）　【他機種も取付可】</t>
    <rPh sb="7" eb="9">
      <t>ニホン</t>
    </rPh>
    <rPh sb="18" eb="19">
      <t>セイ</t>
    </rPh>
    <rPh sb="33" eb="35">
      <t>カクガタ</t>
    </rPh>
    <rPh sb="35" eb="36">
      <t>ショウ</t>
    </rPh>
    <rPh sb="40" eb="41">
      <t>ヨウ</t>
    </rPh>
    <rPh sb="42" eb="44">
      <t>サユウ</t>
    </rPh>
    <rPh sb="44" eb="45">
      <t>カク</t>
    </rPh>
    <rPh sb="46" eb="47">
      <t>コ</t>
    </rPh>
    <rPh sb="47" eb="49">
      <t>トリツケ</t>
    </rPh>
    <rPh sb="52" eb="53">
      <t>ホカ</t>
    </rPh>
    <rPh sb="53" eb="55">
      <t>キシュ</t>
    </rPh>
    <rPh sb="56" eb="58">
      <t>トリツケ</t>
    </rPh>
    <rPh sb="58" eb="59">
      <t>カ</t>
    </rPh>
    <phoneticPr fontId="2"/>
  </si>
  <si>
    <t>仕様１７　配線のみ施工（左側１個取付用）</t>
    <phoneticPr fontId="2"/>
  </si>
  <si>
    <t>仕様１８　配線のみ施工（右側１個取付用）</t>
    <phoneticPr fontId="2"/>
  </si>
  <si>
    <t>仕様１９　配線のみ施工（左右各１個取付用）</t>
    <phoneticPr fontId="2"/>
  </si>
  <si>
    <t>7-25．バー式ＬＥＤライト（白）</t>
    <rPh sb="7" eb="8">
      <t>シキ</t>
    </rPh>
    <rPh sb="15" eb="16">
      <t>シロ</t>
    </rPh>
    <phoneticPr fontId="2"/>
  </si>
  <si>
    <t>有　（テールゲート内に取付）</t>
    <rPh sb="0" eb="1">
      <t>ア</t>
    </rPh>
    <rPh sb="9" eb="10">
      <t>ナイ</t>
    </rPh>
    <rPh sb="11" eb="13">
      <t>トリツケ</t>
    </rPh>
    <phoneticPr fontId="2"/>
  </si>
  <si>
    <t>【PA54H-T1専用】 投入口角ﾊﾟｲﾌﾟ下に３連灯＋後部扉に増設ﾊｻﾞｰﾄﾞ（角型ｹｰｽに角型ﾗﾝﾌﾟ） 【ﾘｱﾊﾟﾈﾙ無し】</t>
    <rPh sb="62" eb="63">
      <t>ナ</t>
    </rPh>
    <phoneticPr fontId="2"/>
  </si>
  <si>
    <t>【PA54H-T1専用】 投入口角ﾊﾟｲﾌﾟ下に３連灯＋後部扉に増設ﾊｻﾞｰﾄﾞ（角型ｹｰｽに丸型ﾗﾝﾌﾟ） 【ﾘｱﾊﾟﾈﾙ無し】</t>
    <phoneticPr fontId="2"/>
  </si>
  <si>
    <t>【PA54H-T1専用】 投入口角ﾊﾟｲﾌﾟ下に３連灯＋後部扉に増設ﾊｻﾞｰﾄﾞ（丸型ｹｰｽに丸型ﾗﾝﾌﾟ） 【ﾘｱﾊﾟﾈﾙ無し】</t>
    <phoneticPr fontId="2"/>
  </si>
  <si>
    <t>テールゲートサイド上部（丸型電球式）＋投入口下に3連灯 【リアパネル無し】</t>
    <rPh sb="12" eb="14">
      <t>マルガタ</t>
    </rPh>
    <rPh sb="14" eb="16">
      <t>デンキュウ</t>
    </rPh>
    <rPh sb="16" eb="17">
      <t>シキ</t>
    </rPh>
    <rPh sb="34" eb="35">
      <t>ナ</t>
    </rPh>
    <phoneticPr fontId="2"/>
  </si>
  <si>
    <t>ハイマウントリアパネルに取付（丸型電球式） 【PA74系のみ取付可】</t>
    <rPh sb="12" eb="14">
      <t>トリツケ</t>
    </rPh>
    <rPh sb="15" eb="17">
      <t>マルガタ</t>
    </rPh>
    <rPh sb="17" eb="19">
      <t>デンキュウ</t>
    </rPh>
    <rPh sb="19" eb="20">
      <t>シキ</t>
    </rPh>
    <rPh sb="27" eb="28">
      <t>ケイ</t>
    </rPh>
    <rPh sb="30" eb="32">
      <t>トリツケ</t>
    </rPh>
    <rPh sb="32" eb="33">
      <t>カ</t>
    </rPh>
    <phoneticPr fontId="2"/>
  </si>
  <si>
    <t>ハイマウントリアパネルに取付（角型LED式，縁ブラック） 【PA74系のみ取付可】</t>
    <rPh sb="12" eb="14">
      <t>トリツケ</t>
    </rPh>
    <rPh sb="15" eb="17">
      <t>カクガタ</t>
    </rPh>
    <rPh sb="20" eb="21">
      <t>シキ</t>
    </rPh>
    <rPh sb="22" eb="23">
      <t>フチ</t>
    </rPh>
    <rPh sb="34" eb="35">
      <t>ケイ</t>
    </rPh>
    <rPh sb="37" eb="39">
      <t>トリツケ</t>
    </rPh>
    <rPh sb="39" eb="40">
      <t>カ</t>
    </rPh>
    <phoneticPr fontId="2"/>
  </si>
  <si>
    <t>TRG-PYDARDFH44DD2F----</t>
  </si>
  <si>
    <t>TRG-PYDARD4H44DD2F----</t>
  </si>
  <si>
    <t>TPG-FEA5YB24SGU3</t>
  </si>
  <si>
    <t>TPG-FEA5YB23SGU3</t>
  </si>
  <si>
    <t>TPG-FEA50B23SGU3</t>
  </si>
  <si>
    <t>TPG-FEA50B24SGU3</t>
  </si>
  <si>
    <t>TRG-PYDARDFH44HD2F----</t>
  </si>
  <si>
    <t>TRG-PYDARD4H44HD2F----</t>
  </si>
  <si>
    <t>TPG-FEA5YB34SG03</t>
  </si>
  <si>
    <t>TPG-FEA5YB33SG03</t>
  </si>
  <si>
    <t>TPG-FEA50B33SG03</t>
  </si>
  <si>
    <t>TPG-FEA50B34SG03</t>
  </si>
  <si>
    <t>TPG-FEA50C33SG03</t>
  </si>
  <si>
    <t>TPG-FEA50C34SG03</t>
  </si>
  <si>
    <t>TRG-PYDBRFFH44VD2F----</t>
  </si>
  <si>
    <t>TRG-PYDBRF4H44VD2F----</t>
  </si>
  <si>
    <t>TPG-FEB9YC64SG03</t>
  </si>
  <si>
    <t>TPG-FEB9YC63SG03</t>
  </si>
  <si>
    <t>TPG-FEB9YE64SG03</t>
  </si>
  <si>
    <t>TPG-FEB9YE63SG03</t>
  </si>
  <si>
    <t>TSG-PYXARD4H44D22S----</t>
  </si>
  <si>
    <t>TSG-FEA5ZB23SGU6</t>
  </si>
  <si>
    <t>TSG-FEA53B23SGU6</t>
  </si>
  <si>
    <t>5-9．後部扉ハンドル</t>
    <rPh sb="4" eb="6">
      <t>コウブ</t>
    </rPh>
    <rPh sb="6" eb="7">
      <t>トビラ</t>
    </rPh>
    <phoneticPr fontId="2"/>
  </si>
  <si>
    <t xml:space="preserve">折畳み式ガイドテーブル（ＰＡ５ 幅１７０ｍｍ／ＰＡ７、ＰＢ６ 幅１６０ｍｍ） </t>
    <rPh sb="16" eb="17">
      <t>ハバ</t>
    </rPh>
    <phoneticPr fontId="2"/>
  </si>
  <si>
    <t>北海道運輸局</t>
  </si>
  <si>
    <t>札幌運輸支局</t>
  </si>
  <si>
    <t>函館運輸支局</t>
  </si>
  <si>
    <t>旭川運輸支局</t>
  </si>
  <si>
    <t>室蘭運輸支局</t>
  </si>
  <si>
    <t>釧路運輸支局</t>
  </si>
  <si>
    <t>帯広運輸支局</t>
  </si>
  <si>
    <t>北見運輸支局</t>
  </si>
  <si>
    <t>東北運輸局</t>
  </si>
  <si>
    <t>宮城運輸支局</t>
  </si>
  <si>
    <t>福島運輸支局</t>
  </si>
  <si>
    <t>いわき自動車検査登録事務所</t>
  </si>
  <si>
    <t>岩手運輸支局</t>
  </si>
  <si>
    <t>山形運輸支局</t>
  </si>
  <si>
    <t>庄内自動車検査登録事務所</t>
  </si>
  <si>
    <t>秋田運輸支局</t>
  </si>
  <si>
    <t>青森運輸支局</t>
  </si>
  <si>
    <t>八戸自動車検査登録事務所</t>
  </si>
  <si>
    <t>北陸信越運輸局</t>
  </si>
  <si>
    <t>新潟運輸支局</t>
  </si>
  <si>
    <t>長岡自動車検査登録事務所</t>
  </si>
  <si>
    <t>長野運輸支局</t>
  </si>
  <si>
    <t>松本自動車検査登録事務所</t>
  </si>
  <si>
    <t>富山運輸支局</t>
  </si>
  <si>
    <t>石川運輸支局</t>
  </si>
  <si>
    <t>関東運輸局</t>
  </si>
  <si>
    <t>東京運輸支局</t>
  </si>
  <si>
    <t>足立自動車検査登録事務所</t>
  </si>
  <si>
    <t>練馬自動車検査登録事務所</t>
  </si>
  <si>
    <t>多摩自動車検査登録事務所</t>
  </si>
  <si>
    <t>八王子自動車検査登録事務所</t>
  </si>
  <si>
    <t>神奈川運輸支局</t>
  </si>
  <si>
    <t>相模自動車検査登録事務所</t>
  </si>
  <si>
    <t>川崎自動車検査登録事務所</t>
  </si>
  <si>
    <t>湘南自動車検査登録事務所</t>
  </si>
  <si>
    <t>埼玉運輸支局</t>
  </si>
  <si>
    <t>熊谷自動車検査登録事務所</t>
  </si>
  <si>
    <t>所沢自動車検査登録事務所</t>
  </si>
  <si>
    <t>春日部自動車検査登録事務所</t>
  </si>
  <si>
    <t>群馬運輸支局</t>
  </si>
  <si>
    <t>千葉運輸支局</t>
  </si>
  <si>
    <t>習志野自動車検査登録事務所</t>
  </si>
  <si>
    <t>袖ヶ浦自動車検査登録事務所</t>
  </si>
  <si>
    <t>野田自動車検査登録事務所</t>
  </si>
  <si>
    <t>茨城運輸支局</t>
  </si>
  <si>
    <t>土浦自動車検査登録事務所</t>
  </si>
  <si>
    <t>栃木運輸支局</t>
  </si>
  <si>
    <t>佐野自動車検査登録事務所</t>
  </si>
  <si>
    <t>山梨運輸支局</t>
  </si>
  <si>
    <t>中部運輸局</t>
  </si>
  <si>
    <t>愛知運輸支局</t>
  </si>
  <si>
    <t>西三河自動車検査登録事務所</t>
  </si>
  <si>
    <t>小牧自動車検査登録事務所</t>
  </si>
  <si>
    <t>豊橋自動車検査登録事務所</t>
  </si>
  <si>
    <t>静岡運輸支局</t>
  </si>
  <si>
    <t>沼津自動車検査登録事務所</t>
  </si>
  <si>
    <t>浜松自動車検査登録事務所</t>
  </si>
  <si>
    <t>岐阜運輸支局</t>
  </si>
  <si>
    <t>飛騨自動車検査登録事務所</t>
  </si>
  <si>
    <t>三重運輸支局</t>
  </si>
  <si>
    <t>四日市自動車検査場</t>
  </si>
  <si>
    <t>福井運輸支局</t>
  </si>
  <si>
    <t>近畿運輸局</t>
  </si>
  <si>
    <t>大阪運輸支局</t>
  </si>
  <si>
    <t>なにわ自動車検査登録事務所</t>
  </si>
  <si>
    <t>和泉自動車検査登録事務所</t>
  </si>
  <si>
    <t>京都運輸支局</t>
  </si>
  <si>
    <t>京都南自動車検査場</t>
  </si>
  <si>
    <t>兵庫陸運部</t>
  </si>
  <si>
    <t>姫路自動車検査登録事務所</t>
  </si>
  <si>
    <t>奈良運輸支局</t>
  </si>
  <si>
    <t>滋賀運輸支局</t>
  </si>
  <si>
    <t>和歌山運輸支局</t>
  </si>
  <si>
    <t>中国運輸局</t>
  </si>
  <si>
    <t>広島運輸支局</t>
  </si>
  <si>
    <t>福山自動車検査登録事務所</t>
  </si>
  <si>
    <t>鳥取運輸支局</t>
  </si>
  <si>
    <t>島根運輸支局</t>
  </si>
  <si>
    <t>岡山運輸支局</t>
  </si>
  <si>
    <t>山口運輸支局</t>
  </si>
  <si>
    <t>四国運輸局</t>
  </si>
  <si>
    <t>香川運輸支局</t>
  </si>
  <si>
    <t>徳島運輸支局</t>
  </si>
  <si>
    <t>愛媛運輸支局</t>
  </si>
  <si>
    <t>高知運輸支局</t>
  </si>
  <si>
    <t>九州運輸局</t>
  </si>
  <si>
    <t>福岡運輸支局</t>
  </si>
  <si>
    <t>北九州自動車検査登録事務所</t>
  </si>
  <si>
    <t>久留米自動車検査登録事務所</t>
  </si>
  <si>
    <t>筑豊自動車検査登録事務所</t>
  </si>
  <si>
    <t>佐賀運輸支局</t>
  </si>
  <si>
    <t>長崎運輸支局</t>
  </si>
  <si>
    <t>佐世保自動車検査登録事務所</t>
  </si>
  <si>
    <t>厳原自動車検査登録事務所</t>
  </si>
  <si>
    <t>熊本運輸支局</t>
  </si>
  <si>
    <t>大分運輸支局</t>
  </si>
  <si>
    <t>宮崎運輸支局</t>
  </si>
  <si>
    <t>鹿児島運輸支局</t>
  </si>
  <si>
    <t>奄美自動車検査登録事務所</t>
  </si>
  <si>
    <t>沖縄総合事務局運輸部</t>
  </si>
  <si>
    <t>陸運事務所</t>
  </si>
  <si>
    <t>宮古運輸事務所</t>
  </si>
  <si>
    <t>八重山運輸事務所</t>
  </si>
  <si>
    <t>205/60R17.5 111/109L LT</t>
  </si>
  <si>
    <t>205/65R16 109/107L LT</t>
  </si>
  <si>
    <t>205/70R17.5 115/113L LT</t>
  </si>
  <si>
    <t>215/85R16 114/112L LT</t>
  </si>
  <si>
    <t>215/85R16 120/118L LT</t>
  </si>
  <si>
    <t>225/85R16 121/119L LT</t>
  </si>
  <si>
    <t>225/90R17.5 127/125L</t>
  </si>
  <si>
    <t>245/80R17.5 133/131J</t>
  </si>
  <si>
    <t>185/85R16 111/109L LT</t>
  </si>
  <si>
    <t>195/85R15 113/111L LT</t>
  </si>
  <si>
    <t>無し</t>
    <phoneticPr fontId="2"/>
  </si>
  <si>
    <t xml:space="preserve">有 樹脂製２分割（ポケット部ＳＳ製開閉蓋付） </t>
    <phoneticPr fontId="2"/>
  </si>
  <si>
    <t xml:space="preserve">有 樹脂製２分割（ポケット部ＳＵＳ製開閉蓋付き） </t>
    <phoneticPr fontId="2"/>
  </si>
  <si>
    <t>○</t>
    <phoneticPr fontId="2"/>
  </si>
  <si>
    <t>スペアタイヤキャリアに装着</t>
    <rPh sb="11" eb="13">
      <t>ソウチャク</t>
    </rPh>
    <phoneticPr fontId="2"/>
  </si>
  <si>
    <r>
      <t>荷箱内に積載（スペアタイヤキャリア</t>
    </r>
    <r>
      <rPr>
        <b/>
        <sz val="11"/>
        <color rgb="FFFF0000"/>
        <rFont val="ＭＳ Ｐゴシック"/>
        <family val="3"/>
        <charset val="128"/>
      </rPr>
      <t>無し</t>
    </r>
    <r>
      <rPr>
        <b/>
        <sz val="11"/>
        <rFont val="ＭＳ Ｐゴシック"/>
        <family val="3"/>
        <charset val="128"/>
      </rPr>
      <t>）</t>
    </r>
    <rPh sb="0" eb="2">
      <t>ニバコ</t>
    </rPh>
    <rPh sb="2" eb="3">
      <t>ナイ</t>
    </rPh>
    <rPh sb="4" eb="6">
      <t>セキサイ</t>
    </rPh>
    <rPh sb="17" eb="18">
      <t>ナシ</t>
    </rPh>
    <phoneticPr fontId="2"/>
  </si>
  <si>
    <r>
      <t>下記に配送（スペアタイヤキャリア</t>
    </r>
    <r>
      <rPr>
        <b/>
        <sz val="11"/>
        <color indexed="10"/>
        <rFont val="ＭＳ Ｐゴシック"/>
        <family val="3"/>
        <charset val="128"/>
      </rPr>
      <t>無し</t>
    </r>
    <r>
      <rPr>
        <b/>
        <sz val="11"/>
        <rFont val="ＭＳ Ｐゴシック"/>
        <family val="3"/>
        <charset val="128"/>
      </rPr>
      <t>）</t>
    </r>
    <rPh sb="0" eb="2">
      <t>カキ</t>
    </rPh>
    <rPh sb="3" eb="5">
      <t>ハイソウ</t>
    </rPh>
    <rPh sb="16" eb="17">
      <t>ナ</t>
    </rPh>
    <phoneticPr fontId="2"/>
  </si>
  <si>
    <r>
      <t>（スペアタイヤキャリア</t>
    </r>
    <r>
      <rPr>
        <b/>
        <sz val="11"/>
        <color indexed="10"/>
        <rFont val="ＭＳ Ｐゴシック"/>
        <family val="3"/>
        <charset val="128"/>
      </rPr>
      <t>無し</t>
    </r>
    <r>
      <rPr>
        <b/>
        <sz val="11"/>
        <rFont val="ＭＳ Ｐゴシック"/>
        <family val="3"/>
        <charset val="128"/>
      </rPr>
      <t>）</t>
    </r>
    <rPh sb="11" eb="12">
      <t>ナ</t>
    </rPh>
    <phoneticPr fontId="2"/>
  </si>
  <si>
    <r>
      <t xml:space="preserve">無し </t>
    </r>
    <r>
      <rPr>
        <sz val="9"/>
        <color rgb="FFFF0000"/>
        <rFont val="ＭＳ Ｐゴシック"/>
        <family val="3"/>
        <charset val="128"/>
      </rPr>
      <t>（PA7型の場合は、後部扉下部にゴム板取付）</t>
    </r>
    <phoneticPr fontId="2"/>
  </si>
  <si>
    <t>有</t>
    <phoneticPr fontId="2"/>
  </si>
  <si>
    <t>有 樹脂製２分割（ポケット部ＳＳ製）</t>
    <phoneticPr fontId="2"/>
  </si>
  <si>
    <t xml:space="preserve">有 樹脂製２分割（ポケット部ＳＵＳ製） </t>
    <rPh sb="17" eb="18">
      <t>セイ</t>
    </rPh>
    <phoneticPr fontId="2"/>
  </si>
  <si>
    <t>ﾊｲﾏｳﾝﾄﾘｱﾊﾟﾈﾙに取付（丸型電球式）＋投入口下に３連灯（角型電球式） 【PA7系のみ取付可】　※三菱小型車は技術連絡書【GR-17008】で改造のこと。</t>
    <rPh sb="13" eb="15">
      <t>トリツケ</t>
    </rPh>
    <rPh sb="16" eb="18">
      <t>マルガタ</t>
    </rPh>
    <rPh sb="18" eb="20">
      <t>デンキュウ</t>
    </rPh>
    <rPh sb="20" eb="21">
      <t>シキ</t>
    </rPh>
    <rPh sb="23" eb="25">
      <t>トウニュウ</t>
    </rPh>
    <rPh sb="25" eb="26">
      <t>クチ</t>
    </rPh>
    <rPh sb="26" eb="27">
      <t>シタ</t>
    </rPh>
    <rPh sb="29" eb="30">
      <t>レン</t>
    </rPh>
    <rPh sb="30" eb="31">
      <t>トウ</t>
    </rPh>
    <rPh sb="32" eb="34">
      <t>カクガタ</t>
    </rPh>
    <rPh sb="34" eb="36">
      <t>デンキュウ</t>
    </rPh>
    <rPh sb="36" eb="37">
      <t>シキ</t>
    </rPh>
    <rPh sb="43" eb="44">
      <t>ケイ</t>
    </rPh>
    <rPh sb="46" eb="48">
      <t>トリツケ</t>
    </rPh>
    <rPh sb="48" eb="49">
      <t>カ</t>
    </rPh>
    <phoneticPr fontId="2"/>
  </si>
  <si>
    <t>ﾊｲﾏｳﾝﾄﾘｱﾊﾟﾈﾙに取付（角型LED式，縁ブラック）＋投入口下に３連灯（角型電球式） 【PA7系のみ取付可】　※三菱小型車は技術連絡書【GR-17008】で改造のこと。</t>
    <rPh sb="13" eb="15">
      <t>トリツケ</t>
    </rPh>
    <rPh sb="16" eb="18">
      <t>カクガタ</t>
    </rPh>
    <rPh sb="21" eb="22">
      <t>シキ</t>
    </rPh>
    <rPh sb="23" eb="24">
      <t>フチ</t>
    </rPh>
    <rPh sb="30" eb="32">
      <t>トウニュウ</t>
    </rPh>
    <rPh sb="32" eb="33">
      <t>クチ</t>
    </rPh>
    <rPh sb="33" eb="34">
      <t>シタ</t>
    </rPh>
    <rPh sb="36" eb="37">
      <t>レン</t>
    </rPh>
    <rPh sb="37" eb="38">
      <t>トウ</t>
    </rPh>
    <rPh sb="39" eb="41">
      <t>カクガタ</t>
    </rPh>
    <rPh sb="41" eb="43">
      <t>デンキュウ</t>
    </rPh>
    <rPh sb="43" eb="44">
      <t>シキ</t>
    </rPh>
    <rPh sb="50" eb="51">
      <t>ケイ</t>
    </rPh>
    <rPh sb="53" eb="55">
      <t>トリツケ</t>
    </rPh>
    <rPh sb="55" eb="56">
      <t>カ</t>
    </rPh>
    <phoneticPr fontId="2"/>
  </si>
  <si>
    <t>Vol.2.5</t>
    <phoneticPr fontId="2"/>
  </si>
  <si>
    <t>PA760E</t>
    <phoneticPr fontId="2"/>
  </si>
  <si>
    <t>PA773E</t>
    <phoneticPr fontId="2"/>
  </si>
  <si>
    <t>PA760E</t>
  </si>
  <si>
    <t>PA773E</t>
  </si>
  <si>
    <t>5-20．テールゲート遮蔽板部に耐熱シート巻き付け</t>
    <rPh sb="21" eb="22">
      <t>マ</t>
    </rPh>
    <rPh sb="23" eb="24">
      <t>ツ</t>
    </rPh>
    <phoneticPr fontId="2"/>
  </si>
  <si>
    <t>有 アルミックス （配線のみ）</t>
    <rPh sb="10" eb="12">
      <t>ハイセン</t>
    </rPh>
    <phoneticPr fontId="2"/>
  </si>
  <si>
    <r>
      <t xml:space="preserve">有 アルミックス </t>
    </r>
    <r>
      <rPr>
        <sz val="9"/>
        <color rgb="FFFF0000"/>
        <rFont val="ＭＳ Ｐゴシック"/>
        <family val="3"/>
        <charset val="128"/>
      </rPr>
      <t>（油圧ホースのみ）</t>
    </r>
    <rPh sb="10" eb="12">
      <t>ユアツ</t>
    </rPh>
    <phoneticPr fontId="2"/>
  </si>
  <si>
    <r>
      <t xml:space="preserve">有 アルミックス </t>
    </r>
    <r>
      <rPr>
        <sz val="9"/>
        <color rgb="FFFF0000"/>
        <rFont val="ＭＳ Ｐゴシック"/>
        <family val="3"/>
        <charset val="128"/>
      </rPr>
      <t>（配線と油圧ホース）</t>
    </r>
    <rPh sb="10" eb="12">
      <t>ハイセン</t>
    </rPh>
    <rPh sb="13" eb="15">
      <t>ユアツ</t>
    </rPh>
    <phoneticPr fontId="2"/>
  </si>
  <si>
    <t>【都庁傭上仕様（一部ユーザーのみ）】有 サーモグラステープ （配線のみ）</t>
    <rPh sb="31" eb="33">
      <t>ハイセン</t>
    </rPh>
    <phoneticPr fontId="2"/>
  </si>
  <si>
    <t>【都庁傭上仕様（一部ユーザーのみ）】有 サーモグラステープ （油圧ホースのみ）</t>
    <rPh sb="31" eb="33">
      <t>ユアツ</t>
    </rPh>
    <phoneticPr fontId="2"/>
  </si>
  <si>
    <t>【都庁傭上仕様（一部ユーザーのみ）】有 サーモグラステープ （配線と油圧ホース）</t>
    <rPh sb="31" eb="33">
      <t>ハイセン</t>
    </rPh>
    <rPh sb="34" eb="36">
      <t>ユアツ</t>
    </rPh>
    <phoneticPr fontId="2"/>
  </si>
  <si>
    <t>2PG-NPR88YN-FN5APY-M</t>
  </si>
  <si>
    <t>2PG-NPR88YN-FN5APY-D</t>
  </si>
  <si>
    <t>2RG-NPR88YN-FN5APYS-M</t>
  </si>
  <si>
    <t>2PG-FEB90C73SG04</t>
  </si>
  <si>
    <t>2PG-FEB90C74SG04</t>
  </si>
  <si>
    <t>2KG-XZU700M-TKFRG3</t>
  </si>
  <si>
    <t>2KG-XZU700X-TYFSH5</t>
  </si>
  <si>
    <t>2KG-XZU700-TKFRG3</t>
  </si>
  <si>
    <t>2KG-XZU700A-TYFSH5</t>
  </si>
  <si>
    <t>2PG-NPR88YN-HN5AY-M</t>
  </si>
  <si>
    <t>2RG-NPR88YN-HN5AY-D</t>
  </si>
  <si>
    <t>2RG-NPR88YN-HN5AYS-M</t>
  </si>
  <si>
    <t>2PG-FEB90E73SG04</t>
  </si>
  <si>
    <t>2PG-FEB90E74SG04</t>
  </si>
  <si>
    <t>2KG-XZU710M-TKFSG3</t>
  </si>
  <si>
    <t>2KG-XZU710M-TKFSH3</t>
  </si>
  <si>
    <t>TKG-XZU710-TKFSG3</t>
  </si>
  <si>
    <t>TKG-XZU710-TKFSH3</t>
  </si>
  <si>
    <t>無し</t>
    <phoneticPr fontId="2"/>
  </si>
  <si>
    <t xml:space="preserve">ワンタッチ式ハシゴ型ステップ（左側） </t>
    <rPh sb="5" eb="6">
      <t>シキ</t>
    </rPh>
    <phoneticPr fontId="2"/>
  </si>
  <si>
    <t xml:space="preserve">ワンタッチ式ハシゴ型ステップ（右側） </t>
  </si>
  <si>
    <t xml:space="preserve">ワンタッチ式ハシゴ型ステップ（左右） </t>
  </si>
  <si>
    <t>固定式ハシゴ型ステップ（左側） 【ＰＡ７系は選択不可】</t>
    <rPh sb="0" eb="2">
      <t>コテイ</t>
    </rPh>
    <rPh sb="2" eb="3">
      <t>シキ</t>
    </rPh>
    <rPh sb="20" eb="21">
      <t>ケイ</t>
    </rPh>
    <rPh sb="22" eb="24">
      <t>センタク</t>
    </rPh>
    <rPh sb="24" eb="26">
      <t>フカ</t>
    </rPh>
    <phoneticPr fontId="2"/>
  </si>
  <si>
    <t>固定式ハシゴ型ステップ（右側）  【ＰＡ７系は選択不可】</t>
    <phoneticPr fontId="2"/>
  </si>
  <si>
    <t>固定式ハシゴ型ステップ（左右）  【ＰＡ７系は選択不可】</t>
    <phoneticPr fontId="2"/>
  </si>
  <si>
    <t>ＵＤステップ（左側）  【ＰＡ７系は選択不可】</t>
    <phoneticPr fontId="2"/>
  </si>
  <si>
    <t>ＵＤステップ（右側） 【ＰＡ７系は選択不可】</t>
    <phoneticPr fontId="2"/>
  </si>
  <si>
    <t>ＵＤステップ（左右） 【ＰＡ７系は選択不可】</t>
    <phoneticPr fontId="2"/>
  </si>
  <si>
    <t>TPG-XZU600A-TYTMB5</t>
  </si>
  <si>
    <t>TPG-XZU600X-TYTMB5</t>
  </si>
  <si>
    <t>TPG-XZU600H-TKTQB3</t>
  </si>
  <si>
    <t>TPG-XZU600E-TKTQB3</t>
  </si>
  <si>
    <t>PA742E-T</t>
  </si>
  <si>
    <t>PA750E</t>
  </si>
  <si>
    <t>2PG-NKR88YN-FN5APY-M</t>
  </si>
  <si>
    <t>2PG-NKR88YN-FN5APY-D</t>
  </si>
  <si>
    <t>2PG-LKR88YN-FN5APY-M</t>
  </si>
  <si>
    <t>2PG-LKR88YN-FN5APY-D</t>
  </si>
  <si>
    <t>2PG-LPR88YN-FN5APY-M</t>
  </si>
  <si>
    <t>2PG-LPR88YN-FN5APY-D</t>
  </si>
  <si>
    <t>TPG-XZU702-TQTQB3</t>
  </si>
  <si>
    <t>TPG-XZU702M-TQTQB3</t>
  </si>
  <si>
    <t>2PG-NPR88YN-HN5AY-D</t>
  </si>
  <si>
    <t>2RG-NPR88YN-HN5AY-M</t>
  </si>
  <si>
    <t>2PG-LPR88YN-HN5AY-M</t>
  </si>
  <si>
    <t>2PG-LPR88YN-HN5AY-D</t>
  </si>
  <si>
    <t>2RG-LPR88YN-HN5AY-M</t>
  </si>
  <si>
    <t>2RG-LPR88YN-HN5AY-D</t>
  </si>
  <si>
    <t>2KG-XZU710-TKFSG3</t>
  </si>
  <si>
    <t>2PG-FRR90S2-HCPYS-M</t>
  </si>
  <si>
    <t>2PG-FRR90S2-HCPYS-D</t>
  </si>
  <si>
    <t>2PG-FRR90S2-GAPYS-M</t>
  </si>
  <si>
    <t>2PG-FRR90S2-GAPYS-D</t>
  </si>
  <si>
    <t>2PG-FSR90S2-HCPYS-M</t>
  </si>
  <si>
    <t>2RG-FSR90S2-HCPYS-M</t>
  </si>
  <si>
    <t>2PG-FSR90S2-HCPYS-D</t>
  </si>
  <si>
    <t>2RG-FSR90S2-HCPYS-D</t>
  </si>
  <si>
    <t>2PG-FSR90S2-GAPYS-M</t>
  </si>
  <si>
    <t>2RG-FSR90S2-GAPYS-M</t>
  </si>
  <si>
    <t>2PG-FSR90S2-GAPYS-D</t>
  </si>
  <si>
    <t>2RG-FSR90S2-GAPYS-D</t>
  </si>
  <si>
    <t>2KG-FK61FE4B</t>
  </si>
  <si>
    <t>2KG-FK71FD4B</t>
  </si>
  <si>
    <t>2KG-FK62FEY1B</t>
  </si>
  <si>
    <t>2KG-FK72FDY1B</t>
  </si>
  <si>
    <t>2KG-FD2AEBA-CBCAAB</t>
  </si>
  <si>
    <t>2KG-FC2ADBA-CBAAAB</t>
  </si>
  <si>
    <t>2KG-GD2AEBA-DBCAAB</t>
  </si>
  <si>
    <t>2KG-GC2ADBA-CBAAAB</t>
  </si>
  <si>
    <t>2PG-BRR90S2-HCPYS-M</t>
  </si>
  <si>
    <t>2PG-BRR90S2-GAPYS-M</t>
  </si>
  <si>
    <t>2PG-BSR90S2-HCPYS-M</t>
  </si>
  <si>
    <t>2PG-BSR90S2-GAPYS-M</t>
  </si>
  <si>
    <t>2PG-FRR90S2-JCPYS-M</t>
  </si>
  <si>
    <t>2PG-FRR90S2-JCPYS-D</t>
  </si>
  <si>
    <t>2PG-FRR90S2-HAPYS-M</t>
  </si>
  <si>
    <t>2PG-FRR90S2-HAPYS-D</t>
  </si>
  <si>
    <t>2PG-FSR90S2-JCPYS-M</t>
  </si>
  <si>
    <t>2RG-FSR90S2-JCPYS-M</t>
  </si>
  <si>
    <t>2PG-FSR90S2-JCPYS-D</t>
  </si>
  <si>
    <t>2RG-FSR90S2-JCPYS-D</t>
  </si>
  <si>
    <t>2PG-FSR90S2-HAPYS-M</t>
  </si>
  <si>
    <t>2RG-FSR90S2-HAPYS-M</t>
  </si>
  <si>
    <t>2PG-FSR90S2-HAPYS-D</t>
  </si>
  <si>
    <t>2RG-FSR90S2-HAPYS-D</t>
  </si>
  <si>
    <t>2KG-FK61FG4B</t>
  </si>
  <si>
    <t>2KG-FK71FE4B</t>
  </si>
  <si>
    <t>2KG-FK62FGY1B</t>
  </si>
  <si>
    <t>2KG-FK72FEY1B</t>
  </si>
  <si>
    <t>2KG-FD2AGBA-CBCAAB</t>
  </si>
  <si>
    <t>2KG-FC2AEBA-CBAAAB</t>
  </si>
  <si>
    <t>2DG-GD2AGBA-CBCAAB</t>
  </si>
  <si>
    <t>2DG-GC2AEBA-CBAAAB</t>
  </si>
  <si>
    <t>2PG-BRR90S2-JCPYS-M</t>
  </si>
  <si>
    <t>2PG-BRR90S2-HAPYS-M</t>
  </si>
  <si>
    <t>2PG-BSR90S2-JCPYS-M</t>
  </si>
  <si>
    <t>2PG-BSR90S2-HAPYS-M</t>
  </si>
  <si>
    <t>2PG-FRR90S2-JAPYS-M</t>
  </si>
  <si>
    <t>2PG-FRR90S2-JAPYS-D</t>
  </si>
  <si>
    <t>2PG-FSR90S2-JAYS-M</t>
  </si>
  <si>
    <t>2RG-FSR90S2-JAYS-M</t>
  </si>
  <si>
    <t>2PG-FSR90S2-JAYS-D</t>
  </si>
  <si>
    <t>2RG-FSR90S2-JAYS-D</t>
  </si>
  <si>
    <t>2PG-FTR90U2-JCYH-M</t>
  </si>
  <si>
    <t>2RG-FTR90U2-JCYH-M</t>
  </si>
  <si>
    <t>2PG-FTR90U2-JCYH-D</t>
  </si>
  <si>
    <t>2RG-FTR90U2-JCYH-D</t>
  </si>
  <si>
    <t>2PG-FTR90U2-JAYH-M</t>
  </si>
  <si>
    <t>2RG-FTR90U2-JAYH-M</t>
  </si>
  <si>
    <t>2PG-FTR90U2-JAYH-D</t>
  </si>
  <si>
    <t>2RG-FTR90U2-JAYH-D</t>
  </si>
  <si>
    <t>2KG-FK71FF4B</t>
  </si>
  <si>
    <t>2KG-FK72FGY1B</t>
  </si>
  <si>
    <t>2KG-FC2AGBA-CBAAAB</t>
  </si>
  <si>
    <t>2KG-GC2AGBA-DBAAA</t>
  </si>
  <si>
    <t>2PG-BRR90S2-JAPYS-M</t>
  </si>
  <si>
    <t>2PG-BSR90S2-JAYS-M</t>
  </si>
  <si>
    <t>5-20．テールゲート遮蔽板部に
　　　　耐熱シート巻き付け</t>
    <rPh sb="26" eb="27">
      <t>マ</t>
    </rPh>
    <rPh sb="28" eb="29">
      <t>ツ</t>
    </rPh>
    <phoneticPr fontId="2"/>
  </si>
  <si>
    <t>古林</t>
    <rPh sb="0" eb="2">
      <t>フルバヤシ</t>
    </rPh>
    <phoneticPr fontId="2"/>
  </si>
  <si>
    <t>平井</t>
    <rPh sb="0" eb="2">
      <t>ヒライ</t>
    </rPh>
    <phoneticPr fontId="2"/>
  </si>
  <si>
    <t>山北</t>
    <rPh sb="0" eb="2">
      <t>ヤマキタ</t>
    </rPh>
    <phoneticPr fontId="2"/>
  </si>
  <si>
    <t>171963</t>
    <phoneticPr fontId="2"/>
  </si>
  <si>
    <t>大阪日野自動車㈱</t>
    <phoneticPr fontId="2"/>
  </si>
  <si>
    <t>ﾀﾞｲﾊﾁｾｲｿｳｼｬ</t>
    <phoneticPr fontId="2"/>
  </si>
  <si>
    <t>大八清掃社</t>
    <rPh sb="0" eb="2">
      <t>ダイハチ</t>
    </rPh>
    <rPh sb="2" eb="4">
      <t>セイソウ</t>
    </rPh>
    <rPh sb="4" eb="5">
      <t>シャ</t>
    </rPh>
    <phoneticPr fontId="2"/>
  </si>
  <si>
    <t>●</t>
  </si>
  <si>
    <t>2DG-GC2ADBA-CBAAAB</t>
    <phoneticPr fontId="2"/>
  </si>
  <si>
    <t>ディーゼル</t>
  </si>
  <si>
    <t>マニュアル</t>
  </si>
  <si>
    <t>PB681E-N(8.1)</t>
    <phoneticPr fontId="2"/>
  </si>
  <si>
    <t>最大</t>
    <rPh sb="0" eb="2">
      <t>サイダイ</t>
    </rPh>
    <phoneticPr fontId="2"/>
  </si>
  <si>
    <t>ﾍﾟｰﾈﾙｸﾞﾘｰﾝ</t>
    <phoneticPr fontId="2"/>
  </si>
  <si>
    <t>KAO-904</t>
    <phoneticPr fontId="2"/>
  </si>
  <si>
    <t>■</t>
  </si>
  <si>
    <t>PB6</t>
  </si>
  <si>
    <t>無し</t>
  </si>
  <si>
    <t>高張力鋼板ｔ８．０</t>
  </si>
  <si>
    <t>有 （汚水タンク本体・側板鉄製）</t>
  </si>
  <si>
    <t xml:space="preserve">ﾌﾟﾚｽﾌﾟﾚｰﾄ先端，ｻｲﾄﾞ(ｺﾞﾑ式） ＋ ﾊﾟｯｶｰﾌﾟﾚｰﾄ～ﾌﾟﾚｽﾌﾟﾚｰﾄ間（ｺﾞﾑ式，固定式） </t>
  </si>
  <si>
    <t>有（反転装置取付の場合は無しとなる）</t>
  </si>
  <si>
    <t>無し 【三菱小型車は右後３つのみ標準でSS型取付。左右取付の場合は『有』を選択のこと】</t>
  </si>
  <si>
    <t>無し 【マフラ後輪後出しの場合は取付不可】</t>
  </si>
  <si>
    <t xml:space="preserve">２０Ａパイプ１段 </t>
    <phoneticPr fontId="2"/>
  </si>
  <si>
    <t>テールゲートサイド上部（丸型電球式）　【ハイマウントリアパネル無し】</t>
  </si>
  <si>
    <t>後部扉に直付け 　※大型車及び三菱小型車はシャシ純正BKT取付が標準　【PA7系は選択不可】</t>
  </si>
  <si>
    <t>投入口角パイプ下左右</t>
  </si>
  <si>
    <t>本社塗装時：貼り付け／未塗装発送時：積載（支店貼り付け）</t>
  </si>
  <si>
    <t xml:space="preserve">標準化設定シャシ   </t>
    <phoneticPr fontId="2"/>
  </si>
  <si>
    <t xml:space="preserve">耐候性鋼板ｔ２．８ </t>
    <phoneticPr fontId="2"/>
  </si>
  <si>
    <t xml:space="preserve">無し </t>
    <phoneticPr fontId="2"/>
  </si>
  <si>
    <t xml:space="preserve">左側のみ取付 </t>
    <phoneticPr fontId="2"/>
  </si>
  <si>
    <t xml:space="preserve">無し  </t>
    <phoneticPr fontId="2"/>
  </si>
  <si>
    <t>無し</t>
    <phoneticPr fontId="2"/>
  </si>
  <si>
    <t>高張力鋼板ｔ８．０</t>
    <phoneticPr fontId="2"/>
  </si>
  <si>
    <t xml:space="preserve">２－φ２５ </t>
    <phoneticPr fontId="2"/>
  </si>
  <si>
    <t>有 （汚水タンク本体・側板鉄製）</t>
    <phoneticPr fontId="2"/>
  </si>
  <si>
    <t xml:space="preserve">耐候性鋼板製 </t>
    <phoneticPr fontId="2"/>
  </si>
  <si>
    <t xml:space="preserve">ＳＳ製 </t>
    <phoneticPr fontId="2"/>
  </si>
  <si>
    <t xml:space="preserve">ﾌﾟﾚｽﾌﾟﾚｰﾄ先端，ｻｲﾄﾞ(ｺﾞﾑ式） ＋ ﾊﾟｯｶｰﾌﾟﾚｰﾄ～ﾌﾟﾚｽﾌﾟﾚｰﾄ間（ｺﾞﾑ式，固定式） </t>
    <phoneticPr fontId="2"/>
  </si>
  <si>
    <t xml:space="preserve">ＳＳ製２枚折れ扉 </t>
    <phoneticPr fontId="2"/>
  </si>
  <si>
    <t xml:space="preserve">パイプ式 </t>
    <phoneticPr fontId="2"/>
  </si>
  <si>
    <t>有 樹脂製２分割（ポケット部ＳＳ製）</t>
    <phoneticPr fontId="2"/>
  </si>
  <si>
    <t>無し （PA7型の場合は、後部扉下部にゴム板取付）</t>
    <phoneticPr fontId="2"/>
  </si>
  <si>
    <t>有（反転装置取付の場合は無しとなる）</t>
    <phoneticPr fontId="2"/>
  </si>
  <si>
    <t xml:space="preserve">有（ＧＶＷ７０００kg以上）／型式認定品 </t>
    <phoneticPr fontId="2"/>
  </si>
  <si>
    <t xml:space="preserve">シート式（グレー） </t>
    <phoneticPr fontId="2"/>
  </si>
  <si>
    <t>ボデー幅取付（ＳＳ） 取付け不可の場合は、フレーム幅になります</t>
    <phoneticPr fontId="2"/>
  </si>
  <si>
    <t xml:space="preserve">ギヤポンプ </t>
    <phoneticPr fontId="2"/>
  </si>
  <si>
    <t xml:space="preserve">ＳＳ製角型 </t>
    <phoneticPr fontId="2"/>
  </si>
  <si>
    <t>無し 【三菱小型車は右後３つのみ標準でSS型取付。左右取付の場合は『有』を選択のこと】</t>
    <phoneticPr fontId="2"/>
  </si>
  <si>
    <t>無し 【マフラ後輪後出しの場合は取付不可】</t>
    <phoneticPr fontId="2"/>
  </si>
  <si>
    <t xml:space="preserve">ロゴ有 </t>
    <phoneticPr fontId="2"/>
  </si>
  <si>
    <t>ＰＡ：無し／ＰＢ：有 ＰＡ５４Ｈオイルタンクボデー内仕様の場合、有となります</t>
    <phoneticPr fontId="2"/>
  </si>
  <si>
    <t>テールゲートサイド上部（丸型電球式）　【ハイマウントリアパネル無し】</t>
    <phoneticPr fontId="2"/>
  </si>
  <si>
    <t xml:space="preserve">標準仕様 </t>
    <phoneticPr fontId="2"/>
  </si>
  <si>
    <t>後部扉に直付け 　※大型車及び三菱小型車はシャシ純正BKT取付が標準　【PA7系は選択不可】</t>
    <phoneticPr fontId="2"/>
  </si>
  <si>
    <t>投入口角パイプ下左右</t>
    <phoneticPr fontId="2"/>
  </si>
  <si>
    <t xml:space="preserve">天井蝶番部付近で接続 </t>
    <phoneticPr fontId="2"/>
  </si>
  <si>
    <t>ダブル型 左側取付</t>
    <phoneticPr fontId="2"/>
  </si>
  <si>
    <t xml:space="preserve">自動車用３型 １本 </t>
    <phoneticPr fontId="2"/>
  </si>
  <si>
    <t>本社塗装時：貼り付け／未塗装発送時：積載（支店貼り付け）</t>
    <phoneticPr fontId="2"/>
  </si>
  <si>
    <t>無し（リフトシリンダカバー取付） 全高制限仕様は標準　PA56H-3、PA56H-5、PA57H、PA57H-4</t>
  </si>
  <si>
    <t>有　【お客様発行の依頼書が必要】</t>
  </si>
  <si>
    <t>有 （φ１６丸棒）</t>
  </si>
  <si>
    <t>有　【三菱小型車は標準架装一覧表に記載のシャシＯＰを実施のこと】</t>
  </si>
  <si>
    <t>仕様４　有（市光工業製　７型ルームミラー式ｶﾗｰﾓﾆﾀｰ／小型カメラ)</t>
  </si>
  <si>
    <t>荷箱前面板左側に丸棒をコの字型に加工したステップを取付。（写真同様3段）</t>
    <rPh sb="0" eb="2">
      <t>ニバコ</t>
    </rPh>
    <rPh sb="2" eb="4">
      <t>ゼンメン</t>
    </rPh>
    <rPh sb="4" eb="5">
      <t>バン</t>
    </rPh>
    <rPh sb="5" eb="6">
      <t>ヒダリ</t>
    </rPh>
    <rPh sb="6" eb="7">
      <t>ガワ</t>
    </rPh>
    <rPh sb="8" eb="10">
      <t>マルボウ</t>
    </rPh>
    <rPh sb="13" eb="14">
      <t>ジ</t>
    </rPh>
    <rPh sb="14" eb="15">
      <t>ガタ</t>
    </rPh>
    <rPh sb="16" eb="18">
      <t>カコウ</t>
    </rPh>
    <rPh sb="25" eb="27">
      <t>トリツケ</t>
    </rPh>
    <rPh sb="29" eb="31">
      <t>シャシン</t>
    </rPh>
    <rPh sb="31" eb="33">
      <t>ドウヨウ</t>
    </rPh>
    <rPh sb="34" eb="35">
      <t>ダン</t>
    </rPh>
    <phoneticPr fontId="2"/>
  </si>
  <si>
    <t>折り畳みガイドテーブルを取付。幅160ｍｍ</t>
    <rPh sb="0" eb="1">
      <t>オ</t>
    </rPh>
    <rPh sb="2" eb="3">
      <t>タタ</t>
    </rPh>
    <rPh sb="12" eb="14">
      <t>トリツケ</t>
    </rPh>
    <rPh sb="15" eb="16">
      <t>ハバ</t>
    </rPh>
    <phoneticPr fontId="2"/>
  </si>
  <si>
    <t>ガイドテーブルを倒した状態の上面に縞板貼付け。</t>
    <rPh sb="8" eb="9">
      <t>タオ</t>
    </rPh>
    <rPh sb="11" eb="13">
      <t>ジョウタイ</t>
    </rPh>
    <rPh sb="14" eb="16">
      <t>ジョウメン</t>
    </rPh>
    <rPh sb="17" eb="18">
      <t>シマ</t>
    </rPh>
    <rPh sb="18" eb="19">
      <t>イタ</t>
    </rPh>
    <rPh sb="19" eb="21">
      <t>ハリツ</t>
    </rPh>
    <phoneticPr fontId="2"/>
  </si>
  <si>
    <t>タイヤ灯は配線とブラケットのみ施工。スイッチはキャビン内で電源はテールゲートより取出し。</t>
    <rPh sb="3" eb="4">
      <t>トウ</t>
    </rPh>
    <rPh sb="5" eb="7">
      <t>ハイセン</t>
    </rPh>
    <rPh sb="15" eb="17">
      <t>セコウ</t>
    </rPh>
    <rPh sb="27" eb="28">
      <t>ナイ</t>
    </rPh>
    <rPh sb="29" eb="31">
      <t>デンゲン</t>
    </rPh>
    <rPh sb="40" eb="42">
      <t>トリダ</t>
    </rPh>
    <phoneticPr fontId="2"/>
  </si>
  <si>
    <t>※フォグランプ取付可能なようにブラケットを加工願います。</t>
    <rPh sb="7" eb="9">
      <t>トリツケ</t>
    </rPh>
    <rPh sb="9" eb="11">
      <t>カノウ</t>
    </rPh>
    <rPh sb="21" eb="23">
      <t>カコウ</t>
    </rPh>
    <rPh sb="23" eb="24">
      <t>ネガ</t>
    </rPh>
    <phoneticPr fontId="2"/>
  </si>
  <si>
    <t>オルゴール曲目は五木の子守唄（メロディーのみ）</t>
    <rPh sb="5" eb="7">
      <t>キョクモク</t>
    </rPh>
    <rPh sb="8" eb="10">
      <t>イツキ</t>
    </rPh>
    <rPh sb="11" eb="14">
      <t>コモリウタ</t>
    </rPh>
    <phoneticPr fontId="2"/>
  </si>
  <si>
    <t>左右共にテールゲート側板～前面板にパイプにて保護棒取付。(写真は右ですが左にも同様のパイプ取付）</t>
    <rPh sb="0" eb="2">
      <t>サユウ</t>
    </rPh>
    <rPh sb="2" eb="3">
      <t>トモ</t>
    </rPh>
    <rPh sb="10" eb="12">
      <t>ソクバン</t>
    </rPh>
    <rPh sb="13" eb="15">
      <t>ゼンメン</t>
    </rPh>
    <rPh sb="15" eb="16">
      <t>バン</t>
    </rPh>
    <rPh sb="22" eb="24">
      <t>ホゴ</t>
    </rPh>
    <rPh sb="24" eb="25">
      <t>ボウ</t>
    </rPh>
    <rPh sb="25" eb="27">
      <t>トリツケ</t>
    </rPh>
    <rPh sb="29" eb="31">
      <t>シャシン</t>
    </rPh>
    <rPh sb="32" eb="33">
      <t>ミギ</t>
    </rPh>
    <rPh sb="36" eb="37">
      <t>ヒダリ</t>
    </rPh>
    <rPh sb="39" eb="41">
      <t>ドウヨウ</t>
    </rPh>
    <rPh sb="45" eb="47">
      <t>トリツケ</t>
    </rPh>
    <phoneticPr fontId="2"/>
  </si>
  <si>
    <t>　　　　　　　　　　　　　　　　　　　　　　　　　　　　　　　　　　　　　　　位置に取付願います。）</t>
    <rPh sb="39" eb="41">
      <t>イチ</t>
    </rPh>
    <rPh sb="42" eb="44">
      <t>トリツケ</t>
    </rPh>
    <rPh sb="44" eb="45">
      <t>ネガ</t>
    </rPh>
    <phoneticPr fontId="2"/>
  </si>
  <si>
    <t>テールゲート内当て板をして1インチ丸パイプを取付。（跳ね上げたときにこのパイプがストッパーの役割できる</t>
    <rPh sb="6" eb="7">
      <t>ナイ</t>
    </rPh>
    <rPh sb="7" eb="8">
      <t>ア</t>
    </rPh>
    <rPh sb="9" eb="10">
      <t>イタ</t>
    </rPh>
    <rPh sb="17" eb="18">
      <t>マル</t>
    </rPh>
    <rPh sb="22" eb="24">
      <t>トリツケ</t>
    </rPh>
    <rPh sb="26" eb="27">
      <t>ハ</t>
    </rPh>
    <rPh sb="28" eb="29">
      <t>ア</t>
    </rPh>
    <rPh sb="46" eb="48">
      <t>ヤクワリ</t>
    </rPh>
    <phoneticPr fontId="2"/>
  </si>
  <si>
    <t>右側緊急停止スイッチは2個取付用を取付し、積込スイッチ本体・黒色ゴムキャップは車両積載し</t>
    <rPh sb="0" eb="2">
      <t>ミギガワ</t>
    </rPh>
    <rPh sb="2" eb="4">
      <t>キンキュウ</t>
    </rPh>
    <rPh sb="4" eb="6">
      <t>テイシ</t>
    </rPh>
    <rPh sb="12" eb="13">
      <t>コ</t>
    </rPh>
    <rPh sb="13" eb="15">
      <t>トリツケ</t>
    </rPh>
    <rPh sb="15" eb="16">
      <t>ヨウ</t>
    </rPh>
    <rPh sb="17" eb="19">
      <t>トリツケ</t>
    </rPh>
    <rPh sb="21" eb="23">
      <t>ツミコミ</t>
    </rPh>
    <rPh sb="27" eb="29">
      <t>ホンタイ</t>
    </rPh>
    <rPh sb="30" eb="32">
      <t>クロイロ</t>
    </rPh>
    <rPh sb="39" eb="41">
      <t>シャリョウ</t>
    </rPh>
    <rPh sb="41" eb="43">
      <t>セキサイ</t>
    </rPh>
    <phoneticPr fontId="2"/>
  </si>
  <si>
    <t>出荷願います。</t>
    <rPh sb="0" eb="2">
      <t>シュッカ</t>
    </rPh>
    <rPh sb="2" eb="3">
      <t>ネガ</t>
    </rPh>
    <phoneticPr fontId="2"/>
  </si>
  <si>
    <t>※中間検収有の為、検収可能日を連絡願います。</t>
    <rPh sb="1" eb="3">
      <t>チュウカン</t>
    </rPh>
    <rPh sb="3" eb="5">
      <t>ケンシュウ</t>
    </rPh>
    <rPh sb="5" eb="6">
      <t>アリ</t>
    </rPh>
    <rPh sb="7" eb="8">
      <t>タメ</t>
    </rPh>
    <rPh sb="9" eb="11">
      <t>ケンシュウ</t>
    </rPh>
    <rPh sb="11" eb="13">
      <t>カノウ</t>
    </rPh>
    <rPh sb="13" eb="14">
      <t>ビ</t>
    </rPh>
    <rPh sb="15" eb="17">
      <t>レンラク</t>
    </rPh>
    <rPh sb="17" eb="18">
      <t>ネガ</t>
    </rPh>
    <phoneticPr fontId="2"/>
  </si>
  <si>
    <t>ﾍﾟｰﾈﾙｸﾞﾘｰﾝ　KAO-904</t>
  </si>
  <si>
    <t>ﾍﾟｰﾈﾙｸﾞﾘｰﾝ　KAO-904</t>
    <phoneticPr fontId="2"/>
  </si>
  <si>
    <t>（ 黄 ・ 黒 ）</t>
  </si>
  <si>
    <t>ＰＴＯ「ＯＮ」時点灯、スイッチ：積込操作盤</t>
  </si>
  <si>
    <t>仕様１１　有（日本ﾎﾞﾃﾞｰﾊﾟｰﾂ製，ＬＳＬ－１００８Ｂ，ＬＥＤ丸型，左側１個取付）</t>
  </si>
  <si>
    <t>1</t>
    <phoneticPr fontId="2"/>
  </si>
  <si>
    <t>3</t>
    <phoneticPr fontId="2"/>
  </si>
  <si>
    <t>2</t>
    <phoneticPr fontId="2"/>
  </si>
  <si>
    <t>4</t>
    <phoneticPr fontId="2"/>
  </si>
  <si>
    <t>5</t>
    <phoneticPr fontId="2"/>
  </si>
  <si>
    <t>9-2．積込操作盤ヒーター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</si>
</sst>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quot;．&quot;m&quot;．&quot;d"/>
    <numFmt numFmtId="177" formatCode="yyyy&quot;年　&quot;m&quot;月　&quot;d&quot;日　（&quot;aaa&quot;）&quot;"/>
  </numFmts>
  <fonts count="72" x14ac:knownFonts="1">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b/>
      <sz val="11"/>
      <name val="ＭＳ Ｐゴシック"/>
      <family val="3"/>
      <charset val="128"/>
    </font>
    <font>
      <b/>
      <sz val="9"/>
      <name val="ＭＳ Ｐゴシック"/>
      <family val="3"/>
      <charset val="128"/>
    </font>
    <font>
      <sz val="11"/>
      <color indexed="10"/>
      <name val="ＭＳ Ｐゴシック"/>
      <family val="3"/>
      <charset val="128"/>
    </font>
    <font>
      <sz val="9"/>
      <color indexed="12"/>
      <name val="ＭＳ Ｐゴシック"/>
      <family val="3"/>
      <charset val="128"/>
    </font>
    <font>
      <sz val="9"/>
      <color indexed="10"/>
      <name val="ＭＳ Ｐゴシック"/>
      <family val="3"/>
      <charset val="128"/>
    </font>
    <font>
      <u/>
      <sz val="8.25"/>
      <color indexed="12"/>
      <name val="ＭＳ Ｐゴシック"/>
      <family val="3"/>
      <charset val="128"/>
    </font>
    <font>
      <b/>
      <sz val="9"/>
      <color indexed="12"/>
      <name val="ＭＳ Ｐゴシック"/>
      <family val="3"/>
      <charset val="128"/>
    </font>
    <font>
      <b/>
      <sz val="9"/>
      <color indexed="10"/>
      <name val="ＭＳ Ｐゴシック"/>
      <family val="3"/>
      <charset val="128"/>
    </font>
    <font>
      <b/>
      <sz val="12"/>
      <name val="ＭＳ Ｐゴシック"/>
      <family val="3"/>
      <charset val="128"/>
    </font>
    <font>
      <b/>
      <sz val="11"/>
      <name val="ＭＳ ゴシック"/>
      <family val="3"/>
      <charset val="128"/>
    </font>
    <font>
      <b/>
      <sz val="16"/>
      <name val="ＭＳ Ｐゴシック"/>
      <family val="3"/>
      <charset val="128"/>
    </font>
    <font>
      <b/>
      <sz val="20"/>
      <name val="ＭＳ Ｐゴシック"/>
      <family val="3"/>
      <charset val="128"/>
    </font>
    <font>
      <b/>
      <sz val="11"/>
      <color indexed="9"/>
      <name val="ＭＳ Ｐゴシック"/>
      <family val="3"/>
      <charset val="128"/>
    </font>
    <font>
      <b/>
      <sz val="11"/>
      <color indexed="10"/>
      <name val="ＭＳ Ｐゴシック"/>
      <family val="3"/>
      <charset val="128"/>
    </font>
    <font>
      <b/>
      <sz val="16"/>
      <color indexed="10"/>
      <name val="ＭＳ Ｐゴシック"/>
      <family val="3"/>
      <charset val="128"/>
    </font>
    <font>
      <b/>
      <sz val="14"/>
      <name val="ＭＳ Ｐゴシック"/>
      <family val="3"/>
      <charset val="128"/>
    </font>
    <font>
      <b/>
      <sz val="10"/>
      <color indexed="10"/>
      <name val="ＭＳ Ｐゴシック"/>
      <family val="3"/>
      <charset val="128"/>
    </font>
    <font>
      <b/>
      <sz val="10"/>
      <name val="ＭＳ Ｐゴシック"/>
      <family val="3"/>
      <charset val="128"/>
    </font>
    <font>
      <b/>
      <sz val="11"/>
      <color indexed="12"/>
      <name val="ＭＳ Ｐゴシック"/>
      <family val="3"/>
      <charset val="128"/>
    </font>
    <font>
      <sz val="9"/>
      <color indexed="81"/>
      <name val="ＭＳ Ｐゴシック"/>
      <family val="3"/>
      <charset val="128"/>
    </font>
    <font>
      <u/>
      <sz val="20"/>
      <name val="ＭＳ Ｐゴシック"/>
      <family val="3"/>
      <charset val="128"/>
    </font>
    <font>
      <u/>
      <sz val="11"/>
      <name val="ＭＳ Ｐゴシック"/>
      <family val="3"/>
      <charset val="128"/>
    </font>
    <font>
      <sz val="12"/>
      <name val="ＭＳ Ｐゴシック"/>
      <family val="3"/>
      <charset val="128"/>
    </font>
    <font>
      <sz val="11"/>
      <color indexed="12"/>
      <name val="ＭＳ Ｐゴシック"/>
      <family val="3"/>
      <charset val="128"/>
    </font>
    <font>
      <sz val="10"/>
      <name val="ＭＳ Ｐゴシック"/>
      <family val="3"/>
      <charset val="128"/>
    </font>
    <font>
      <sz val="8"/>
      <name val="ＭＳ Ｐゴシック"/>
      <family val="3"/>
      <charset val="128"/>
    </font>
    <font>
      <b/>
      <sz val="8"/>
      <color indexed="12"/>
      <name val="ＭＳ Ｐゴシック"/>
      <family val="3"/>
      <charset val="128"/>
    </font>
    <font>
      <b/>
      <sz val="8"/>
      <name val="ＭＳ Ｐゴシック"/>
      <family val="3"/>
      <charset val="128"/>
    </font>
    <font>
      <sz val="20"/>
      <name val="ＭＳ Ｐゴシック"/>
      <family val="3"/>
      <charset val="128"/>
    </font>
    <font>
      <sz val="11"/>
      <color indexed="9"/>
      <name val="ＭＳ Ｐゴシック"/>
      <family val="3"/>
      <charset val="128"/>
    </font>
    <font>
      <b/>
      <sz val="9"/>
      <color indexed="81"/>
      <name val="ＭＳ Ｐゴシック"/>
      <family val="3"/>
      <charset val="128"/>
    </font>
    <font>
      <sz val="11"/>
      <color indexed="8"/>
      <name val="ＭＳ Ｐゴシック"/>
      <family val="3"/>
      <charset val="128"/>
    </font>
    <font>
      <b/>
      <sz val="18"/>
      <color indexed="56"/>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name val="ＭＳ Ｐ明朝"/>
      <family val="1"/>
      <charset val="128"/>
    </font>
    <font>
      <b/>
      <sz val="18"/>
      <name val="ＭＳ Ｐゴシック"/>
      <family val="3"/>
      <charset val="128"/>
    </font>
    <font>
      <sz val="10"/>
      <color indexed="10"/>
      <name val="ＭＳ Ｐゴシック"/>
      <family val="3"/>
      <charset val="128"/>
    </font>
    <font>
      <b/>
      <sz val="6"/>
      <name val="ＭＳ Ｐゴシック"/>
      <family val="3"/>
      <charset val="128"/>
    </font>
    <font>
      <sz val="14"/>
      <name val="ＭＳ 明朝"/>
      <family val="1"/>
      <charset val="128"/>
    </font>
    <font>
      <u/>
      <sz val="16"/>
      <color indexed="12"/>
      <name val="ＭＳ Ｐゴシック"/>
      <family val="3"/>
      <charset val="128"/>
    </font>
    <font>
      <sz val="18"/>
      <name val="ＭＳ Ｐゴシック"/>
      <family val="3"/>
      <charset val="128"/>
    </font>
    <font>
      <sz val="14"/>
      <name val="ＭＳ Ｐゴシック"/>
      <family val="3"/>
      <charset val="128"/>
    </font>
    <font>
      <sz val="12"/>
      <color indexed="10"/>
      <name val="ＭＳ Ｐゴシック"/>
      <family val="3"/>
      <charset val="128"/>
    </font>
    <font>
      <sz val="20"/>
      <color indexed="10"/>
      <name val="ＭＳ Ｐゴシック"/>
      <family val="3"/>
      <charset val="128"/>
    </font>
    <font>
      <sz val="16"/>
      <name val="ＭＳ Ｐゴシック"/>
      <family val="3"/>
      <charset val="128"/>
    </font>
    <font>
      <sz val="18"/>
      <name val="ＭＳ Ｐ明朝"/>
      <family val="1"/>
      <charset val="128"/>
    </font>
    <font>
      <sz val="12"/>
      <color indexed="9"/>
      <name val="ＭＳ Ｐゴシック"/>
      <family val="3"/>
      <charset val="128"/>
    </font>
    <font>
      <sz val="11"/>
      <name val="ＭＳ Ｐゴシック"/>
      <family val="3"/>
      <charset val="128"/>
    </font>
    <font>
      <b/>
      <sz val="20"/>
      <color rgb="FF0000FF"/>
      <name val="ＭＳ Ｐゴシック"/>
      <family val="3"/>
      <charset val="128"/>
    </font>
    <font>
      <b/>
      <sz val="20"/>
      <color rgb="FF000000"/>
      <name val="ＭＳ Ｐゴシック"/>
      <family val="3"/>
      <charset val="128"/>
    </font>
    <font>
      <b/>
      <sz val="20"/>
      <color rgb="FFFF0000"/>
      <name val="ＭＳ Ｐゴシック"/>
      <family val="3"/>
      <charset val="128"/>
    </font>
    <font>
      <b/>
      <sz val="11"/>
      <color rgb="FF0000FF"/>
      <name val="ＭＳ Ｐゴシック"/>
      <family val="3"/>
      <charset val="128"/>
    </font>
    <font>
      <b/>
      <sz val="16"/>
      <color rgb="FF0000FF"/>
      <name val="ＭＳ Ｐゴシック"/>
      <family val="3"/>
      <charset val="128"/>
    </font>
    <font>
      <b/>
      <sz val="11"/>
      <color rgb="FFFF0000"/>
      <name val="ＭＳ Ｐゴシック"/>
      <family val="3"/>
      <charset val="128"/>
    </font>
    <font>
      <sz val="9"/>
      <color rgb="FF0000FF"/>
      <name val="ＭＳ Ｐゴシック"/>
      <family val="3"/>
      <charset val="128"/>
    </font>
    <font>
      <sz val="9"/>
      <color rgb="FFFF0000"/>
      <name val="ＭＳ Ｐゴシック"/>
      <family val="3"/>
      <charset val="128"/>
    </font>
    <font>
      <b/>
      <sz val="12"/>
      <color indexed="10"/>
      <name val="ＭＳ Ｐゴシック"/>
      <family val="3"/>
      <charset val="128"/>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1"/>
        <bgColor indexed="64"/>
      </patternFill>
    </fill>
    <fill>
      <patternFill patternType="solid">
        <fgColor indexed="13"/>
        <bgColor indexed="64"/>
      </patternFill>
    </fill>
    <fill>
      <patternFill patternType="solid">
        <fgColor indexed="43"/>
        <bgColor indexed="64"/>
      </patternFill>
    </fill>
    <fill>
      <patternFill patternType="solid">
        <fgColor indexed="11"/>
        <bgColor indexed="64"/>
      </patternFill>
    </fill>
    <fill>
      <patternFill patternType="solid">
        <fgColor indexed="9"/>
        <bgColor indexed="64"/>
      </patternFill>
    </fill>
    <fill>
      <patternFill patternType="solid">
        <fgColor indexed="42"/>
        <bgColor indexed="64"/>
      </patternFill>
    </fill>
    <fill>
      <patternFill patternType="solid">
        <fgColor indexed="27"/>
        <bgColor indexed="64"/>
      </patternFill>
    </fill>
    <fill>
      <patternFill patternType="solid">
        <fgColor indexed="44"/>
        <bgColor indexed="64"/>
      </patternFill>
    </fill>
    <fill>
      <patternFill patternType="solid">
        <fgColor indexed="40"/>
        <bgColor indexed="64"/>
      </patternFill>
    </fill>
    <fill>
      <patternFill patternType="solid">
        <fgColor indexed="47"/>
        <bgColor indexed="64"/>
      </patternFill>
    </fill>
    <fill>
      <patternFill patternType="solid">
        <fgColor theme="0" tint="-4.9989318521683403E-2"/>
        <bgColor indexed="64"/>
      </patternFill>
    </fill>
    <fill>
      <patternFill patternType="solid">
        <fgColor rgb="FFFFFF00"/>
        <bgColor indexed="64"/>
      </patternFill>
    </fill>
  </fills>
  <borders count="13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medium">
        <color indexed="64"/>
      </right>
      <top/>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medium">
        <color indexed="64"/>
      </right>
      <top style="dotted">
        <color indexed="64"/>
      </top>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top style="thin">
        <color indexed="64"/>
      </top>
      <bottom/>
      <diagonal/>
    </border>
    <border>
      <left style="thin">
        <color indexed="64"/>
      </left>
      <right style="thin">
        <color indexed="64"/>
      </right>
      <top/>
      <bottom style="thin">
        <color indexed="64"/>
      </bottom>
      <diagonal/>
    </border>
    <border>
      <left/>
      <right/>
      <top/>
      <bottom style="hair">
        <color indexed="64"/>
      </bottom>
      <diagonal/>
    </border>
    <border>
      <left style="thin">
        <color indexed="64"/>
      </left>
      <right style="thin">
        <color indexed="64"/>
      </right>
      <top style="dotted">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top/>
      <bottom style="thin">
        <color indexed="64"/>
      </bottom>
      <diagonal/>
    </border>
    <border>
      <left style="double">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right style="thin">
        <color indexed="64"/>
      </right>
      <top style="hair">
        <color indexed="64"/>
      </top>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bottom style="dotted">
        <color indexed="64"/>
      </bottom>
      <diagonal/>
    </border>
    <border>
      <left/>
      <right/>
      <top style="dotted">
        <color indexed="64"/>
      </top>
      <bottom style="dotted">
        <color indexed="64"/>
      </bottom>
      <diagonal/>
    </border>
    <border>
      <left/>
      <right/>
      <top style="dotted">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bottom style="dotted">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right style="dotted">
        <color indexed="64"/>
      </right>
      <top style="medium">
        <color indexed="64"/>
      </top>
      <bottom style="thin">
        <color indexed="64"/>
      </bottom>
      <diagonal/>
    </border>
  </borders>
  <cellStyleXfs count="56">
    <xf numFmtId="0" fontId="0" fillId="0" borderId="0">
      <alignment vertical="center"/>
    </xf>
    <xf numFmtId="0" fontId="35" fillId="2" borderId="0" applyNumberFormat="0" applyBorder="0" applyAlignment="0" applyProtection="0">
      <alignment vertical="center"/>
    </xf>
    <xf numFmtId="0" fontId="35" fillId="3" borderId="0" applyNumberFormat="0" applyBorder="0" applyAlignment="0" applyProtection="0">
      <alignment vertical="center"/>
    </xf>
    <xf numFmtId="0" fontId="35" fillId="4" borderId="0" applyNumberFormat="0" applyBorder="0" applyAlignment="0" applyProtection="0">
      <alignment vertical="center"/>
    </xf>
    <xf numFmtId="0" fontId="35" fillId="5" borderId="0" applyNumberFormat="0" applyBorder="0" applyAlignment="0" applyProtection="0">
      <alignment vertical="center"/>
    </xf>
    <xf numFmtId="0" fontId="35" fillId="6" borderId="0" applyNumberFormat="0" applyBorder="0" applyAlignment="0" applyProtection="0">
      <alignment vertical="center"/>
    </xf>
    <xf numFmtId="0" fontId="35" fillId="7" borderId="0" applyNumberFormat="0" applyBorder="0" applyAlignment="0" applyProtection="0">
      <alignment vertical="center"/>
    </xf>
    <xf numFmtId="0" fontId="35" fillId="8" borderId="0" applyNumberFormat="0" applyBorder="0" applyAlignment="0" applyProtection="0">
      <alignment vertical="center"/>
    </xf>
    <xf numFmtId="0" fontId="35" fillId="9" borderId="0" applyNumberFormat="0" applyBorder="0" applyAlignment="0" applyProtection="0">
      <alignment vertical="center"/>
    </xf>
    <xf numFmtId="0" fontId="35" fillId="10" borderId="0" applyNumberFormat="0" applyBorder="0" applyAlignment="0" applyProtection="0">
      <alignment vertical="center"/>
    </xf>
    <xf numFmtId="0" fontId="35" fillId="5" borderId="0" applyNumberFormat="0" applyBorder="0" applyAlignment="0" applyProtection="0">
      <alignment vertical="center"/>
    </xf>
    <xf numFmtId="0" fontId="35" fillId="8" borderId="0" applyNumberFormat="0" applyBorder="0" applyAlignment="0" applyProtection="0">
      <alignment vertical="center"/>
    </xf>
    <xf numFmtId="0" fontId="35" fillId="11" borderId="0" applyNumberFormat="0" applyBorder="0" applyAlignment="0" applyProtection="0">
      <alignment vertical="center"/>
    </xf>
    <xf numFmtId="0" fontId="33" fillId="12" borderId="0" applyNumberFormat="0" applyBorder="0" applyAlignment="0" applyProtection="0">
      <alignment vertical="center"/>
    </xf>
    <xf numFmtId="0" fontId="33" fillId="9" borderId="0" applyNumberFormat="0" applyBorder="0" applyAlignment="0" applyProtection="0">
      <alignment vertical="center"/>
    </xf>
    <xf numFmtId="0" fontId="33" fillId="10" borderId="0" applyNumberFormat="0" applyBorder="0" applyAlignment="0" applyProtection="0">
      <alignment vertical="center"/>
    </xf>
    <xf numFmtId="0" fontId="33" fillId="13" borderId="0" applyNumberFormat="0" applyBorder="0" applyAlignment="0" applyProtection="0">
      <alignment vertical="center"/>
    </xf>
    <xf numFmtId="0" fontId="33" fillId="14"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3" fillId="18" borderId="0" applyNumberFormat="0" applyBorder="0" applyAlignment="0" applyProtection="0">
      <alignment vertical="center"/>
    </xf>
    <xf numFmtId="0" fontId="33" fillId="13" borderId="0" applyNumberFormat="0" applyBorder="0" applyAlignment="0" applyProtection="0">
      <alignment vertical="center"/>
    </xf>
    <xf numFmtId="0" fontId="33" fillId="14" borderId="0" applyNumberFormat="0" applyBorder="0" applyAlignment="0" applyProtection="0">
      <alignment vertical="center"/>
    </xf>
    <xf numFmtId="0" fontId="33" fillId="19" borderId="0" applyNumberFormat="0" applyBorder="0" applyAlignment="0" applyProtection="0">
      <alignment vertical="center"/>
    </xf>
    <xf numFmtId="0" fontId="36" fillId="0" borderId="0" applyNumberFormat="0" applyFill="0" applyBorder="0" applyAlignment="0" applyProtection="0">
      <alignment vertical="center"/>
    </xf>
    <xf numFmtId="0" fontId="16" fillId="20" borderId="1" applyNumberFormat="0" applyAlignment="0" applyProtection="0">
      <alignment vertical="center"/>
    </xf>
    <xf numFmtId="0" fontId="37" fillId="21" borderId="0" applyNumberFormat="0" applyBorder="0" applyAlignment="0" applyProtection="0">
      <alignment vertical="center"/>
    </xf>
    <xf numFmtId="0" fontId="9" fillId="0" borderId="0" applyNumberFormat="0" applyFill="0" applyBorder="0" applyAlignment="0" applyProtection="0">
      <alignment vertical="top"/>
      <protection locked="0"/>
    </xf>
    <xf numFmtId="0" fontId="1" fillId="22" borderId="2" applyNumberFormat="0" applyFont="0" applyAlignment="0" applyProtection="0">
      <alignment vertical="center"/>
    </xf>
    <xf numFmtId="0" fontId="38" fillId="0" borderId="3" applyNumberFormat="0" applyFill="0" applyAlignment="0" applyProtection="0">
      <alignment vertical="center"/>
    </xf>
    <xf numFmtId="0" fontId="39" fillId="3" borderId="0" applyNumberFormat="0" applyBorder="0" applyAlignment="0" applyProtection="0">
      <alignment vertical="center"/>
    </xf>
    <xf numFmtId="0" fontId="40" fillId="23" borderId="4" applyNumberFormat="0" applyAlignment="0" applyProtection="0">
      <alignment vertical="center"/>
    </xf>
    <xf numFmtId="0" fontId="6" fillId="0" borderId="0" applyNumberFormat="0" applyFill="0" applyBorder="0" applyAlignment="0" applyProtection="0">
      <alignment vertical="center"/>
    </xf>
    <xf numFmtId="0" fontId="41" fillId="0" borderId="5" applyNumberFormat="0" applyFill="0" applyAlignment="0" applyProtection="0">
      <alignment vertical="center"/>
    </xf>
    <xf numFmtId="0" fontId="42" fillId="0" borderId="6" applyNumberFormat="0" applyFill="0" applyAlignment="0" applyProtection="0">
      <alignment vertical="center"/>
    </xf>
    <xf numFmtId="0" fontId="43" fillId="0" borderId="7" applyNumberFormat="0" applyFill="0" applyAlignment="0" applyProtection="0">
      <alignment vertical="center"/>
    </xf>
    <xf numFmtId="0" fontId="43" fillId="0" borderId="0" applyNumberFormat="0" applyFill="0" applyBorder="0" applyAlignment="0" applyProtection="0">
      <alignment vertical="center"/>
    </xf>
    <xf numFmtId="0" fontId="44" fillId="0" borderId="8" applyNumberFormat="0" applyFill="0" applyAlignment="0" applyProtection="0">
      <alignment vertical="center"/>
    </xf>
    <xf numFmtId="0" fontId="45" fillId="23" borderId="9" applyNumberFormat="0" applyAlignment="0" applyProtection="0">
      <alignment vertical="center"/>
    </xf>
    <xf numFmtId="0" fontId="46" fillId="0" borderId="0" applyNumberFormat="0" applyFill="0" applyBorder="0" applyAlignment="0" applyProtection="0">
      <alignment vertical="center"/>
    </xf>
    <xf numFmtId="0" fontId="47"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xf numFmtId="0" fontId="1" fillId="0" borderId="0">
      <alignment vertical="center"/>
    </xf>
    <xf numFmtId="0" fontId="53" fillId="0" borderId="0"/>
    <xf numFmtId="0" fontId="48" fillId="4" borderId="0" applyNumberFormat="0" applyBorder="0" applyAlignment="0" applyProtection="0">
      <alignment vertical="center"/>
    </xf>
    <xf numFmtId="0" fontId="1" fillId="0" borderId="0"/>
  </cellStyleXfs>
  <cellXfs count="982">
    <xf numFmtId="0" fontId="0" fillId="0" borderId="0" xfId="0">
      <alignment vertical="center"/>
    </xf>
    <xf numFmtId="0" fontId="1" fillId="0" borderId="0" xfId="45" applyFill="1"/>
    <xf numFmtId="0" fontId="3" fillId="0" borderId="0" xfId="45" applyFont="1" applyFill="1" applyBorder="1" applyAlignment="1">
      <alignment horizontal="center"/>
    </xf>
    <xf numFmtId="0" fontId="1" fillId="0" borderId="10" xfId="45" applyFont="1" applyFill="1" applyBorder="1" applyAlignment="1" applyProtection="1">
      <alignment horizontal="center" vertical="center"/>
      <protection locked="0"/>
    </xf>
    <xf numFmtId="0" fontId="1" fillId="0" borderId="11" xfId="45" applyFill="1" applyBorder="1" applyAlignment="1">
      <alignment wrapText="1"/>
    </xf>
    <xf numFmtId="0" fontId="1" fillId="0" borderId="0" xfId="45" applyFont="1" applyFill="1" applyBorder="1" applyAlignment="1">
      <alignment wrapText="1"/>
    </xf>
    <xf numFmtId="0" fontId="1" fillId="0" borderId="0" xfId="52" applyFont="1" applyFill="1">
      <alignment vertical="center"/>
    </xf>
    <xf numFmtId="0" fontId="4" fillId="0" borderId="0" xfId="52" applyFont="1" applyFill="1">
      <alignment vertical="center"/>
    </xf>
    <xf numFmtId="0" fontId="12" fillId="0" borderId="0" xfId="52" applyFont="1" applyFill="1">
      <alignment vertical="center"/>
    </xf>
    <xf numFmtId="49" fontId="13" fillId="0" borderId="0" xfId="52" applyNumberFormat="1" applyFont="1" applyFill="1" applyAlignment="1" applyProtection="1">
      <alignment horizontal="right"/>
      <protection locked="0"/>
    </xf>
    <xf numFmtId="0" fontId="14" fillId="0" borderId="0" xfId="52" applyFont="1" applyFill="1">
      <alignment vertical="center"/>
    </xf>
    <xf numFmtId="0" fontId="1" fillId="0" borderId="0" xfId="51" applyBorder="1"/>
    <xf numFmtId="14" fontId="13" fillId="0" borderId="0" xfId="52" applyNumberFormat="1" applyFont="1" applyFill="1" applyAlignment="1" applyProtection="1">
      <alignment horizontal="right"/>
      <protection locked="0"/>
    </xf>
    <xf numFmtId="0" fontId="15" fillId="0" borderId="0" xfId="52" applyFont="1" applyFill="1">
      <alignment vertical="center"/>
    </xf>
    <xf numFmtId="0" fontId="1" fillId="0" borderId="0" xfId="52" applyFont="1" applyFill="1" applyAlignment="1">
      <alignment horizontal="right" vertical="top"/>
    </xf>
    <xf numFmtId="0" fontId="1" fillId="0" borderId="0" xfId="52" applyFont="1" applyFill="1" applyAlignment="1">
      <alignment vertical="top"/>
    </xf>
    <xf numFmtId="0" fontId="18" fillId="0" borderId="0" xfId="52" applyFont="1" applyFill="1">
      <alignment vertical="center"/>
    </xf>
    <xf numFmtId="0" fontId="4" fillId="24" borderId="12" xfId="52" applyFont="1" applyFill="1" applyBorder="1" applyAlignment="1">
      <alignment horizontal="left" vertical="center"/>
    </xf>
    <xf numFmtId="0" fontId="4" fillId="24" borderId="13" xfId="52" applyFont="1" applyFill="1" applyBorder="1" applyAlignment="1">
      <alignment horizontal="left" vertical="center"/>
    </xf>
    <xf numFmtId="0" fontId="4" fillId="24" borderId="14" xfId="52" applyFont="1" applyFill="1" applyBorder="1" applyAlignment="1">
      <alignment horizontal="left" vertical="center"/>
    </xf>
    <xf numFmtId="0" fontId="4" fillId="0" borderId="13" xfId="52" applyFont="1" applyFill="1" applyBorder="1" applyAlignment="1" applyProtection="1">
      <alignment horizontal="left" vertical="center" shrinkToFit="1"/>
      <protection locked="0"/>
    </xf>
    <xf numFmtId="0" fontId="1" fillId="0" borderId="0" xfId="52" applyFont="1" applyFill="1" applyBorder="1">
      <alignment vertical="center"/>
    </xf>
    <xf numFmtId="0" fontId="17" fillId="0" borderId="15" xfId="45" applyFont="1" applyFill="1" applyBorder="1" applyAlignment="1" applyProtection="1">
      <alignment horizontal="left" vertical="center"/>
      <protection locked="0"/>
    </xf>
    <xf numFmtId="0" fontId="17" fillId="0" borderId="16" xfId="45" applyFont="1" applyFill="1" applyBorder="1" applyAlignment="1" applyProtection="1">
      <alignment horizontal="left" vertical="center"/>
      <protection locked="0"/>
    </xf>
    <xf numFmtId="0" fontId="4" fillId="0" borderId="16" xfId="52" applyFont="1" applyFill="1" applyBorder="1" applyAlignment="1">
      <alignment horizontal="left" vertical="center"/>
    </xf>
    <xf numFmtId="0" fontId="4" fillId="0" borderId="0" xfId="52" applyFont="1" applyFill="1" applyBorder="1">
      <alignment vertical="center"/>
    </xf>
    <xf numFmtId="0" fontId="17" fillId="0" borderId="17" xfId="45" applyFont="1" applyFill="1" applyBorder="1" applyAlignment="1" applyProtection="1">
      <alignment vertical="center"/>
      <protection locked="0"/>
    </xf>
    <xf numFmtId="0" fontId="17" fillId="0" borderId="18" xfId="45" applyFont="1" applyFill="1" applyBorder="1" applyAlignment="1" applyProtection="1">
      <alignment vertical="center"/>
      <protection locked="0"/>
    </xf>
    <xf numFmtId="0" fontId="17" fillId="0" borderId="17" xfId="45" applyFont="1" applyFill="1" applyBorder="1" applyAlignment="1" applyProtection="1">
      <alignment horizontal="left" vertical="center"/>
      <protection locked="0"/>
    </xf>
    <xf numFmtId="0" fontId="4" fillId="0" borderId="13" xfId="52" applyFont="1" applyFill="1" applyBorder="1" applyAlignment="1">
      <alignment horizontal="left" vertical="center"/>
    </xf>
    <xf numFmtId="0" fontId="4" fillId="0" borderId="19" xfId="52" applyFont="1" applyFill="1" applyBorder="1" applyAlignment="1" applyProtection="1">
      <alignment horizontal="left" vertical="center" shrinkToFit="1"/>
      <protection locked="0"/>
    </xf>
    <xf numFmtId="0" fontId="17" fillId="0" borderId="20" xfId="45" applyFont="1" applyFill="1" applyBorder="1" applyAlignment="1" applyProtection="1">
      <alignment horizontal="left" vertical="center"/>
      <protection locked="0"/>
    </xf>
    <xf numFmtId="0" fontId="17" fillId="0" borderId="21" xfId="45" applyFont="1" applyFill="1" applyBorder="1" applyAlignment="1" applyProtection="1">
      <alignment horizontal="left" vertical="center"/>
      <protection locked="0"/>
    </xf>
    <xf numFmtId="0" fontId="1" fillId="0" borderId="0" xfId="45" applyFont="1" applyFill="1" applyBorder="1" applyAlignment="1" applyProtection="1">
      <alignment horizontal="center" vertical="center"/>
      <protection locked="0"/>
    </xf>
    <xf numFmtId="0" fontId="17" fillId="0" borderId="22" xfId="45" applyFont="1" applyFill="1" applyBorder="1" applyAlignment="1" applyProtection="1">
      <alignment horizontal="left" vertical="center"/>
      <protection locked="0"/>
    </xf>
    <xf numFmtId="0" fontId="1" fillId="0" borderId="0" xfId="52" applyFill="1">
      <alignment vertical="center"/>
    </xf>
    <xf numFmtId="0" fontId="1" fillId="0" borderId="0" xfId="51" applyFill="1" applyBorder="1"/>
    <xf numFmtId="0" fontId="1" fillId="0" borderId="0" xfId="52" applyFill="1" applyBorder="1">
      <alignment vertical="center"/>
    </xf>
    <xf numFmtId="0" fontId="24" fillId="0" borderId="0" xfId="0" applyFont="1" applyAlignment="1">
      <alignment vertical="center"/>
    </xf>
    <xf numFmtId="0" fontId="25" fillId="0" borderId="0" xfId="0" applyFont="1" applyAlignment="1">
      <alignmen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lignment vertical="center"/>
    </xf>
    <xf numFmtId="0" fontId="24" fillId="0" borderId="0" xfId="0" applyFont="1" applyAlignment="1">
      <alignment horizontal="center" vertical="center"/>
    </xf>
    <xf numFmtId="0" fontId="25" fillId="0" borderId="0" xfId="0" applyFont="1">
      <alignment vertical="center"/>
    </xf>
    <xf numFmtId="0" fontId="4" fillId="0" borderId="0" xfId="0" applyFont="1" applyAlignment="1">
      <alignment horizontal="right" vertical="center"/>
    </xf>
    <xf numFmtId="0" fontId="4" fillId="0" borderId="0" xfId="0" applyFont="1">
      <alignment vertical="center"/>
    </xf>
    <xf numFmtId="0" fontId="0" fillId="0" borderId="23" xfId="0" applyBorder="1">
      <alignment vertical="center"/>
    </xf>
    <xf numFmtId="0" fontId="0" fillId="0" borderId="13" xfId="0" applyBorder="1">
      <alignment vertical="center"/>
    </xf>
    <xf numFmtId="0" fontId="1" fillId="0" borderId="13" xfId="0" applyFont="1" applyBorder="1">
      <alignment vertical="center"/>
    </xf>
    <xf numFmtId="0" fontId="0" fillId="0" borderId="13" xfId="0" applyFill="1" applyBorder="1">
      <alignment vertical="center"/>
    </xf>
    <xf numFmtId="0" fontId="0" fillId="0" borderId="13" xfId="0" applyBorder="1" applyAlignment="1">
      <alignment vertical="center"/>
    </xf>
    <xf numFmtId="0" fontId="0" fillId="0" borderId="19" xfId="0" applyBorder="1">
      <alignment vertical="center"/>
    </xf>
    <xf numFmtId="0" fontId="3" fillId="0" borderId="13" xfId="0" applyFont="1" applyBorder="1" applyAlignment="1" applyProtection="1">
      <alignment vertical="center"/>
      <protection locked="0"/>
    </xf>
    <xf numFmtId="0" fontId="0" fillId="0" borderId="24" xfId="0" applyBorder="1">
      <alignment vertical="center"/>
    </xf>
    <xf numFmtId="0" fontId="0" fillId="0" borderId="0" xfId="0" applyFill="1" applyBorder="1">
      <alignment vertical="center"/>
    </xf>
    <xf numFmtId="0" fontId="0" fillId="0" borderId="11" xfId="0" applyBorder="1" applyAlignment="1">
      <alignment vertical="center"/>
    </xf>
    <xf numFmtId="0" fontId="0" fillId="0" borderId="11" xfId="0" applyBorder="1">
      <alignment vertical="center"/>
    </xf>
    <xf numFmtId="0" fontId="0" fillId="0" borderId="25" xfId="0" applyBorder="1">
      <alignment vertical="center"/>
    </xf>
    <xf numFmtId="0" fontId="0" fillId="0" borderId="11" xfId="0" applyFill="1" applyBorder="1">
      <alignment vertical="center"/>
    </xf>
    <xf numFmtId="0" fontId="3" fillId="0" borderId="11" xfId="0" applyFont="1" applyBorder="1">
      <alignment vertical="center"/>
    </xf>
    <xf numFmtId="0" fontId="0" fillId="0" borderId="26" xfId="0" applyBorder="1">
      <alignment vertical="center"/>
    </xf>
    <xf numFmtId="0" fontId="27" fillId="0" borderId="0" xfId="0" applyFont="1">
      <alignment vertical="center"/>
    </xf>
    <xf numFmtId="0" fontId="0" fillId="0" borderId="21" xfId="0" applyBorder="1">
      <alignment vertical="center"/>
    </xf>
    <xf numFmtId="0" fontId="0" fillId="0" borderId="27" xfId="0" applyBorder="1">
      <alignment vertical="center"/>
    </xf>
    <xf numFmtId="0" fontId="0" fillId="0" borderId="28" xfId="0" applyBorder="1">
      <alignment vertical="center"/>
    </xf>
    <xf numFmtId="0" fontId="0" fillId="0" borderId="28" xfId="0" applyBorder="1" applyAlignment="1">
      <alignment horizontal="right" vertical="center"/>
    </xf>
    <xf numFmtId="0" fontId="0" fillId="0" borderId="28" xfId="0" applyFill="1" applyBorder="1">
      <alignment vertical="center"/>
    </xf>
    <xf numFmtId="0" fontId="26" fillId="0" borderId="28" xfId="0" applyFont="1" applyBorder="1" applyProtection="1">
      <alignment vertical="center"/>
      <protection locked="0"/>
    </xf>
    <xf numFmtId="0" fontId="0" fillId="0" borderId="29" xfId="0" applyBorder="1">
      <alignment vertical="center"/>
    </xf>
    <xf numFmtId="0" fontId="0" fillId="0" borderId="27" xfId="0" applyBorder="1" applyProtection="1">
      <alignment vertical="center"/>
      <protection locked="0"/>
    </xf>
    <xf numFmtId="0" fontId="0" fillId="0" borderId="30" xfId="0" applyBorder="1">
      <alignment vertical="center"/>
    </xf>
    <xf numFmtId="0" fontId="0" fillId="0" borderId="0" xfId="0" applyBorder="1">
      <alignment vertical="center"/>
    </xf>
    <xf numFmtId="0" fontId="0" fillId="0" borderId="31" xfId="0" applyBorder="1">
      <alignment vertical="center"/>
    </xf>
    <xf numFmtId="0" fontId="0" fillId="0" borderId="20" xfId="0" applyBorder="1">
      <alignment vertical="center"/>
    </xf>
    <xf numFmtId="0" fontId="0" fillId="0" borderId="17" xfId="0" applyBorder="1">
      <alignment vertical="center"/>
    </xf>
    <xf numFmtId="0" fontId="0" fillId="0" borderId="32" xfId="0" applyBorder="1">
      <alignment vertical="center"/>
    </xf>
    <xf numFmtId="0" fontId="28" fillId="0" borderId="20" xfId="0" applyFont="1" applyBorder="1" applyAlignment="1">
      <alignment vertical="center"/>
    </xf>
    <xf numFmtId="0" fontId="28" fillId="0" borderId="17" xfId="0" applyFont="1" applyBorder="1" applyAlignment="1">
      <alignment vertical="center"/>
    </xf>
    <xf numFmtId="0" fontId="0" fillId="0" borderId="33" xfId="0" applyBorder="1">
      <alignment vertical="center"/>
    </xf>
    <xf numFmtId="0" fontId="0" fillId="0" borderId="30" xfId="0" applyBorder="1" applyProtection="1">
      <alignment vertical="center"/>
      <protection locked="0"/>
    </xf>
    <xf numFmtId="0" fontId="0" fillId="0" borderId="30" xfId="0" applyBorder="1" applyAlignment="1">
      <alignment vertical="center"/>
    </xf>
    <xf numFmtId="0" fontId="0" fillId="0" borderId="25" xfId="0" applyBorder="1" applyProtection="1">
      <alignment vertical="center"/>
      <protection locked="0"/>
    </xf>
    <xf numFmtId="0" fontId="0" fillId="0" borderId="27" xfId="0" applyFill="1" applyBorder="1">
      <alignment vertical="center"/>
    </xf>
    <xf numFmtId="0" fontId="0" fillId="0" borderId="34" xfId="0" applyBorder="1">
      <alignment vertical="center"/>
    </xf>
    <xf numFmtId="0" fontId="0" fillId="0" borderId="35" xfId="0" applyBorder="1">
      <alignment vertical="center"/>
    </xf>
    <xf numFmtId="0" fontId="0" fillId="0" borderId="36" xfId="0" applyBorder="1">
      <alignment vertical="center"/>
    </xf>
    <xf numFmtId="0" fontId="29" fillId="0" borderId="25" xfId="0" applyFont="1" applyBorder="1">
      <alignment vertical="center"/>
    </xf>
    <xf numFmtId="0" fontId="29" fillId="0" borderId="11" xfId="0" applyFont="1" applyBorder="1">
      <alignment vertical="center"/>
    </xf>
    <xf numFmtId="0" fontId="29" fillId="0" borderId="26" xfId="0" applyFont="1" applyBorder="1" applyAlignment="1">
      <alignment horizontal="right" vertical="center"/>
    </xf>
    <xf numFmtId="0" fontId="3" fillId="0" borderId="11" xfId="0" applyFont="1" applyBorder="1" applyAlignment="1" applyProtection="1">
      <alignment vertical="center"/>
      <protection locked="0"/>
    </xf>
    <xf numFmtId="0" fontId="1" fillId="0" borderId="27" xfId="0" applyFont="1" applyBorder="1" applyProtection="1">
      <alignment vertical="center"/>
      <protection locked="0"/>
    </xf>
    <xf numFmtId="0" fontId="0" fillId="0" borderId="28" xfId="0" applyBorder="1" applyProtection="1">
      <alignment vertical="center"/>
      <protection locked="0"/>
    </xf>
    <xf numFmtId="0" fontId="28" fillId="0" borderId="28" xfId="0" applyFont="1" applyBorder="1">
      <alignment vertical="center"/>
    </xf>
    <xf numFmtId="0" fontId="0" fillId="0" borderId="30" xfId="0" applyFill="1" applyBorder="1">
      <alignment vertical="center"/>
    </xf>
    <xf numFmtId="0" fontId="1" fillId="0" borderId="0" xfId="0" applyFont="1" applyBorder="1">
      <alignment vertical="center"/>
    </xf>
    <xf numFmtId="0" fontId="3" fillId="0" borderId="0" xfId="0" applyFont="1" applyBorder="1">
      <alignment vertical="center"/>
    </xf>
    <xf numFmtId="0" fontId="28" fillId="0" borderId="11" xfId="0" applyFont="1" applyBorder="1">
      <alignment vertical="center"/>
    </xf>
    <xf numFmtId="0" fontId="0" fillId="0" borderId="11" xfId="0" applyBorder="1" applyProtection="1">
      <alignment vertical="center"/>
      <protection locked="0"/>
    </xf>
    <xf numFmtId="0" fontId="1" fillId="0" borderId="28" xfId="0" applyFont="1" applyBorder="1">
      <alignment vertical="center"/>
    </xf>
    <xf numFmtId="0" fontId="26" fillId="0" borderId="28" xfId="0" applyFont="1" applyBorder="1" applyAlignment="1" applyProtection="1">
      <alignment horizontal="center" vertical="center"/>
      <protection locked="0"/>
    </xf>
    <xf numFmtId="0" fontId="0" fillId="0" borderId="37" xfId="0" applyBorder="1">
      <alignment vertical="center"/>
    </xf>
    <xf numFmtId="0" fontId="0" fillId="0" borderId="18" xfId="0" applyBorder="1">
      <alignment vertical="center"/>
    </xf>
    <xf numFmtId="0" fontId="1" fillId="0" borderId="27" xfId="0" applyFont="1" applyBorder="1">
      <alignment vertical="center"/>
    </xf>
    <xf numFmtId="0" fontId="28" fillId="0" borderId="13" xfId="0" applyFont="1" applyBorder="1">
      <alignment vertical="center"/>
    </xf>
    <xf numFmtId="0" fontId="29" fillId="0" borderId="13" xfId="0" applyFont="1" applyBorder="1">
      <alignment vertical="center"/>
    </xf>
    <xf numFmtId="0" fontId="1" fillId="0" borderId="30" xfId="0" applyFont="1" applyBorder="1">
      <alignment vertical="center"/>
    </xf>
    <xf numFmtId="0" fontId="29" fillId="0" borderId="0" xfId="0" applyFont="1" applyBorder="1">
      <alignment vertical="center"/>
    </xf>
    <xf numFmtId="0" fontId="0" fillId="0" borderId="37" xfId="0" applyBorder="1" applyAlignment="1">
      <alignment horizontal="right" vertical="center"/>
    </xf>
    <xf numFmtId="0" fontId="0" fillId="0" borderId="38" xfId="0" applyBorder="1">
      <alignment vertical="center"/>
    </xf>
    <xf numFmtId="0" fontId="17" fillId="0" borderId="0" xfId="0" applyFont="1">
      <alignment vertical="center"/>
    </xf>
    <xf numFmtId="0" fontId="0" fillId="0" borderId="0" xfId="0" applyBorder="1" applyAlignment="1">
      <alignment vertical="center"/>
    </xf>
    <xf numFmtId="0" fontId="0" fillId="0" borderId="0" xfId="0" applyAlignment="1">
      <alignment vertical="center"/>
    </xf>
    <xf numFmtId="0" fontId="31" fillId="0" borderId="0" xfId="0" applyFont="1" applyBorder="1">
      <alignment vertical="center"/>
    </xf>
    <xf numFmtId="0" fontId="0" fillId="0" borderId="31" xfId="0" applyBorder="1" applyAlignment="1">
      <alignment vertical="center"/>
    </xf>
    <xf numFmtId="0" fontId="0" fillId="0" borderId="12" xfId="0" applyBorder="1">
      <alignment vertical="center"/>
    </xf>
    <xf numFmtId="0" fontId="0" fillId="0" borderId="24" xfId="0" applyBorder="1" applyAlignment="1">
      <alignment vertical="center"/>
    </xf>
    <xf numFmtId="0" fontId="6" fillId="0" borderId="39" xfId="0" applyFont="1" applyBorder="1">
      <alignment vertical="center"/>
    </xf>
    <xf numFmtId="0" fontId="26" fillId="0" borderId="27" xfId="0" applyFont="1" applyBorder="1" applyAlignment="1" applyProtection="1">
      <alignment horizontal="center" vertical="center"/>
      <protection locked="0"/>
    </xf>
    <xf numFmtId="0" fontId="26" fillId="0" borderId="29" xfId="0" applyFont="1" applyBorder="1" applyAlignment="1" applyProtection="1">
      <alignment horizontal="center" vertical="center"/>
      <protection locked="0"/>
    </xf>
    <xf numFmtId="0" fontId="26" fillId="0" borderId="30" xfId="0" applyFont="1" applyBorder="1" applyAlignment="1" applyProtection="1">
      <alignment horizontal="center" vertical="center"/>
      <protection locked="0"/>
    </xf>
    <xf numFmtId="0" fontId="26" fillId="0" borderId="0" xfId="0" applyFont="1" applyBorder="1" applyAlignment="1" applyProtection="1">
      <alignment horizontal="center" vertical="center"/>
      <protection locked="0"/>
    </xf>
    <xf numFmtId="0" fontId="26" fillId="0" borderId="31" xfId="0" applyFont="1" applyBorder="1" applyAlignment="1" applyProtection="1">
      <alignment horizontal="center" vertical="center"/>
      <protection locked="0"/>
    </xf>
    <xf numFmtId="0" fontId="0" fillId="0" borderId="39" xfId="0" applyBorder="1">
      <alignment vertical="center"/>
    </xf>
    <xf numFmtId="0" fontId="0" fillId="0" borderId="0" xfId="0" applyBorder="1" applyProtection="1">
      <alignment vertical="center"/>
      <protection locked="0"/>
    </xf>
    <xf numFmtId="0" fontId="0" fillId="0" borderId="31" xfId="0" applyBorder="1" applyProtection="1">
      <alignment vertical="center"/>
      <protection locked="0"/>
    </xf>
    <xf numFmtId="0" fontId="0" fillId="0" borderId="40" xfId="0" applyBorder="1">
      <alignment vertical="center"/>
    </xf>
    <xf numFmtId="0" fontId="0" fillId="0" borderId="41" xfId="0" applyBorder="1">
      <alignment vertical="center"/>
    </xf>
    <xf numFmtId="0" fontId="0" fillId="0" borderId="42" xfId="0" applyBorder="1">
      <alignment vertical="center"/>
    </xf>
    <xf numFmtId="0" fontId="0" fillId="0" borderId="37" xfId="0" applyBorder="1" applyProtection="1">
      <alignment vertical="center"/>
      <protection locked="0"/>
    </xf>
    <xf numFmtId="0" fontId="0" fillId="0" borderId="18" xfId="0" applyBorder="1" applyProtection="1">
      <alignment vertical="center"/>
      <protection locked="0"/>
    </xf>
    <xf numFmtId="0" fontId="0" fillId="0" borderId="38" xfId="0" applyBorder="1" applyProtection="1">
      <alignment vertical="center"/>
      <protection locked="0"/>
    </xf>
    <xf numFmtId="0" fontId="0" fillId="0" borderId="43" xfId="0" applyBorder="1">
      <alignment vertical="center"/>
    </xf>
    <xf numFmtId="0" fontId="4" fillId="0" borderId="0" xfId="0" applyFont="1" applyFill="1" applyBorder="1" applyAlignment="1">
      <alignment vertical="center" textRotation="255" wrapText="1"/>
    </xf>
    <xf numFmtId="0" fontId="1" fillId="0" borderId="0" xfId="0" applyFont="1" applyFill="1" applyBorder="1">
      <alignment vertical="center"/>
    </xf>
    <xf numFmtId="0" fontId="12" fillId="0" borderId="0" xfId="0" applyFont="1" applyFill="1" applyBorder="1" applyAlignment="1">
      <alignment horizontal="center" vertical="center"/>
    </xf>
    <xf numFmtId="0" fontId="6" fillId="0" borderId="0" xfId="0" applyFont="1">
      <alignment vertical="center"/>
    </xf>
    <xf numFmtId="0" fontId="1" fillId="0" borderId="0" xfId="0" applyFont="1" applyFill="1" applyBorder="1" applyAlignment="1">
      <alignment horizontal="right"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0" fillId="0" borderId="0" xfId="0" applyFill="1" applyBorder="1" applyAlignment="1">
      <alignment vertical="center" textRotation="255"/>
    </xf>
    <xf numFmtId="0" fontId="26" fillId="0" borderId="0" xfId="0" applyFont="1" applyFill="1" applyBorder="1" applyAlignment="1">
      <alignment horizontal="center" vertical="center"/>
    </xf>
    <xf numFmtId="0" fontId="0" fillId="0" borderId="12" xfId="0" applyFill="1" applyBorder="1" applyAlignment="1" applyProtection="1">
      <alignment horizontal="center" vertical="center"/>
      <protection locked="0"/>
    </xf>
    <xf numFmtId="0" fontId="0" fillId="0" borderId="13" xfId="0" applyFill="1" applyBorder="1" applyAlignment="1" applyProtection="1">
      <alignment horizontal="center" vertical="center"/>
      <protection locked="0"/>
    </xf>
    <xf numFmtId="0" fontId="0" fillId="0" borderId="13" xfId="0" applyFill="1" applyBorder="1" applyAlignment="1" applyProtection="1">
      <alignment horizontal="left" vertical="center"/>
      <protection locked="0"/>
    </xf>
    <xf numFmtId="0" fontId="0" fillId="0" borderId="13" xfId="0" applyFill="1" applyBorder="1" applyAlignment="1" applyProtection="1">
      <alignment vertical="center"/>
      <protection locked="0"/>
    </xf>
    <xf numFmtId="0" fontId="6" fillId="0" borderId="13" xfId="0" applyFont="1" applyFill="1" applyBorder="1" applyAlignment="1" applyProtection="1">
      <alignment vertical="center"/>
      <protection locked="0"/>
    </xf>
    <xf numFmtId="0" fontId="0" fillId="0" borderId="13" xfId="0" applyBorder="1" applyProtection="1">
      <alignment vertical="center"/>
      <protection locked="0"/>
    </xf>
    <xf numFmtId="0" fontId="0" fillId="0" borderId="19" xfId="0" applyBorder="1" applyProtection="1">
      <alignment vertical="center"/>
      <protection locked="0"/>
    </xf>
    <xf numFmtId="0" fontId="0" fillId="0" borderId="39" xfId="0"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19" fillId="0" borderId="0" xfId="0" applyFont="1" applyFill="1" applyBorder="1" applyAlignment="1" applyProtection="1">
      <alignment horizontal="center" vertical="center"/>
      <protection locked="0"/>
    </xf>
    <xf numFmtId="0" fontId="0" fillId="0" borderId="39" xfId="0"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19" fillId="0" borderId="39" xfId="0" applyFont="1" applyFill="1" applyBorder="1" applyAlignment="1" applyProtection="1">
      <alignment horizontal="center" vertical="center"/>
      <protection locked="0"/>
    </xf>
    <xf numFmtId="0" fontId="6" fillId="0" borderId="39"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0" fillId="0" borderId="39" xfId="0" applyBorder="1" applyProtection="1">
      <alignment vertical="center"/>
      <protection locked="0"/>
    </xf>
    <xf numFmtId="0" fontId="0" fillId="0" borderId="42" xfId="0" applyBorder="1" applyProtection="1">
      <alignment vertical="center"/>
      <protection locked="0"/>
    </xf>
    <xf numFmtId="0" fontId="15" fillId="0" borderId="0" xfId="52" applyFont="1">
      <alignment vertical="center"/>
    </xf>
    <xf numFmtId="0" fontId="1" fillId="0" borderId="0" xfId="52">
      <alignment vertical="center"/>
    </xf>
    <xf numFmtId="0" fontId="1" fillId="0" borderId="0" xfId="45" applyFill="1" applyBorder="1" applyAlignment="1">
      <alignment vertical="center"/>
    </xf>
    <xf numFmtId="0" fontId="1" fillId="25" borderId="0" xfId="52" applyFont="1" applyFill="1" applyBorder="1">
      <alignment vertical="center"/>
    </xf>
    <xf numFmtId="0" fontId="1" fillId="25" borderId="0" xfId="52" applyFont="1" applyFill="1">
      <alignment vertical="center"/>
    </xf>
    <xf numFmtId="0" fontId="1" fillId="0" borderId="25" xfId="0" applyFont="1" applyBorder="1">
      <alignment vertical="center"/>
    </xf>
    <xf numFmtId="0" fontId="0" fillId="0" borderId="10" xfId="0" applyBorder="1" applyAlignment="1">
      <alignment horizontal="center" vertical="center"/>
    </xf>
    <xf numFmtId="0" fontId="1" fillId="0" borderId="0" xfId="45" applyFill="1" applyAlignment="1">
      <alignment vertical="center"/>
    </xf>
    <xf numFmtId="0" fontId="33" fillId="0" borderId="0" xfId="45" applyFont="1" applyFill="1" applyAlignment="1">
      <alignment horizontal="center" vertical="center"/>
    </xf>
    <xf numFmtId="0" fontId="3" fillId="0" borderId="44" xfId="46" applyFont="1" applyFill="1" applyBorder="1" applyAlignment="1" applyProtection="1">
      <alignment vertical="center"/>
      <protection locked="0"/>
    </xf>
    <xf numFmtId="0" fontId="1" fillId="0" borderId="45" xfId="49" applyFont="1" applyFill="1" applyBorder="1"/>
    <xf numFmtId="0" fontId="1" fillId="0" borderId="45" xfId="49" applyFont="1" applyFill="1" applyBorder="1" applyAlignment="1">
      <alignment vertical="center"/>
    </xf>
    <xf numFmtId="0" fontId="1" fillId="0" borderId="0" xfId="49" applyFont="1" applyFill="1"/>
    <xf numFmtId="0" fontId="1" fillId="0" borderId="0" xfId="49" applyFont="1" applyFill="1" applyAlignment="1">
      <alignment horizontal="right"/>
    </xf>
    <xf numFmtId="0" fontId="1" fillId="0" borderId="0" xfId="49" applyFont="1" applyFill="1" applyAlignment="1">
      <alignment horizontal="center"/>
    </xf>
    <xf numFmtId="0" fontId="49" fillId="0" borderId="0" xfId="49" applyFont="1"/>
    <xf numFmtId="0" fontId="1" fillId="0" borderId="11" xfId="49" applyFont="1" applyFill="1" applyBorder="1"/>
    <xf numFmtId="0" fontId="1" fillId="0" borderId="30" xfId="49" applyFont="1" applyFill="1" applyBorder="1"/>
    <xf numFmtId="0" fontId="1" fillId="0" borderId="0" xfId="49" applyFont="1" applyFill="1" applyBorder="1"/>
    <xf numFmtId="0" fontId="1" fillId="0" borderId="21" xfId="49" applyFont="1" applyFill="1" applyBorder="1"/>
    <xf numFmtId="0" fontId="1" fillId="0" borderId="40" xfId="49" applyFont="1" applyFill="1" applyBorder="1"/>
    <xf numFmtId="0" fontId="51" fillId="26" borderId="46" xfId="0" applyFont="1" applyFill="1" applyBorder="1" applyAlignment="1">
      <alignment horizontal="center" vertical="center"/>
    </xf>
    <xf numFmtId="0" fontId="51" fillId="26" borderId="46" xfId="0" applyFont="1" applyFill="1" applyBorder="1" applyAlignment="1">
      <alignment vertical="center" wrapText="1"/>
    </xf>
    <xf numFmtId="0" fontId="51" fillId="26" borderId="46" xfId="0" applyFont="1" applyFill="1" applyBorder="1" applyAlignment="1">
      <alignment vertical="center"/>
    </xf>
    <xf numFmtId="0" fontId="3" fillId="0" borderId="44" xfId="46" applyFont="1" applyFill="1" applyBorder="1" applyAlignment="1" applyProtection="1">
      <alignment vertical="center" wrapText="1"/>
      <protection locked="0"/>
    </xf>
    <xf numFmtId="0" fontId="16" fillId="0" borderId="0" xfId="52" applyFont="1" applyFill="1" applyAlignment="1" applyProtection="1">
      <alignment horizontal="left" vertical="center"/>
      <protection locked="0"/>
    </xf>
    <xf numFmtId="0" fontId="16" fillId="0" borderId="0" xfId="52" applyFont="1" applyFill="1" applyBorder="1" applyAlignment="1" applyProtection="1">
      <alignment horizontal="left" vertical="center"/>
      <protection locked="0"/>
    </xf>
    <xf numFmtId="0" fontId="0" fillId="0" borderId="0" xfId="0" applyAlignment="1">
      <alignment horizontal="center" vertical="center"/>
    </xf>
    <xf numFmtId="0" fontId="54" fillId="0" borderId="0" xfId="28" applyFont="1" applyAlignment="1" applyProtection="1">
      <alignment vertical="center"/>
    </xf>
    <xf numFmtId="0" fontId="0" fillId="27" borderId="47" xfId="0" applyFill="1" applyBorder="1" applyAlignment="1">
      <alignment horizontal="center" vertical="center"/>
    </xf>
    <xf numFmtId="0" fontId="0" fillId="0" borderId="48" xfId="0" applyBorder="1" applyProtection="1">
      <alignment vertical="center"/>
      <protection locked="0"/>
    </xf>
    <xf numFmtId="0" fontId="15" fillId="0" borderId="0" xfId="52" applyFont="1" applyProtection="1">
      <alignment vertical="center"/>
      <protection locked="0"/>
    </xf>
    <xf numFmtId="0" fontId="1" fillId="0" borderId="0" xfId="45" applyFill="1" applyProtection="1">
      <protection locked="0"/>
    </xf>
    <xf numFmtId="0" fontId="1" fillId="0" borderId="0" xfId="52" applyProtection="1">
      <alignment vertical="center"/>
      <protection locked="0"/>
    </xf>
    <xf numFmtId="0" fontId="4" fillId="0" borderId="0" xfId="52" applyNumberFormat="1" applyFont="1" applyBorder="1" applyAlignment="1" applyProtection="1">
      <alignment horizontal="right" vertical="center"/>
      <protection locked="0"/>
    </xf>
    <xf numFmtId="0" fontId="56" fillId="0" borderId="0" xfId="45" applyFont="1" applyFill="1" applyProtection="1">
      <protection locked="0"/>
    </xf>
    <xf numFmtId="0" fontId="1" fillId="0" borderId="0" xfId="45" applyFill="1" applyBorder="1" applyAlignment="1" applyProtection="1">
      <alignment vertical="center"/>
      <protection locked="0"/>
    </xf>
    <xf numFmtId="0" fontId="1" fillId="0" borderId="11" xfId="45" applyFill="1" applyBorder="1" applyAlignment="1" applyProtection="1">
      <alignment wrapText="1"/>
      <protection locked="0"/>
    </xf>
    <xf numFmtId="0" fontId="1" fillId="0" borderId="0" xfId="45" applyFont="1" applyFill="1" applyBorder="1" applyAlignment="1" applyProtection="1">
      <alignment wrapText="1"/>
      <protection locked="0"/>
    </xf>
    <xf numFmtId="0" fontId="3" fillId="0" borderId="0" xfId="45" applyFont="1" applyFill="1" applyBorder="1" applyAlignment="1" applyProtection="1">
      <alignment horizontal="center"/>
      <protection locked="0"/>
    </xf>
    <xf numFmtId="0" fontId="17" fillId="0" borderId="28" xfId="45" applyFont="1" applyFill="1" applyBorder="1" applyAlignment="1" applyProtection="1">
      <alignment horizontal="center" vertical="center"/>
      <protection locked="0"/>
    </xf>
    <xf numFmtId="0" fontId="1" fillId="0" borderId="28" xfId="45" applyFont="1" applyFill="1" applyBorder="1" applyAlignment="1" applyProtection="1">
      <alignment horizontal="center" vertical="center"/>
      <protection locked="0"/>
    </xf>
    <xf numFmtId="0" fontId="1" fillId="0" borderId="0" xfId="45" applyFill="1" applyBorder="1" applyProtection="1">
      <protection locked="0"/>
    </xf>
    <xf numFmtId="0" fontId="26" fillId="0" borderId="40" xfId="47" applyFont="1" applyFill="1" applyBorder="1" applyAlignment="1" applyProtection="1">
      <alignment horizontal="center" vertical="center"/>
      <protection locked="0"/>
    </xf>
    <xf numFmtId="49" fontId="26" fillId="0" borderId="10" xfId="47" applyNumberFormat="1" applyFont="1" applyFill="1" applyBorder="1" applyAlignment="1" applyProtection="1">
      <alignment horizontal="center" vertical="center" wrapText="1"/>
      <protection locked="0"/>
    </xf>
    <xf numFmtId="0" fontId="26" fillId="0" borderId="10" xfId="47" applyFont="1" applyFill="1" applyBorder="1" applyAlignment="1" applyProtection="1">
      <alignment horizontal="center" vertical="center"/>
      <protection locked="0"/>
    </xf>
    <xf numFmtId="0" fontId="26" fillId="0" borderId="0" xfId="47" applyFont="1" applyFill="1" applyBorder="1" applyAlignment="1" applyProtection="1">
      <alignment horizontal="center" vertical="center"/>
      <protection locked="0"/>
    </xf>
    <xf numFmtId="0" fontId="1" fillId="0" borderId="0" xfId="47" applyFill="1" applyAlignment="1" applyProtection="1">
      <alignment vertical="center"/>
      <protection locked="0"/>
    </xf>
    <xf numFmtId="0" fontId="1" fillId="0" borderId="0" xfId="47" applyFont="1" applyFill="1" applyBorder="1" applyAlignment="1" applyProtection="1">
      <alignment horizontal="center" vertical="center"/>
      <protection locked="0"/>
    </xf>
    <xf numFmtId="0" fontId="6" fillId="0" borderId="0" xfId="47" applyFont="1" applyFill="1" applyBorder="1" applyAlignment="1" applyProtection="1">
      <alignment vertical="center"/>
      <protection locked="0"/>
    </xf>
    <xf numFmtId="0" fontId="1" fillId="0" borderId="0" xfId="47" applyFill="1" applyProtection="1">
      <protection locked="0"/>
    </xf>
    <xf numFmtId="0" fontId="1" fillId="0" borderId="40" xfId="48" applyFont="1" applyFill="1" applyBorder="1" applyAlignment="1" applyProtection="1">
      <alignment horizontal="center" vertical="center"/>
      <protection locked="0"/>
    </xf>
    <xf numFmtId="0" fontId="26" fillId="0" borderId="49" xfId="48" applyFont="1" applyFill="1" applyBorder="1" applyAlignment="1" applyProtection="1">
      <alignment vertical="center" wrapText="1"/>
      <protection locked="0"/>
    </xf>
    <xf numFmtId="0" fontId="26" fillId="0" borderId="10" xfId="0" applyFont="1" applyFill="1" applyBorder="1" applyAlignment="1" applyProtection="1">
      <alignment horizontal="center" vertical="center"/>
    </xf>
    <xf numFmtId="0" fontId="26" fillId="0" borderId="41" xfId="0" applyNumberFormat="1" applyFont="1" applyFill="1" applyBorder="1" applyAlignment="1" applyProtection="1">
      <alignment vertical="center"/>
      <protection locked="0"/>
    </xf>
    <xf numFmtId="0" fontId="26" fillId="0" borderId="50" xfId="0" applyFont="1" applyFill="1" applyBorder="1" applyAlignment="1" applyProtection="1">
      <alignment vertical="center"/>
      <protection locked="0"/>
    </xf>
    <xf numFmtId="0" fontId="57" fillId="0" borderId="10" xfId="0" applyFont="1" applyFill="1" applyBorder="1" applyAlignment="1" applyProtection="1">
      <alignment horizontal="center" vertical="center"/>
      <protection locked="0"/>
    </xf>
    <xf numFmtId="0" fontId="57" fillId="0" borderId="0" xfId="0" applyFont="1" applyFill="1" applyBorder="1" applyAlignment="1" applyProtection="1">
      <alignment horizontal="center" vertical="center"/>
      <protection locked="0"/>
    </xf>
    <xf numFmtId="0" fontId="33" fillId="0" borderId="0" xfId="47" applyFont="1" applyFill="1" applyAlignment="1" applyProtection="1">
      <alignment vertical="center"/>
      <protection locked="0"/>
    </xf>
    <xf numFmtId="0" fontId="1" fillId="0" borderId="0" xfId="47" applyFont="1" applyFill="1" applyAlignment="1" applyProtection="1">
      <alignment vertical="center"/>
      <protection locked="0"/>
    </xf>
    <xf numFmtId="49" fontId="26" fillId="0" borderId="49" xfId="48" applyNumberFormat="1" applyFont="1" applyFill="1" applyBorder="1" applyAlignment="1" applyProtection="1">
      <alignment vertical="center" wrapText="1"/>
      <protection locked="0"/>
    </xf>
    <xf numFmtId="0" fontId="26" fillId="0" borderId="51" xfId="48" applyFont="1" applyFill="1" applyBorder="1" applyAlignment="1" applyProtection="1">
      <alignment vertical="center" wrapText="1"/>
      <protection locked="0"/>
    </xf>
    <xf numFmtId="49" fontId="26" fillId="0" borderId="51" xfId="48" applyNumberFormat="1" applyFont="1" applyFill="1" applyBorder="1" applyAlignment="1" applyProtection="1">
      <alignment vertical="center" wrapText="1"/>
      <protection locked="0"/>
    </xf>
    <xf numFmtId="49" fontId="26" fillId="0" borderId="49" xfId="48" applyNumberFormat="1" applyFont="1" applyFill="1" applyBorder="1" applyAlignment="1" applyProtection="1">
      <alignment horizontal="left" vertical="center" wrapText="1"/>
      <protection locked="0"/>
    </xf>
    <xf numFmtId="0" fontId="26" fillId="0" borderId="41" xfId="48" applyNumberFormat="1" applyFont="1" applyFill="1" applyBorder="1" applyAlignment="1" applyProtection="1">
      <alignment horizontal="left" vertical="center"/>
      <protection locked="0"/>
    </xf>
    <xf numFmtId="0" fontId="26" fillId="0" borderId="50" xfId="48" applyFont="1" applyFill="1" applyBorder="1" applyAlignment="1" applyProtection="1">
      <alignment vertical="center" wrapText="1"/>
      <protection locked="0"/>
    </xf>
    <xf numFmtId="0" fontId="57" fillId="0" borderId="10" xfId="48" applyFont="1" applyFill="1" applyBorder="1" applyAlignment="1" applyProtection="1">
      <alignment horizontal="center" vertical="center"/>
      <protection locked="0"/>
    </xf>
    <xf numFmtId="0" fontId="57" fillId="0" borderId="0" xfId="48" applyFont="1" applyFill="1" applyBorder="1" applyAlignment="1" applyProtection="1">
      <alignment horizontal="center" vertical="center"/>
      <protection locked="0"/>
    </xf>
    <xf numFmtId="0" fontId="26" fillId="0" borderId="41" xfId="48" applyNumberFormat="1" applyFont="1" applyFill="1" applyBorder="1" applyAlignment="1" applyProtection="1">
      <alignment vertical="center" wrapText="1"/>
      <protection locked="0"/>
    </xf>
    <xf numFmtId="0" fontId="26" fillId="0" borderId="41" xfId="45" applyNumberFormat="1" applyFont="1" applyFill="1" applyBorder="1" applyAlignment="1" applyProtection="1">
      <alignment vertical="center" wrapText="1"/>
      <protection locked="0"/>
    </xf>
    <xf numFmtId="0" fontId="26" fillId="0" borderId="50" xfId="45" applyFont="1" applyFill="1" applyBorder="1" applyAlignment="1" applyProtection="1">
      <alignment vertical="center" wrapText="1"/>
      <protection locked="0"/>
    </xf>
    <xf numFmtId="0" fontId="26" fillId="0" borderId="41" xfId="0" applyNumberFormat="1" applyFont="1" applyFill="1" applyBorder="1" applyAlignment="1" applyProtection="1">
      <alignment vertical="center" wrapText="1"/>
      <protection locked="0"/>
    </xf>
    <xf numFmtId="0" fontId="26" fillId="0" borderId="50" xfId="0" applyFont="1" applyFill="1" applyBorder="1" applyProtection="1">
      <alignment vertical="center"/>
      <protection locked="0"/>
    </xf>
    <xf numFmtId="0" fontId="26" fillId="0" borderId="50" xfId="48" applyFont="1" applyFill="1" applyBorder="1" applyAlignment="1" applyProtection="1">
      <alignment vertical="center"/>
      <protection locked="0"/>
    </xf>
    <xf numFmtId="0" fontId="26" fillId="0" borderId="41" xfId="0" applyNumberFormat="1" applyFont="1" applyFill="1" applyBorder="1" applyAlignment="1" applyProtection="1">
      <alignment horizontal="left" vertical="center"/>
      <protection locked="0"/>
    </xf>
    <xf numFmtId="0" fontId="26" fillId="0" borderId="25" xfId="0" applyNumberFormat="1" applyFont="1" applyFill="1" applyBorder="1" applyAlignment="1" applyProtection="1">
      <alignment vertical="center"/>
      <protection locked="0"/>
    </xf>
    <xf numFmtId="0" fontId="26" fillId="0" borderId="52" xfId="48" applyFont="1" applyFill="1" applyBorder="1" applyAlignment="1" applyProtection="1">
      <alignment vertical="center"/>
      <protection locked="0"/>
    </xf>
    <xf numFmtId="0" fontId="26" fillId="0" borderId="49" xfId="0" applyFont="1" applyFill="1" applyBorder="1" applyAlignment="1" applyProtection="1">
      <alignment vertical="center" wrapText="1"/>
      <protection locked="0"/>
    </xf>
    <xf numFmtId="0" fontId="26" fillId="0" borderId="50" xfId="0" applyFont="1" applyFill="1" applyBorder="1" applyAlignment="1" applyProtection="1">
      <alignment vertical="center" wrapText="1"/>
      <protection locked="0"/>
    </xf>
    <xf numFmtId="0" fontId="26" fillId="0" borderId="50" xfId="45" applyFont="1" applyFill="1" applyBorder="1" applyAlignment="1" applyProtection="1">
      <alignment vertical="center"/>
      <protection locked="0"/>
    </xf>
    <xf numFmtId="0" fontId="26" fillId="0" borderId="52" xfId="48" applyFont="1" applyFill="1" applyBorder="1" applyAlignment="1" applyProtection="1">
      <alignment vertical="center" wrapText="1"/>
      <protection locked="0"/>
    </xf>
    <xf numFmtId="0" fontId="57" fillId="0" borderId="50" xfId="48" applyFont="1" applyFill="1" applyBorder="1" applyAlignment="1" applyProtection="1">
      <alignment vertical="center"/>
      <protection locked="0"/>
    </xf>
    <xf numFmtId="0" fontId="8" fillId="0" borderId="10" xfId="48" applyFont="1" applyFill="1" applyBorder="1" applyAlignment="1" applyProtection="1">
      <alignment horizontal="center" vertical="center"/>
      <protection locked="0"/>
    </xf>
    <xf numFmtId="0" fontId="8" fillId="0" borderId="0" xfId="48" applyFont="1" applyFill="1" applyBorder="1" applyAlignment="1" applyProtection="1">
      <alignment horizontal="center" vertical="center"/>
      <protection locked="0"/>
    </xf>
    <xf numFmtId="0" fontId="26" fillId="0" borderId="50" xfId="0" applyFont="1" applyFill="1" applyBorder="1" applyAlignment="1" applyProtection="1">
      <alignment horizontal="left" vertical="center"/>
      <protection locked="0"/>
    </xf>
    <xf numFmtId="0" fontId="26" fillId="0" borderId="10" xfId="48" applyFont="1" applyFill="1" applyBorder="1" applyAlignment="1" applyProtection="1">
      <alignment vertical="center" wrapText="1"/>
      <protection locked="0"/>
    </xf>
    <xf numFmtId="0" fontId="1" fillId="0" borderId="0" xfId="47" applyFill="1" applyAlignment="1" applyProtection="1">
      <alignment horizontal="center"/>
      <protection locked="0"/>
    </xf>
    <xf numFmtId="0" fontId="1" fillId="0" borderId="0" xfId="47" applyFill="1" applyAlignment="1" applyProtection="1">
      <alignment wrapText="1"/>
      <protection locked="0"/>
    </xf>
    <xf numFmtId="0" fontId="1" fillId="0" borderId="0" xfId="47" applyNumberFormat="1" applyFill="1" applyAlignment="1" applyProtection="1">
      <alignment wrapText="1"/>
      <protection locked="0"/>
    </xf>
    <xf numFmtId="0" fontId="3" fillId="0" borderId="0" xfId="47" applyFont="1" applyFill="1" applyBorder="1" applyProtection="1">
      <protection locked="0"/>
    </xf>
    <xf numFmtId="0" fontId="1" fillId="0" borderId="0" xfId="47" applyFont="1" applyFill="1" applyAlignment="1" applyProtection="1">
      <alignment horizontal="center"/>
      <protection locked="0"/>
    </xf>
    <xf numFmtId="0" fontId="3" fillId="0" borderId="0" xfId="47" applyFont="1" applyFill="1" applyProtection="1">
      <protection locked="0"/>
    </xf>
    <xf numFmtId="0" fontId="56" fillId="0" borderId="0" xfId="47" applyFont="1" applyFill="1" applyProtection="1">
      <protection locked="0"/>
    </xf>
    <xf numFmtId="0" fontId="14" fillId="0" borderId="31" xfId="45" applyFont="1" applyFill="1" applyBorder="1" applyAlignment="1">
      <alignment horizontal="right"/>
    </xf>
    <xf numFmtId="0" fontId="4" fillId="0" borderId="48" xfId="52" applyNumberFormat="1" applyFont="1" applyBorder="1" applyAlignment="1" applyProtection="1">
      <alignment horizontal="right" vertical="center"/>
      <protection locked="0"/>
    </xf>
    <xf numFmtId="0" fontId="4" fillId="0" borderId="11" xfId="52" applyNumberFormat="1" applyFont="1" applyBorder="1" applyAlignment="1">
      <alignment horizontal="right" vertical="center"/>
    </xf>
    <xf numFmtId="0" fontId="1" fillId="0" borderId="0" xfId="45" applyFont="1" applyFill="1" applyBorder="1" applyAlignment="1" applyProtection="1">
      <alignment horizontal="center" vertical="center"/>
    </xf>
    <xf numFmtId="0" fontId="1" fillId="0" borderId="0" xfId="45" applyFill="1" applyBorder="1"/>
    <xf numFmtId="0" fontId="26" fillId="0" borderId="40" xfId="47" applyFont="1" applyFill="1" applyBorder="1" applyAlignment="1" applyProtection="1">
      <alignment horizontal="center" vertical="center"/>
    </xf>
    <xf numFmtId="49" fontId="26" fillId="0" borderId="10" xfId="47" applyNumberFormat="1" applyFont="1" applyFill="1" applyBorder="1" applyAlignment="1" applyProtection="1">
      <alignment horizontal="center" vertical="center" wrapText="1"/>
    </xf>
    <xf numFmtId="0" fontId="26" fillId="0" borderId="10" xfId="47" applyFont="1" applyFill="1" applyBorder="1" applyAlignment="1" applyProtection="1">
      <alignment horizontal="center" vertical="center"/>
    </xf>
    <xf numFmtId="0" fontId="26" fillId="0" borderId="10" xfId="47" applyFont="1" applyFill="1" applyBorder="1" applyAlignment="1">
      <alignment horizontal="center" vertical="center"/>
    </xf>
    <xf numFmtId="0" fontId="1" fillId="0" borderId="0" xfId="47" applyFill="1"/>
    <xf numFmtId="0" fontId="1" fillId="0" borderId="0" xfId="47" applyFont="1" applyFill="1" applyBorder="1" applyAlignment="1">
      <alignment horizontal="center" vertical="center"/>
    </xf>
    <xf numFmtId="0" fontId="6" fillId="0" borderId="0" xfId="47" applyFont="1" applyFill="1" applyBorder="1" applyAlignment="1">
      <alignment horizontal="center" vertical="center"/>
    </xf>
    <xf numFmtId="0" fontId="1" fillId="0" borderId="40" xfId="48" applyFont="1" applyFill="1" applyBorder="1" applyAlignment="1" applyProtection="1">
      <alignment horizontal="center" vertical="center"/>
    </xf>
    <xf numFmtId="0" fontId="1" fillId="0" borderId="0" xfId="47" applyFill="1" applyAlignment="1">
      <alignment vertical="center"/>
    </xf>
    <xf numFmtId="0" fontId="33" fillId="0" borderId="0" xfId="47" applyFont="1" applyFill="1" applyAlignment="1">
      <alignment vertical="center"/>
    </xf>
    <xf numFmtId="0" fontId="1" fillId="0" borderId="0" xfId="47" applyFont="1" applyFill="1" applyAlignment="1">
      <alignment vertical="center"/>
    </xf>
    <xf numFmtId="0" fontId="1" fillId="0" borderId="0" xfId="47" applyFont="1" applyFill="1" applyAlignment="1">
      <alignment vertical="center" wrapText="1"/>
    </xf>
    <xf numFmtId="0" fontId="1" fillId="0" borderId="0" xfId="47" applyFill="1" applyBorder="1" applyAlignment="1">
      <alignment horizontal="center" vertical="center"/>
    </xf>
    <xf numFmtId="0" fontId="1" fillId="0" borderId="0" xfId="47" applyFill="1" applyAlignment="1">
      <alignment horizontal="center"/>
    </xf>
    <xf numFmtId="0" fontId="1" fillId="0" borderId="0" xfId="47" applyFill="1" applyAlignment="1">
      <alignment wrapText="1"/>
    </xf>
    <xf numFmtId="0" fontId="1" fillId="0" borderId="0" xfId="47" applyNumberFormat="1" applyFill="1" applyAlignment="1">
      <alignment wrapText="1"/>
    </xf>
    <xf numFmtId="0" fontId="1" fillId="0" borderId="0" xfId="47" applyFont="1" applyFill="1" applyAlignment="1">
      <alignment horizontal="center"/>
    </xf>
    <xf numFmtId="0" fontId="3" fillId="0" borderId="0" xfId="47" applyFont="1" applyFill="1"/>
    <xf numFmtId="0" fontId="26" fillId="0" borderId="44" xfId="48" applyFont="1" applyFill="1" applyBorder="1" applyAlignment="1" applyProtection="1">
      <alignment vertical="center" wrapText="1"/>
      <protection locked="0"/>
    </xf>
    <xf numFmtId="0" fontId="26" fillId="0" borderId="49" xfId="0" applyFont="1" applyFill="1" applyBorder="1" applyAlignment="1" applyProtection="1">
      <alignment horizontal="center" vertical="center"/>
    </xf>
    <xf numFmtId="0" fontId="26" fillId="0" borderId="27" xfId="48" applyNumberFormat="1" applyFont="1" applyFill="1" applyBorder="1" applyAlignment="1" applyProtection="1">
      <alignment vertical="center" wrapText="1"/>
      <protection locked="0"/>
    </xf>
    <xf numFmtId="0" fontId="26" fillId="0" borderId="53" xfId="48" applyFont="1" applyFill="1" applyBorder="1" applyAlignment="1" applyProtection="1">
      <alignment vertical="center"/>
      <protection locked="0"/>
    </xf>
    <xf numFmtId="0" fontId="8" fillId="0" borderId="49" xfId="48" applyFont="1" applyFill="1" applyBorder="1" applyAlignment="1" applyProtection="1">
      <alignment horizontal="center" vertical="center"/>
      <protection locked="0"/>
    </xf>
    <xf numFmtId="0" fontId="26" fillId="0" borderId="10" xfId="0" applyFont="1" applyFill="1" applyBorder="1" applyAlignment="1" applyProtection="1">
      <alignment vertical="center" wrapText="1"/>
      <protection locked="0"/>
    </xf>
    <xf numFmtId="0" fontId="26" fillId="0" borderId="10" xfId="45" applyFont="1" applyFill="1" applyBorder="1" applyAlignment="1" applyProtection="1">
      <alignment vertical="center" wrapText="1"/>
      <protection locked="0"/>
    </xf>
    <xf numFmtId="0" fontId="55" fillId="0" borderId="0" xfId="45" applyFont="1" applyFill="1" applyBorder="1" applyAlignment="1" applyProtection="1">
      <alignment horizontal="right" wrapText="1"/>
    </xf>
    <xf numFmtId="0" fontId="4" fillId="0" borderId="11" xfId="52" applyNumberFormat="1" applyFont="1" applyBorder="1" applyAlignment="1" applyProtection="1">
      <alignment horizontal="right" vertical="center" wrapText="1"/>
      <protection locked="0"/>
    </xf>
    <xf numFmtId="0" fontId="1" fillId="0" borderId="10" xfId="47" applyFont="1" applyFill="1" applyBorder="1" applyAlignment="1" applyProtection="1">
      <alignment horizontal="center" vertical="center"/>
      <protection locked="0"/>
    </xf>
    <xf numFmtId="49" fontId="4" fillId="28" borderId="10" xfId="47" applyNumberFormat="1" applyFont="1" applyFill="1" applyBorder="1" applyAlignment="1" applyProtection="1">
      <alignment horizontal="center" vertical="center" wrapText="1"/>
      <protection locked="0"/>
    </xf>
    <xf numFmtId="49" fontId="4" fillId="0" borderId="10" xfId="47" applyNumberFormat="1" applyFont="1" applyFill="1" applyBorder="1" applyAlignment="1" applyProtection="1">
      <alignment horizontal="center" vertical="center" wrapText="1"/>
      <protection locked="0"/>
    </xf>
    <xf numFmtId="0" fontId="4" fillId="28" borderId="10" xfId="47" applyFont="1" applyFill="1" applyBorder="1" applyAlignment="1" applyProtection="1">
      <alignment horizontal="center" vertical="center" wrapText="1"/>
      <protection locked="0"/>
    </xf>
    <xf numFmtId="0" fontId="14" fillId="0" borderId="10" xfId="47" applyFont="1" applyFill="1" applyBorder="1" applyAlignment="1" applyProtection="1">
      <alignment horizontal="center" vertical="center"/>
      <protection locked="0"/>
    </xf>
    <xf numFmtId="0" fontId="1" fillId="0" borderId="10" xfId="48" applyFont="1" applyFill="1" applyBorder="1" applyAlignment="1" applyProtection="1">
      <alignment horizontal="center" vertical="center"/>
      <protection locked="0"/>
    </xf>
    <xf numFmtId="0" fontId="3" fillId="0" borderId="49" xfId="48" applyFont="1" applyFill="1" applyBorder="1" applyAlignment="1" applyProtection="1">
      <alignment vertical="center" wrapText="1"/>
      <protection locked="0"/>
    </xf>
    <xf numFmtId="0" fontId="3" fillId="0" borderId="10" xfId="0" applyFont="1" applyFill="1" applyBorder="1" applyAlignment="1" applyProtection="1">
      <alignment vertical="center"/>
      <protection locked="0"/>
    </xf>
    <xf numFmtId="0" fontId="5" fillId="0" borderId="10" xfId="0" applyFont="1" applyFill="1" applyBorder="1" applyAlignment="1" applyProtection="1">
      <alignment horizontal="center" vertical="center"/>
      <protection locked="0"/>
    </xf>
    <xf numFmtId="0" fontId="59" fillId="0" borderId="10" xfId="47" applyFont="1" applyFill="1" applyBorder="1" applyAlignment="1" applyProtection="1">
      <alignment horizontal="center" vertical="center"/>
      <protection locked="0"/>
    </xf>
    <xf numFmtId="0" fontId="3" fillId="0" borderId="44" xfId="48" applyFont="1" applyFill="1" applyBorder="1" applyAlignment="1" applyProtection="1">
      <alignment vertical="center" wrapText="1"/>
      <protection locked="0"/>
    </xf>
    <xf numFmtId="0" fontId="5" fillId="0" borderId="51" xfId="0" applyFont="1" applyFill="1" applyBorder="1" applyAlignment="1" applyProtection="1">
      <alignment vertical="center"/>
      <protection locked="0"/>
    </xf>
    <xf numFmtId="0" fontId="3" fillId="0" borderId="10" xfId="48" applyFont="1" applyFill="1" applyBorder="1" applyAlignment="1" applyProtection="1">
      <alignment horizontal="center" vertical="center"/>
      <protection locked="0"/>
    </xf>
    <xf numFmtId="0" fontId="3" fillId="26" borderId="10" xfId="0" applyFont="1" applyFill="1" applyBorder="1" applyAlignment="1" applyProtection="1">
      <alignment vertical="center"/>
      <protection locked="0"/>
    </xf>
    <xf numFmtId="0" fontId="1" fillId="0" borderId="0" xfId="47" applyFont="1" applyFill="1" applyAlignment="1" applyProtection="1">
      <alignment vertical="center" wrapText="1"/>
      <protection locked="0"/>
    </xf>
    <xf numFmtId="0" fontId="3" fillId="0" borderId="10" xfId="45" applyFont="1" applyFill="1" applyBorder="1" applyAlignment="1" applyProtection="1">
      <alignment vertical="center" wrapText="1"/>
      <protection locked="0"/>
    </xf>
    <xf numFmtId="0" fontId="3" fillId="24" borderId="10" xfId="0" applyFont="1" applyFill="1" applyBorder="1" applyAlignment="1" applyProtection="1">
      <alignment vertical="center"/>
      <protection locked="0"/>
    </xf>
    <xf numFmtId="0" fontId="3" fillId="24" borderId="10" xfId="0" applyFont="1" applyFill="1" applyBorder="1" applyAlignment="1" applyProtection="1">
      <alignment horizontal="left" vertical="center"/>
      <protection locked="0"/>
    </xf>
    <xf numFmtId="0" fontId="3" fillId="0" borderId="10" xfId="0" applyFont="1" applyFill="1" applyBorder="1" applyAlignment="1" applyProtection="1">
      <alignment horizontal="left" vertical="center"/>
      <protection locked="0"/>
    </xf>
    <xf numFmtId="0" fontId="3" fillId="0" borderId="10" xfId="0" applyFont="1" applyBorder="1" applyAlignment="1" applyProtection="1">
      <alignment vertical="center"/>
      <protection locked="0"/>
    </xf>
    <xf numFmtId="0" fontId="3" fillId="0" borderId="10" xfId="0" applyFont="1" applyFill="1" applyBorder="1" applyAlignment="1" applyProtection="1">
      <alignment vertical="center" wrapText="1"/>
      <protection locked="0"/>
    </xf>
    <xf numFmtId="0" fontId="3" fillId="24" borderId="44" xfId="0" applyFont="1" applyFill="1" applyBorder="1" applyAlignment="1" applyProtection="1">
      <alignment vertical="center"/>
      <protection locked="0"/>
    </xf>
    <xf numFmtId="0" fontId="17" fillId="0" borderId="10" xfId="48" applyFont="1" applyFill="1" applyBorder="1" applyAlignment="1" applyProtection="1">
      <alignment horizontal="center" vertical="center"/>
      <protection locked="0"/>
    </xf>
    <xf numFmtId="0" fontId="3" fillId="25" borderId="10" xfId="0" applyFont="1" applyFill="1" applyBorder="1" applyAlignment="1" applyProtection="1">
      <alignment vertical="center"/>
      <protection locked="0"/>
    </xf>
    <xf numFmtId="0" fontId="3" fillId="29" borderId="10" xfId="0" applyFont="1" applyFill="1" applyBorder="1" applyAlignment="1" applyProtection="1">
      <alignment vertical="center"/>
      <protection locked="0"/>
    </xf>
    <xf numFmtId="0" fontId="3" fillId="0" borderId="10" xfId="45" applyFont="1" applyFill="1" applyBorder="1" applyAlignment="1" applyProtection="1">
      <alignment vertical="center"/>
      <protection locked="0"/>
    </xf>
    <xf numFmtId="0" fontId="3" fillId="26" borderId="10" xfId="0" applyFont="1" applyFill="1" applyBorder="1" applyAlignment="1" applyProtection="1">
      <alignment vertical="center" wrapText="1"/>
      <protection locked="0"/>
    </xf>
    <xf numFmtId="0" fontId="3" fillId="25" borderId="51" xfId="45" applyFont="1" applyFill="1" applyBorder="1" applyAlignment="1" applyProtection="1">
      <alignment vertical="center" wrapText="1"/>
      <protection locked="0"/>
    </xf>
    <xf numFmtId="0" fontId="3" fillId="29" borderId="44" xfId="0" applyFont="1" applyFill="1" applyBorder="1" applyAlignment="1" applyProtection="1">
      <alignment vertical="center"/>
      <protection locked="0"/>
    </xf>
    <xf numFmtId="0" fontId="3" fillId="26" borderId="51" xfId="45" applyFont="1" applyFill="1" applyBorder="1" applyAlignment="1" applyProtection="1">
      <alignment vertical="center" wrapText="1"/>
      <protection locked="0"/>
    </xf>
    <xf numFmtId="0" fontId="3" fillId="0" borderId="49" xfId="0" applyFont="1" applyFill="1" applyBorder="1" applyAlignment="1" applyProtection="1">
      <alignment vertical="center"/>
      <protection locked="0"/>
    </xf>
    <xf numFmtId="0" fontId="3" fillId="25" borderId="44" xfId="0" applyFont="1" applyFill="1" applyBorder="1" applyAlignment="1" applyProtection="1">
      <alignment vertical="center"/>
      <protection locked="0"/>
    </xf>
    <xf numFmtId="0" fontId="1" fillId="0" borderId="10" xfId="46" applyFont="1" applyFill="1" applyBorder="1" applyAlignment="1" applyProtection="1">
      <alignment horizontal="center" vertical="center"/>
      <protection locked="0"/>
    </xf>
    <xf numFmtId="49" fontId="3" fillId="26" borderId="49" xfId="45" applyNumberFormat="1" applyFont="1" applyFill="1" applyBorder="1" applyAlignment="1" applyProtection="1">
      <alignment vertical="center" shrinkToFit="1"/>
      <protection locked="0"/>
    </xf>
    <xf numFmtId="0" fontId="3" fillId="26" borderId="49" xfId="0" applyFont="1" applyFill="1" applyBorder="1" applyAlignment="1" applyProtection="1">
      <alignment vertical="center" wrapText="1"/>
      <protection locked="0"/>
    </xf>
    <xf numFmtId="0" fontId="3" fillId="26" borderId="49" xfId="0" applyFont="1" applyFill="1" applyBorder="1" applyAlignment="1" applyProtection="1">
      <alignment vertical="center"/>
      <protection locked="0"/>
    </xf>
    <xf numFmtId="0" fontId="3" fillId="26" borderId="51" xfId="45" applyFont="1" applyFill="1" applyBorder="1" applyAlignment="1" applyProtection="1">
      <alignment vertical="center" shrinkToFit="1"/>
      <protection locked="0"/>
    </xf>
    <xf numFmtId="0" fontId="3" fillId="26" borderId="51" xfId="0" applyFont="1" applyFill="1" applyBorder="1" applyAlignment="1" applyProtection="1">
      <alignment vertical="center" wrapText="1"/>
      <protection locked="0"/>
    </xf>
    <xf numFmtId="0" fontId="3" fillId="0" borderId="44" xfId="45" applyFont="1" applyFill="1" applyBorder="1" applyAlignment="1" applyProtection="1">
      <alignment vertical="center"/>
      <protection locked="0"/>
    </xf>
    <xf numFmtId="0" fontId="3" fillId="26" borderId="51" xfId="46" applyFont="1" applyFill="1" applyBorder="1" applyAlignment="1" applyProtection="1">
      <alignment vertical="center" shrinkToFit="1"/>
      <protection locked="0"/>
    </xf>
    <xf numFmtId="0" fontId="3" fillId="26" borderId="51" xfId="0" applyFont="1" applyFill="1" applyBorder="1" applyAlignment="1" applyProtection="1">
      <alignment vertical="center"/>
      <protection locked="0"/>
    </xf>
    <xf numFmtId="0" fontId="3" fillId="24" borderId="49" xfId="0" applyFont="1" applyFill="1" applyBorder="1" applyAlignment="1" applyProtection="1">
      <alignment vertical="center" wrapText="1"/>
      <protection locked="0"/>
    </xf>
    <xf numFmtId="0" fontId="3" fillId="30" borderId="10" xfId="0" applyFont="1" applyFill="1" applyBorder="1" applyAlignment="1" applyProtection="1">
      <alignment vertical="center"/>
      <protection locked="0"/>
    </xf>
    <xf numFmtId="0" fontId="3" fillId="24" borderId="51" xfId="45" applyFont="1" applyFill="1" applyBorder="1" applyAlignment="1" applyProtection="1">
      <alignment vertical="center" shrinkToFit="1"/>
      <protection locked="0"/>
    </xf>
    <xf numFmtId="0" fontId="3" fillId="24" borderId="51" xfId="0" applyFont="1" applyFill="1" applyBorder="1" applyAlignment="1" applyProtection="1">
      <alignment vertical="center" wrapText="1"/>
      <protection locked="0"/>
    </xf>
    <xf numFmtId="0" fontId="3" fillId="24" borderId="51" xfId="46" applyFont="1" applyFill="1" applyBorder="1" applyAlignment="1" applyProtection="1">
      <alignment vertical="center" shrinkToFit="1"/>
      <protection locked="0"/>
    </xf>
    <xf numFmtId="0" fontId="3" fillId="24" borderId="51" xfId="0" applyFont="1" applyFill="1" applyBorder="1" applyAlignment="1" applyProtection="1">
      <alignment vertical="center"/>
      <protection locked="0"/>
    </xf>
    <xf numFmtId="0" fontId="3" fillId="30" borderId="10" xfId="0" applyFont="1" applyFill="1" applyBorder="1" applyAlignment="1" applyProtection="1">
      <alignment horizontal="left" vertical="center"/>
      <protection locked="0"/>
    </xf>
    <xf numFmtId="0" fontId="3" fillId="24" borderId="49" xfId="45" applyFont="1" applyFill="1" applyBorder="1" applyAlignment="1" applyProtection="1">
      <alignment vertical="center" wrapText="1"/>
      <protection locked="0"/>
    </xf>
    <xf numFmtId="0" fontId="3" fillId="24" borderId="51" xfId="45" applyFont="1" applyFill="1" applyBorder="1" applyAlignment="1" applyProtection="1">
      <alignment vertical="center" wrapText="1"/>
      <protection locked="0"/>
    </xf>
    <xf numFmtId="0" fontId="3" fillId="25" borderId="49" xfId="45" applyFont="1" applyFill="1" applyBorder="1" applyAlignment="1" applyProtection="1">
      <alignment vertical="center" wrapText="1"/>
      <protection locked="0"/>
    </xf>
    <xf numFmtId="0" fontId="3" fillId="25" borderId="49" xfId="0" applyFont="1" applyFill="1" applyBorder="1" applyAlignment="1" applyProtection="1">
      <alignment vertical="center" wrapText="1"/>
      <protection locked="0"/>
    </xf>
    <xf numFmtId="0" fontId="3" fillId="25" borderId="51" xfId="0" applyFont="1" applyFill="1" applyBorder="1" applyAlignment="1" applyProtection="1">
      <alignment vertical="center" wrapText="1"/>
      <protection locked="0"/>
    </xf>
    <xf numFmtId="0" fontId="3" fillId="25" borderId="51" xfId="46" applyFont="1" applyFill="1" applyBorder="1" applyAlignment="1" applyProtection="1">
      <alignment vertical="center" shrinkToFit="1"/>
      <protection locked="0"/>
    </xf>
    <xf numFmtId="0" fontId="3" fillId="25" borderId="51" xfId="0" applyFont="1" applyFill="1" applyBorder="1" applyAlignment="1" applyProtection="1">
      <alignment vertical="center"/>
      <protection locked="0"/>
    </xf>
    <xf numFmtId="0" fontId="3" fillId="29" borderId="49" xfId="45" applyFont="1" applyFill="1" applyBorder="1" applyAlignment="1" applyProtection="1">
      <alignment vertical="center" wrapText="1"/>
      <protection locked="0"/>
    </xf>
    <xf numFmtId="0" fontId="3" fillId="29" borderId="49" xfId="0" applyFont="1" applyFill="1" applyBorder="1" applyAlignment="1" applyProtection="1">
      <alignment vertical="center" wrapText="1"/>
      <protection locked="0"/>
    </xf>
    <xf numFmtId="0" fontId="3" fillId="29" borderId="51" xfId="45" applyFont="1" applyFill="1" applyBorder="1" applyAlignment="1" applyProtection="1">
      <alignment vertical="center" wrapText="1"/>
      <protection locked="0"/>
    </xf>
    <xf numFmtId="0" fontId="3" fillId="29" borderId="51" xfId="0" applyFont="1" applyFill="1" applyBorder="1" applyAlignment="1" applyProtection="1">
      <alignment vertical="center" wrapText="1"/>
      <protection locked="0"/>
    </xf>
    <xf numFmtId="0" fontId="3" fillId="29" borderId="51" xfId="46" applyFont="1" applyFill="1" applyBorder="1" applyAlignment="1" applyProtection="1">
      <alignment vertical="center" shrinkToFit="1"/>
      <protection locked="0"/>
    </xf>
    <xf numFmtId="0" fontId="8" fillId="29" borderId="51" xfId="0" applyFont="1" applyFill="1" applyBorder="1" applyAlignment="1" applyProtection="1">
      <alignment horizontal="right" vertical="center" wrapText="1"/>
      <protection locked="0"/>
    </xf>
    <xf numFmtId="0" fontId="3" fillId="29" borderId="10" xfId="0" applyFont="1" applyFill="1" applyBorder="1" applyAlignment="1" applyProtection="1">
      <alignment vertical="center" wrapText="1"/>
      <protection locked="0"/>
    </xf>
    <xf numFmtId="0" fontId="3" fillId="29" borderId="51" xfId="0" applyFont="1" applyFill="1" applyBorder="1" applyAlignment="1" applyProtection="1">
      <alignment horizontal="right" vertical="center" wrapText="1"/>
      <protection locked="0"/>
    </xf>
    <xf numFmtId="0" fontId="3" fillId="29" borderId="51" xfId="0" applyFont="1" applyFill="1" applyBorder="1" applyAlignment="1" applyProtection="1">
      <alignment vertical="center"/>
      <protection locked="0"/>
    </xf>
    <xf numFmtId="0" fontId="3" fillId="26" borderId="49" xfId="45" applyFont="1" applyFill="1" applyBorder="1" applyAlignment="1" applyProtection="1">
      <alignment vertical="center" wrapText="1"/>
      <protection locked="0"/>
    </xf>
    <xf numFmtId="0" fontId="3" fillId="26" borderId="44" xfId="0" applyFont="1" applyFill="1" applyBorder="1" applyAlignment="1" applyProtection="1">
      <alignment vertical="center"/>
      <protection locked="0"/>
    </xf>
    <xf numFmtId="0" fontId="3" fillId="0" borderId="44" xfId="0" applyFont="1" applyFill="1" applyBorder="1" applyAlignment="1" applyProtection="1">
      <alignment vertical="center" wrapText="1"/>
      <protection locked="0"/>
    </xf>
    <xf numFmtId="0" fontId="10" fillId="0" borderId="10" xfId="45" applyFont="1" applyFill="1" applyBorder="1" applyAlignment="1" applyProtection="1">
      <alignment vertical="center"/>
      <protection locked="0"/>
    </xf>
    <xf numFmtId="0" fontId="3" fillId="0" borderId="10" xfId="46" applyFont="1" applyFill="1" applyBorder="1" applyAlignment="1" applyProtection="1">
      <alignment vertical="center"/>
      <protection locked="0"/>
    </xf>
    <xf numFmtId="0" fontId="3" fillId="29" borderId="10" xfId="0" applyFont="1" applyFill="1" applyBorder="1" applyAlignment="1" applyProtection="1">
      <alignment horizontal="left" vertical="center"/>
      <protection locked="0"/>
    </xf>
    <xf numFmtId="0" fontId="3" fillId="25" borderId="49" xfId="46" applyFont="1" applyFill="1" applyBorder="1" applyAlignment="1" applyProtection="1">
      <alignment vertical="center" wrapText="1"/>
      <protection locked="0"/>
    </xf>
    <xf numFmtId="0" fontId="3" fillId="25" borderId="10" xfId="46" applyFont="1" applyFill="1" applyBorder="1" applyAlignment="1" applyProtection="1">
      <alignment vertical="center" wrapText="1"/>
      <protection locked="0"/>
    </xf>
    <xf numFmtId="0" fontId="3" fillId="25" borderId="51" xfId="46" applyFont="1" applyFill="1" applyBorder="1" applyAlignment="1" applyProtection="1">
      <alignment vertical="center" wrapText="1"/>
      <protection locked="0"/>
    </xf>
    <xf numFmtId="0" fontId="3" fillId="0" borderId="10" xfId="46" applyFont="1" applyFill="1" applyBorder="1" applyAlignment="1" applyProtection="1">
      <alignment vertical="center" wrapText="1"/>
      <protection locked="0"/>
    </xf>
    <xf numFmtId="0" fontId="5" fillId="0" borderId="44" xfId="45" applyFont="1" applyFill="1" applyBorder="1" applyAlignment="1" applyProtection="1">
      <alignment horizontal="center" vertical="center" wrapText="1"/>
      <protection locked="0"/>
    </xf>
    <xf numFmtId="0" fontId="17" fillId="0" borderId="0" xfId="52" applyFont="1" applyBorder="1" applyAlignment="1" applyProtection="1">
      <alignment horizontal="center" vertical="center"/>
      <protection locked="0"/>
    </xf>
    <xf numFmtId="0" fontId="4" fillId="0" borderId="10" xfId="47" applyFont="1" applyFill="1" applyBorder="1" applyAlignment="1" applyProtection="1">
      <alignment horizontal="center" vertical="center" wrapText="1"/>
      <protection locked="0"/>
    </xf>
    <xf numFmtId="0" fontId="4" fillId="0" borderId="10" xfId="0" applyFont="1" applyFill="1" applyBorder="1" applyAlignment="1" applyProtection="1">
      <alignment horizontal="center" vertical="center"/>
      <protection locked="0"/>
    </xf>
    <xf numFmtId="0" fontId="1" fillId="0" borderId="0" xfId="52" applyFont="1" applyFill="1" applyBorder="1" applyAlignment="1" applyProtection="1">
      <alignment horizontal="right" vertical="center"/>
    </xf>
    <xf numFmtId="0" fontId="0" fillId="31" borderId="10" xfId="0" applyFill="1" applyBorder="1" applyAlignment="1">
      <alignment horizontal="center" vertical="center"/>
    </xf>
    <xf numFmtId="0" fontId="0" fillId="31" borderId="10" xfId="0" applyFill="1" applyBorder="1" applyAlignment="1">
      <alignment horizontal="center" vertical="center" wrapText="1"/>
    </xf>
    <xf numFmtId="0" fontId="49" fillId="0" borderId="10" xfId="49" applyFont="1" applyBorder="1"/>
    <xf numFmtId="0" fontId="4" fillId="0" borderId="21" xfId="49" applyFont="1" applyFill="1" applyBorder="1" applyAlignment="1" applyProtection="1">
      <alignment horizontal="center" vertical="center"/>
    </xf>
    <xf numFmtId="0" fontId="4" fillId="0" borderId="21" xfId="49" applyFont="1" applyFill="1" applyBorder="1" applyAlignment="1" applyProtection="1">
      <alignment vertical="center"/>
    </xf>
    <xf numFmtId="0" fontId="4" fillId="0" borderId="50" xfId="49" applyFont="1" applyFill="1" applyBorder="1" applyAlignment="1" applyProtection="1">
      <alignment horizontal="center" vertical="center"/>
    </xf>
    <xf numFmtId="0" fontId="1" fillId="0" borderId="0" xfId="49" applyFont="1" applyFill="1" applyAlignment="1" applyProtection="1">
      <alignment horizontal="center"/>
      <protection locked="0"/>
    </xf>
    <xf numFmtId="0" fontId="49" fillId="0" borderId="54" xfId="49" applyFont="1" applyBorder="1" applyProtection="1">
      <protection locked="0"/>
    </xf>
    <xf numFmtId="0" fontId="49" fillId="0" borderId="55" xfId="49" applyFont="1" applyBorder="1" applyProtection="1">
      <protection locked="0"/>
    </xf>
    <xf numFmtId="0" fontId="49" fillId="0" borderId="56" xfId="49" applyFont="1" applyBorder="1" applyProtection="1">
      <protection locked="0"/>
    </xf>
    <xf numFmtId="0" fontId="0" fillId="0" borderId="0" xfId="0" applyProtection="1">
      <alignment vertical="center"/>
      <protection locked="0"/>
    </xf>
    <xf numFmtId="0" fontId="32" fillId="0" borderId="0" xfId="0" applyFont="1" applyAlignment="1"/>
    <xf numFmtId="0" fontId="32" fillId="0" borderId="0" xfId="0" applyFont="1" applyAlignment="1">
      <alignment vertical="center"/>
    </xf>
    <xf numFmtId="0" fontId="59" fillId="0" borderId="0" xfId="0" applyFont="1" applyAlignment="1"/>
    <xf numFmtId="0" fontId="24" fillId="0" borderId="28" xfId="0" applyFont="1" applyBorder="1" applyAlignment="1">
      <alignment vertical="center"/>
    </xf>
    <xf numFmtId="0" fontId="24" fillId="0" borderId="28" xfId="0" applyFont="1" applyBorder="1" applyAlignment="1">
      <alignment horizontal="center" vertical="center"/>
    </xf>
    <xf numFmtId="0" fontId="0" fillId="0" borderId="0" xfId="0" applyAlignment="1"/>
    <xf numFmtId="0" fontId="0" fillId="0" borderId="0" xfId="0" applyBorder="1" applyAlignment="1"/>
    <xf numFmtId="0" fontId="0" fillId="0" borderId="0" xfId="0" applyFill="1" applyBorder="1" applyAlignment="1"/>
    <xf numFmtId="0" fontId="59" fillId="0" borderId="0" xfId="0" applyFont="1" applyBorder="1" applyAlignment="1"/>
    <xf numFmtId="0" fontId="3" fillId="0" borderId="0" xfId="0" applyFont="1" applyBorder="1" applyAlignment="1"/>
    <xf numFmtId="0" fontId="4" fillId="0" borderId="28" xfId="0" applyFont="1" applyBorder="1">
      <alignment vertical="center"/>
    </xf>
    <xf numFmtId="0" fontId="1" fillId="0" borderId="0" xfId="47" applyFill="1" applyAlignment="1" applyProtection="1">
      <alignment vertical="center" wrapText="1"/>
      <protection locked="0"/>
    </xf>
    <xf numFmtId="0" fontId="50" fillId="0" borderId="28" xfId="49" applyFont="1" applyFill="1" applyBorder="1" applyAlignment="1"/>
    <xf numFmtId="0" fontId="50" fillId="0" borderId="0" xfId="49" applyFont="1" applyFill="1" applyBorder="1" applyAlignment="1"/>
    <xf numFmtId="0" fontId="1" fillId="0" borderId="21" xfId="49" applyFont="1" applyFill="1" applyBorder="1" applyAlignment="1">
      <alignment horizontal="center"/>
    </xf>
    <xf numFmtId="0" fontId="26" fillId="0" borderId="50" xfId="0" applyFont="1" applyFill="1" applyBorder="1" applyAlignment="1" applyProtection="1">
      <alignment horizontal="center" vertical="center"/>
    </xf>
    <xf numFmtId="0" fontId="26" fillId="0" borderId="49" xfId="47" applyFont="1" applyFill="1" applyBorder="1" applyAlignment="1" applyProtection="1">
      <alignment wrapText="1"/>
      <protection locked="0"/>
    </xf>
    <xf numFmtId="0" fontId="3" fillId="0" borderId="10" xfId="47" applyFont="1" applyFill="1" applyBorder="1" applyProtection="1">
      <protection locked="0"/>
    </xf>
    <xf numFmtId="0" fontId="1" fillId="0" borderId="10" xfId="47" applyFont="1" applyFill="1" applyBorder="1" applyAlignment="1" applyProtection="1">
      <alignment horizontal="center"/>
      <protection locked="0"/>
    </xf>
    <xf numFmtId="0" fontId="1" fillId="29" borderId="10" xfId="47" applyFill="1" applyBorder="1" applyAlignment="1" applyProtection="1">
      <alignment wrapText="1"/>
      <protection locked="0"/>
    </xf>
    <xf numFmtId="0" fontId="1" fillId="0" borderId="10" xfId="47" applyFill="1" applyBorder="1" applyProtection="1">
      <protection locked="0"/>
    </xf>
    <xf numFmtId="0" fontId="1" fillId="29" borderId="51" xfId="47" applyFill="1" applyBorder="1" applyAlignment="1" applyProtection="1">
      <alignment wrapText="1"/>
      <protection locked="0"/>
    </xf>
    <xf numFmtId="0" fontId="1" fillId="29" borderId="44" xfId="47" applyFill="1" applyBorder="1" applyAlignment="1" applyProtection="1">
      <alignment wrapText="1"/>
      <protection locked="0"/>
    </xf>
    <xf numFmtId="0" fontId="1" fillId="0" borderId="27" xfId="45" applyFont="1" applyFill="1" applyBorder="1" applyAlignment="1" applyProtection="1">
      <alignment horizontal="center"/>
      <protection locked="0"/>
    </xf>
    <xf numFmtId="0" fontId="1" fillId="0" borderId="41" xfId="45" applyFill="1" applyBorder="1" applyAlignment="1" applyProtection="1">
      <alignment horizontal="center"/>
    </xf>
    <xf numFmtId="0" fontId="1" fillId="0" borderId="10" xfId="47" applyFont="1" applyFill="1" applyBorder="1" applyProtection="1">
      <protection locked="0"/>
    </xf>
    <xf numFmtId="0" fontId="1" fillId="0" borderId="10" xfId="47" applyFill="1" applyBorder="1" applyAlignment="1" applyProtection="1">
      <alignment vertical="center"/>
      <protection locked="0"/>
    </xf>
    <xf numFmtId="0" fontId="6" fillId="0" borderId="10" xfId="47" applyFont="1" applyFill="1" applyBorder="1" applyAlignment="1" applyProtection="1">
      <alignment horizontal="center"/>
      <protection locked="0"/>
    </xf>
    <xf numFmtId="0" fontId="1" fillId="0" borderId="10" xfId="47" applyFill="1" applyBorder="1" applyAlignment="1" applyProtection="1">
      <alignment horizontal="center" vertical="center"/>
      <protection locked="0"/>
    </xf>
    <xf numFmtId="49" fontId="17" fillId="0" borderId="10" xfId="47" applyNumberFormat="1" applyFont="1" applyFill="1" applyBorder="1" applyAlignment="1" applyProtection="1">
      <alignment horizontal="center" vertical="center"/>
      <protection locked="0"/>
    </xf>
    <xf numFmtId="0" fontId="61" fillId="0" borderId="51" xfId="47" applyFont="1" applyFill="1" applyBorder="1" applyAlignment="1" applyProtection="1">
      <alignment wrapText="1"/>
      <protection locked="0"/>
    </xf>
    <xf numFmtId="0" fontId="61" fillId="0" borderId="44" xfId="47" applyFont="1" applyFill="1" applyBorder="1" applyAlignment="1" applyProtection="1">
      <alignment wrapText="1"/>
      <protection locked="0"/>
    </xf>
    <xf numFmtId="0" fontId="3" fillId="24" borderId="49" xfId="46" applyFont="1" applyFill="1" applyBorder="1" applyAlignment="1" applyProtection="1">
      <alignment vertical="center" shrinkToFit="1"/>
      <protection locked="0"/>
    </xf>
    <xf numFmtId="0" fontId="3" fillId="24" borderId="49" xfId="0" applyFont="1" applyFill="1" applyBorder="1" applyAlignment="1" applyProtection="1">
      <alignment vertical="center"/>
      <protection locked="0"/>
    </xf>
    <xf numFmtId="0" fontId="0" fillId="32" borderId="47" xfId="0" applyFill="1" applyBorder="1" applyAlignment="1">
      <alignment horizontal="center" vertical="center"/>
    </xf>
    <xf numFmtId="0" fontId="0" fillId="32" borderId="57" xfId="0" applyFill="1" applyBorder="1" applyAlignment="1">
      <alignment horizontal="center" vertical="center"/>
    </xf>
    <xf numFmtId="0" fontId="0" fillId="32" borderId="48" xfId="0" applyFill="1" applyBorder="1" applyAlignment="1">
      <alignment horizontal="center" vertical="center"/>
    </xf>
    <xf numFmtId="0" fontId="26" fillId="0" borderId="10" xfId="47" applyFont="1" applyFill="1" applyBorder="1" applyAlignment="1" applyProtection="1">
      <alignment horizontal="center" vertical="center" wrapText="1"/>
      <protection locked="0"/>
    </xf>
    <xf numFmtId="0" fontId="50" fillId="0" borderId="0" xfId="52" applyFont="1" applyProtection="1">
      <alignment vertical="center"/>
      <protection locked="0"/>
    </xf>
    <xf numFmtId="0" fontId="1" fillId="0" borderId="0" xfId="45" applyFont="1" applyFill="1" applyAlignment="1" applyProtection="1">
      <alignment horizontal="center" vertical="center"/>
      <protection locked="0"/>
    </xf>
    <xf numFmtId="0" fontId="1" fillId="0" borderId="0" xfId="47" applyFont="1" applyFill="1" applyProtection="1">
      <protection locked="0"/>
    </xf>
    <xf numFmtId="0" fontId="61" fillId="0" borderId="44" xfId="48" applyFont="1" applyFill="1" applyBorder="1" applyAlignment="1" applyProtection="1">
      <alignment vertical="center" wrapText="1"/>
      <protection locked="0"/>
    </xf>
    <xf numFmtId="0" fontId="61" fillId="0" borderId="51" xfId="48" applyFont="1" applyFill="1" applyBorder="1" applyAlignment="1" applyProtection="1">
      <alignment vertical="center" wrapText="1"/>
      <protection locked="0"/>
    </xf>
    <xf numFmtId="0" fontId="4" fillId="0" borderId="0" xfId="52" applyFont="1" applyBorder="1" applyAlignment="1" applyProtection="1">
      <alignment horizontal="left" vertical="center"/>
    </xf>
    <xf numFmtId="0" fontId="1" fillId="0" borderId="0" xfId="45" applyFont="1" applyFill="1" applyAlignment="1" applyProtection="1">
      <alignment horizontal="center" vertical="center"/>
    </xf>
    <xf numFmtId="0" fontId="1" fillId="0" borderId="0" xfId="47" applyFont="1" applyFill="1" applyAlignment="1" applyProtection="1">
      <alignment vertical="center"/>
    </xf>
    <xf numFmtId="0" fontId="1" fillId="0" borderId="0" xfId="47" applyFont="1" applyFill="1" applyProtection="1"/>
    <xf numFmtId="49" fontId="1" fillId="0" borderId="10" xfId="43" applyNumberFormat="1" applyFont="1" applyFill="1" applyBorder="1" applyAlignment="1">
      <alignment horizontal="center" vertical="center"/>
    </xf>
    <xf numFmtId="49" fontId="1" fillId="0" borderId="58" xfId="43" applyNumberFormat="1" applyFont="1" applyFill="1" applyBorder="1" applyAlignment="1">
      <alignment horizontal="center" vertical="center"/>
    </xf>
    <xf numFmtId="49" fontId="1" fillId="0" borderId="10" xfId="50" applyNumberFormat="1" applyFont="1" applyFill="1" applyBorder="1" applyAlignment="1">
      <alignment horizontal="center" vertical="center"/>
    </xf>
    <xf numFmtId="0" fontId="1" fillId="0" borderId="59" xfId="43" applyFont="1" applyFill="1" applyBorder="1" applyAlignment="1">
      <alignment vertical="center"/>
    </xf>
    <xf numFmtId="49" fontId="1" fillId="0" borderId="60" xfId="44" applyNumberFormat="1" applyFont="1" applyFill="1" applyBorder="1" applyAlignment="1">
      <alignment vertical="center"/>
    </xf>
    <xf numFmtId="49" fontId="1" fillId="0" borderId="61" xfId="44" applyNumberFormat="1" applyFont="1" applyFill="1" applyBorder="1" applyAlignment="1">
      <alignment vertical="center"/>
    </xf>
    <xf numFmtId="49" fontId="1" fillId="0" borderId="61" xfId="50" applyNumberFormat="1" applyFont="1" applyFill="1" applyBorder="1" applyAlignment="1">
      <alignment vertical="center"/>
    </xf>
    <xf numFmtId="49" fontId="1" fillId="0" borderId="61" xfId="43" applyNumberFormat="1" applyFont="1" applyFill="1" applyBorder="1" applyAlignment="1">
      <alignment vertical="center"/>
    </xf>
    <xf numFmtId="49" fontId="1" fillId="0" borderId="60" xfId="50" applyNumberFormat="1" applyFont="1" applyFill="1" applyBorder="1" applyAlignment="1">
      <alignment vertical="center"/>
    </xf>
    <xf numFmtId="0" fontId="1" fillId="0" borderId="62" xfId="43" applyFont="1" applyFill="1" applyBorder="1" applyAlignment="1">
      <alignment vertical="center"/>
    </xf>
    <xf numFmtId="49" fontId="1" fillId="0" borderId="63" xfId="44" applyNumberFormat="1" applyFont="1" applyFill="1" applyBorder="1" applyAlignment="1">
      <alignment vertical="center"/>
    </xf>
    <xf numFmtId="0" fontId="1" fillId="0" borderId="59" xfId="44" applyFont="1" applyFill="1" applyBorder="1" applyAlignment="1">
      <alignment vertical="center"/>
    </xf>
    <xf numFmtId="0" fontId="7" fillId="0" borderId="10" xfId="0" applyFont="1" applyFill="1" applyBorder="1" applyAlignment="1" applyProtection="1">
      <alignment horizontal="left" vertical="center"/>
      <protection locked="0"/>
    </xf>
    <xf numFmtId="0" fontId="7" fillId="0" borderId="10" xfId="0" applyFont="1" applyFill="1" applyBorder="1" applyAlignment="1" applyProtection="1">
      <alignment vertical="center" wrapText="1"/>
      <protection locked="0"/>
    </xf>
    <xf numFmtId="0" fontId="8" fillId="29" borderId="51" xfId="0" applyFont="1" applyFill="1" applyBorder="1" applyAlignment="1" applyProtection="1">
      <alignment vertical="center" wrapText="1"/>
      <protection locked="0"/>
    </xf>
    <xf numFmtId="0" fontId="7" fillId="0" borderId="10" xfId="0" applyFont="1" applyFill="1" applyBorder="1" applyAlignment="1" applyProtection="1">
      <alignment vertical="center"/>
      <protection locked="0"/>
    </xf>
    <xf numFmtId="0" fontId="3" fillId="29" borderId="10" xfId="47" applyFont="1" applyFill="1" applyBorder="1" applyAlignment="1" applyProtection="1">
      <alignment horizontal="left" vertical="center" wrapText="1"/>
      <protection locked="0"/>
    </xf>
    <xf numFmtId="0" fontId="3" fillId="0" borderId="10" xfId="47" applyFont="1" applyFill="1" applyBorder="1" applyAlignment="1" applyProtection="1">
      <alignment horizontal="left" vertical="center" wrapText="1"/>
      <protection locked="0"/>
    </xf>
    <xf numFmtId="0" fontId="5" fillId="26" borderId="10" xfId="0" applyFont="1" applyFill="1" applyBorder="1" applyAlignment="1" applyProtection="1">
      <alignment horizontal="center" vertical="center"/>
      <protection locked="0"/>
    </xf>
    <xf numFmtId="0" fontId="5" fillId="29" borderId="10" xfId="0" applyFont="1" applyFill="1" applyBorder="1" applyAlignment="1" applyProtection="1">
      <alignment horizontal="center" vertical="center"/>
      <protection locked="0"/>
    </xf>
    <xf numFmtId="0" fontId="4" fillId="26" borderId="10" xfId="0" applyFont="1" applyFill="1" applyBorder="1" applyAlignment="1" applyProtection="1">
      <alignment horizontal="center" vertical="center"/>
      <protection locked="0"/>
    </xf>
    <xf numFmtId="0" fontId="8" fillId="0" borderId="10" xfId="45" applyFont="1" applyFill="1" applyBorder="1" applyAlignment="1" applyProtection="1">
      <alignment vertical="center"/>
      <protection locked="0"/>
    </xf>
    <xf numFmtId="0" fontId="1" fillId="0" borderId="44" xfId="47" applyFill="1" applyBorder="1" applyAlignment="1" applyProtection="1">
      <alignment vertical="center"/>
      <protection locked="0"/>
    </xf>
    <xf numFmtId="0" fontId="1" fillId="0" borderId="51" xfId="47" applyFill="1" applyBorder="1" applyAlignment="1" applyProtection="1">
      <alignment vertical="center"/>
      <protection locked="0"/>
    </xf>
    <xf numFmtId="0" fontId="26" fillId="0" borderId="51" xfId="45" applyFont="1" applyFill="1" applyBorder="1" applyAlignment="1" applyProtection="1">
      <alignment vertical="center" wrapText="1"/>
      <protection locked="0"/>
    </xf>
    <xf numFmtId="0" fontId="1" fillId="0" borderId="0" xfId="48" applyFont="1" applyFill="1" applyBorder="1" applyAlignment="1" applyProtection="1">
      <alignment horizontal="center" vertical="center"/>
      <protection locked="0"/>
    </xf>
    <xf numFmtId="0" fontId="26" fillId="0" borderId="49" xfId="0" applyFont="1" applyFill="1" applyBorder="1" applyAlignment="1" applyProtection="1">
      <alignment horizontal="left" vertical="center"/>
      <protection locked="0"/>
    </xf>
    <xf numFmtId="0" fontId="61" fillId="0" borderId="44" xfId="0" applyFont="1" applyFill="1" applyBorder="1" applyAlignment="1" applyProtection="1">
      <alignment horizontal="left" vertical="center"/>
      <protection locked="0"/>
    </xf>
    <xf numFmtId="0" fontId="33" fillId="0" borderId="0" xfId="47" applyFont="1" applyFill="1" applyAlignment="1" applyProtection="1">
      <alignment wrapText="1"/>
      <protection locked="0"/>
    </xf>
    <xf numFmtId="0" fontId="26" fillId="0" borderId="10" xfId="0" applyFont="1" applyFill="1" applyBorder="1" applyAlignment="1" applyProtection="1">
      <alignment horizontal="center" vertical="center"/>
      <protection locked="0"/>
    </xf>
    <xf numFmtId="0" fontId="26" fillId="0" borderId="10" xfId="48" applyFont="1" applyFill="1" applyBorder="1" applyAlignment="1" applyProtection="1">
      <alignment horizontal="center" vertical="center"/>
      <protection locked="0"/>
    </xf>
    <xf numFmtId="0" fontId="26" fillId="0" borderId="44" xfId="0" applyFont="1" applyFill="1" applyBorder="1" applyAlignment="1" applyProtection="1">
      <alignment horizontal="center" vertical="center"/>
      <protection locked="0"/>
    </xf>
    <xf numFmtId="0" fontId="62" fillId="0" borderId="0" xfId="47" applyFont="1" applyFill="1" applyAlignment="1">
      <alignment horizontal="center"/>
    </xf>
    <xf numFmtId="0" fontId="1" fillId="0" borderId="10" xfId="47" applyFont="1" applyFill="1" applyBorder="1" applyAlignment="1" applyProtection="1">
      <alignment vertical="center"/>
      <protection locked="0"/>
    </xf>
    <xf numFmtId="0" fontId="3" fillId="29" borderId="10" xfId="47" applyFont="1" applyFill="1" applyBorder="1" applyAlignment="1" applyProtection="1">
      <alignment vertical="center" wrapText="1"/>
      <protection locked="0"/>
    </xf>
    <xf numFmtId="0" fontId="3" fillId="0" borderId="10" xfId="47" applyFont="1" applyFill="1" applyBorder="1" applyAlignment="1" applyProtection="1">
      <alignment vertical="center" wrapText="1"/>
      <protection locked="0"/>
    </xf>
    <xf numFmtId="0" fontId="1" fillId="0" borderId="126" xfId="44" applyFont="1" applyFill="1" applyBorder="1" applyAlignment="1">
      <alignment vertical="center"/>
    </xf>
    <xf numFmtId="49" fontId="1" fillId="0" borderId="44" xfId="50" applyNumberFormat="1" applyFont="1" applyFill="1" applyBorder="1" applyAlignment="1">
      <alignment horizontal="center" vertical="center"/>
    </xf>
    <xf numFmtId="0" fontId="1" fillId="0" borderId="126" xfId="43" applyFont="1" applyFill="1" applyBorder="1" applyAlignment="1">
      <alignment vertical="center"/>
    </xf>
    <xf numFmtId="49" fontId="1" fillId="0" borderId="44" xfId="43" applyNumberFormat="1" applyFont="1" applyFill="1" applyBorder="1" applyAlignment="1">
      <alignment horizontal="center" vertical="center"/>
    </xf>
    <xf numFmtId="49" fontId="1" fillId="0" borderId="63" xfId="50" applyNumberFormat="1" applyFont="1" applyFill="1" applyBorder="1" applyAlignment="1">
      <alignment vertical="center"/>
    </xf>
    <xf numFmtId="0" fontId="70" fillId="0" borderId="10" xfId="0" applyFont="1" applyFill="1" applyBorder="1" applyAlignment="1" applyProtection="1">
      <alignment vertical="center" wrapText="1"/>
      <protection locked="0"/>
    </xf>
    <xf numFmtId="0" fontId="0" fillId="0" borderId="59" xfId="43" applyFont="1" applyFill="1" applyBorder="1" applyAlignment="1">
      <alignment vertical="center"/>
    </xf>
    <xf numFmtId="0" fontId="1" fillId="0" borderId="123" xfId="43" applyFont="1" applyFill="1" applyBorder="1" applyAlignment="1">
      <alignment vertical="center"/>
    </xf>
    <xf numFmtId="49" fontId="1" fillId="0" borderId="49" xfId="43" applyNumberFormat="1" applyFont="1" applyFill="1" applyBorder="1" applyAlignment="1">
      <alignment horizontal="center" vertical="center"/>
    </xf>
    <xf numFmtId="49" fontId="1" fillId="0" borderId="127" xfId="44" applyNumberFormat="1" applyFont="1" applyFill="1" applyBorder="1" applyAlignment="1">
      <alignment vertical="center"/>
    </xf>
    <xf numFmtId="0" fontId="0" fillId="0" borderId="122" xfId="43" applyFont="1" applyFill="1" applyBorder="1" applyAlignment="1">
      <alignment vertical="center"/>
    </xf>
    <xf numFmtId="49" fontId="1" fillId="0" borderId="125" xfId="43" applyNumberFormat="1" applyFont="1" applyFill="1" applyBorder="1" applyAlignment="1">
      <alignment horizontal="center" vertical="center"/>
    </xf>
    <xf numFmtId="49" fontId="1" fillId="0" borderId="128" xfId="44" applyNumberFormat="1" applyFont="1" applyFill="1" applyBorder="1" applyAlignment="1">
      <alignment vertical="center"/>
    </xf>
    <xf numFmtId="0" fontId="3" fillId="25" borderId="10" xfId="47" applyFont="1" applyFill="1" applyBorder="1" applyAlignment="1" applyProtection="1">
      <alignment horizontal="left" vertical="center" wrapText="1"/>
      <protection locked="0"/>
    </xf>
    <xf numFmtId="0" fontId="3" fillId="29" borderId="49" xfId="47" applyFont="1" applyFill="1" applyBorder="1" applyAlignment="1" applyProtection="1">
      <alignment wrapText="1"/>
      <protection locked="0"/>
    </xf>
    <xf numFmtId="0" fontId="3" fillId="29" borderId="51" xfId="47" applyFont="1" applyFill="1" applyBorder="1" applyAlignment="1" applyProtection="1">
      <alignment wrapText="1"/>
      <protection locked="0"/>
    </xf>
    <xf numFmtId="0" fontId="3" fillId="29" borderId="44" xfId="47" applyFont="1" applyFill="1" applyBorder="1" applyAlignment="1" applyProtection="1">
      <alignment wrapText="1"/>
      <protection locked="0"/>
    </xf>
    <xf numFmtId="0" fontId="3" fillId="29" borderId="10" xfId="47" applyFont="1" applyFill="1" applyBorder="1" applyAlignment="1" applyProtection="1">
      <alignment wrapText="1"/>
      <protection locked="0"/>
    </xf>
    <xf numFmtId="0" fontId="18" fillId="0" borderId="0" xfId="52" applyFont="1" applyFill="1" applyBorder="1" applyAlignment="1" applyProtection="1">
      <alignment horizontal="left" vertical="center"/>
    </xf>
    <xf numFmtId="0" fontId="4" fillId="0" borderId="0" xfId="52" applyFont="1" applyFill="1" applyBorder="1" applyAlignment="1" applyProtection="1">
      <alignment vertical="center" textRotation="255"/>
    </xf>
    <xf numFmtId="0" fontId="4" fillId="0" borderId="0" xfId="52" applyFont="1" applyFill="1" applyBorder="1" applyAlignment="1" applyProtection="1">
      <alignment vertical="center"/>
    </xf>
    <xf numFmtId="0" fontId="1" fillId="0" borderId="0" xfId="52" applyFont="1" applyFill="1" applyBorder="1" applyAlignment="1" applyProtection="1">
      <alignment vertical="center"/>
    </xf>
    <xf numFmtId="0" fontId="1" fillId="0" borderId="0" xfId="55" applyBorder="1" applyAlignment="1" applyProtection="1">
      <alignment vertical="center"/>
    </xf>
    <xf numFmtId="0" fontId="4" fillId="0" borderId="0" xfId="45" applyFont="1" applyFill="1" applyBorder="1" applyAlignment="1" applyProtection="1">
      <alignment horizontal="left" vertical="center"/>
      <protection locked="0"/>
    </xf>
    <xf numFmtId="0" fontId="1" fillId="0" borderId="0" xfId="55" applyBorder="1" applyProtection="1"/>
    <xf numFmtId="0" fontId="1" fillId="0" borderId="0" xfId="52" applyFont="1" applyFill="1" applyBorder="1" applyProtection="1">
      <alignment vertical="center"/>
    </xf>
    <xf numFmtId="0" fontId="1" fillId="0" borderId="0" xfId="52" applyFill="1" applyProtection="1">
      <alignment vertical="center"/>
    </xf>
    <xf numFmtId="0" fontId="17" fillId="0" borderId="13" xfId="45" applyFont="1" applyFill="1" applyBorder="1" applyAlignment="1" applyProtection="1">
      <alignment horizontal="left" vertical="center"/>
      <protection locked="0"/>
    </xf>
    <xf numFmtId="0" fontId="1" fillId="0" borderId="0" xfId="52" applyFont="1" applyFill="1" applyBorder="1" applyAlignment="1" applyProtection="1">
      <alignment horizontal="left" vertical="center"/>
      <protection locked="0"/>
    </xf>
    <xf numFmtId="0" fontId="17" fillId="0" borderId="11" xfId="45" applyFont="1" applyFill="1" applyBorder="1" applyAlignment="1" applyProtection="1">
      <alignment horizontal="left" vertical="center"/>
      <protection locked="0"/>
    </xf>
    <xf numFmtId="0" fontId="1" fillId="0" borderId="0" xfId="52" applyFont="1" applyFill="1" applyProtection="1">
      <alignment vertical="center"/>
    </xf>
    <xf numFmtId="0" fontId="1" fillId="0" borderId="0" xfId="55" applyFill="1" applyBorder="1" applyProtection="1"/>
    <xf numFmtId="49" fontId="4" fillId="0" borderId="18" xfId="52" applyNumberFormat="1" applyFont="1" applyFill="1" applyBorder="1" applyAlignment="1" applyProtection="1">
      <alignment vertical="center" shrinkToFit="1"/>
    </xf>
    <xf numFmtId="0" fontId="69" fillId="0" borderId="10" xfId="0" applyFont="1" applyFill="1" applyBorder="1" applyAlignment="1" applyProtection="1">
      <alignment vertical="center"/>
      <protection locked="0"/>
    </xf>
    <xf numFmtId="0" fontId="69" fillId="0" borderId="10" xfId="0" applyFont="1" applyFill="1" applyBorder="1" applyAlignment="1" applyProtection="1">
      <alignment vertical="center" wrapText="1"/>
      <protection locked="0"/>
    </xf>
    <xf numFmtId="0" fontId="7" fillId="25" borderId="49" xfId="0" applyFont="1" applyFill="1" applyBorder="1" applyAlignment="1" applyProtection="1">
      <alignment vertical="center" wrapText="1"/>
      <protection locked="0"/>
    </xf>
    <xf numFmtId="0" fontId="4" fillId="0" borderId="17" xfId="52" applyFont="1" applyFill="1" applyBorder="1" applyAlignment="1" applyProtection="1">
      <alignment vertical="center"/>
    </xf>
    <xf numFmtId="0" fontId="4" fillId="0" borderId="33" xfId="52" applyFont="1" applyFill="1" applyBorder="1" applyAlignment="1" applyProtection="1">
      <alignment vertical="center"/>
    </xf>
    <xf numFmtId="0" fontId="68" fillId="0" borderId="10" xfId="47" applyFont="1" applyFill="1" applyBorder="1" applyAlignment="1" applyProtection="1">
      <alignment horizontal="center" vertical="center" wrapText="1"/>
      <protection locked="0"/>
    </xf>
    <xf numFmtId="0" fontId="0" fillId="0" borderId="123" xfId="43" applyFont="1" applyFill="1" applyBorder="1" applyAlignment="1">
      <alignment vertical="center"/>
    </xf>
    <xf numFmtId="0" fontId="70" fillId="34" borderId="10" xfId="48" applyFont="1" applyFill="1" applyBorder="1" applyAlignment="1" applyProtection="1">
      <alignment horizontal="center" vertical="center"/>
      <protection locked="0"/>
    </xf>
    <xf numFmtId="49" fontId="1" fillId="0" borderId="63" xfId="43" applyNumberFormat="1" applyFont="1" applyFill="1" applyBorder="1" applyAlignment="1">
      <alignment vertical="center"/>
    </xf>
    <xf numFmtId="0" fontId="0" fillId="35" borderId="122" xfId="43" applyFont="1" applyFill="1" applyBorder="1" applyAlignment="1">
      <alignment vertical="center"/>
    </xf>
    <xf numFmtId="49" fontId="1" fillId="35" borderId="125" xfId="43" applyNumberFormat="1" applyFont="1" applyFill="1" applyBorder="1" applyAlignment="1">
      <alignment horizontal="center" vertical="center"/>
    </xf>
    <xf numFmtId="49" fontId="1" fillId="35" borderId="128" xfId="44" applyNumberFormat="1" applyFont="1" applyFill="1" applyBorder="1" applyAlignment="1">
      <alignment vertical="center"/>
    </xf>
    <xf numFmtId="0" fontId="0" fillId="35" borderId="59" xfId="43" applyFont="1" applyFill="1" applyBorder="1" applyAlignment="1">
      <alignment vertical="center"/>
    </xf>
    <xf numFmtId="49" fontId="1" fillId="35" borderId="10" xfId="43" applyNumberFormat="1" applyFont="1" applyFill="1" applyBorder="1" applyAlignment="1">
      <alignment horizontal="center" vertical="center"/>
    </xf>
    <xf numFmtId="49" fontId="1" fillId="35" borderId="61" xfId="44" applyNumberFormat="1" applyFont="1" applyFill="1" applyBorder="1" applyAlignment="1">
      <alignment vertical="center"/>
    </xf>
    <xf numFmtId="0" fontId="0" fillId="35" borderId="62" xfId="43" applyFont="1" applyFill="1" applyBorder="1" applyAlignment="1">
      <alignment vertical="center"/>
    </xf>
    <xf numFmtId="49" fontId="1" fillId="35" borderId="58" xfId="43" applyNumberFormat="1" applyFont="1" applyFill="1" applyBorder="1" applyAlignment="1">
      <alignment horizontal="center" vertical="center"/>
    </xf>
    <xf numFmtId="49" fontId="1" fillId="35" borderId="63" xfId="44" applyNumberFormat="1" applyFont="1" applyFill="1" applyBorder="1" applyAlignment="1">
      <alignment vertical="center"/>
    </xf>
    <xf numFmtId="0" fontId="0" fillId="0" borderId="10" xfId="0" applyBorder="1" applyAlignment="1">
      <alignment horizontal="center" vertical="center"/>
    </xf>
    <xf numFmtId="0" fontId="4" fillId="0" borderId="21" xfId="49" applyFont="1" applyFill="1" applyBorder="1" applyAlignment="1" applyProtection="1">
      <alignment horizontal="center" vertical="center"/>
    </xf>
    <xf numFmtId="0" fontId="1" fillId="0" borderId="0" xfId="52" applyNumberFormat="1" applyFont="1" applyBorder="1" applyAlignment="1" applyProtection="1">
      <alignment horizontal="center" vertical="center"/>
      <protection locked="0"/>
    </xf>
    <xf numFmtId="49" fontId="4" fillId="0" borderId="17" xfId="52" applyNumberFormat="1" applyFont="1" applyFill="1" applyBorder="1" applyAlignment="1">
      <alignment horizontal="center" vertical="center"/>
    </xf>
    <xf numFmtId="0" fontId="4" fillId="0" borderId="42" xfId="52" applyFont="1" applyFill="1" applyBorder="1" applyAlignment="1" applyProtection="1">
      <alignment vertical="center"/>
    </xf>
    <xf numFmtId="0" fontId="4" fillId="0" borderId="18" xfId="52" applyFont="1" applyFill="1" applyBorder="1" applyAlignment="1" applyProtection="1">
      <alignment vertical="center"/>
    </xf>
    <xf numFmtId="0" fontId="4" fillId="0" borderId="73" xfId="52" applyFont="1" applyFill="1" applyBorder="1" applyAlignment="1" applyProtection="1">
      <alignment vertical="center"/>
    </xf>
    <xf numFmtId="49" fontId="4" fillId="0" borderId="18" xfId="52" applyNumberFormat="1" applyFont="1" applyFill="1" applyBorder="1" applyAlignment="1" applyProtection="1">
      <alignment horizontal="left" vertical="center" shrinkToFit="1"/>
      <protection locked="0"/>
    </xf>
    <xf numFmtId="49" fontId="4" fillId="0" borderId="37" xfId="52" applyNumberFormat="1" applyFont="1" applyFill="1" applyBorder="1" applyAlignment="1" applyProtection="1">
      <alignment vertical="center"/>
    </xf>
    <xf numFmtId="49" fontId="4" fillId="0" borderId="18" xfId="52" applyNumberFormat="1" applyFont="1" applyFill="1" applyBorder="1" applyAlignment="1" applyProtection="1">
      <alignment vertical="center"/>
    </xf>
    <xf numFmtId="49" fontId="4" fillId="0" borderId="73" xfId="52" applyNumberFormat="1" applyFont="1" applyFill="1" applyBorder="1" applyAlignment="1" applyProtection="1">
      <alignment vertical="center"/>
    </xf>
    <xf numFmtId="0" fontId="4" fillId="0" borderId="37" xfId="52" applyFont="1" applyFill="1" applyBorder="1" applyAlignment="1" applyProtection="1">
      <alignment horizontal="center" vertical="center"/>
      <protection locked="0"/>
    </xf>
    <xf numFmtId="0" fontId="4" fillId="0" borderId="18" xfId="52" applyFont="1" applyFill="1" applyBorder="1" applyAlignment="1" applyProtection="1">
      <alignment horizontal="center" vertical="center"/>
      <protection locked="0"/>
    </xf>
    <xf numFmtId="49" fontId="4" fillId="0" borderId="18" xfId="52" applyNumberFormat="1" applyFont="1" applyFill="1" applyBorder="1" applyAlignment="1" applyProtection="1">
      <alignment horizontal="center" vertical="center" shrinkToFit="1"/>
      <protection locked="0"/>
    </xf>
    <xf numFmtId="49" fontId="4" fillId="0" borderId="18" xfId="52" applyNumberFormat="1" applyFont="1" applyFill="1" applyBorder="1" applyAlignment="1" applyProtection="1">
      <alignment horizontal="center" vertical="center"/>
      <protection locked="0"/>
    </xf>
    <xf numFmtId="49" fontId="4" fillId="0" borderId="38" xfId="52" applyNumberFormat="1" applyFont="1" applyFill="1" applyBorder="1" applyAlignment="1" applyProtection="1">
      <alignment horizontal="center" vertical="center"/>
      <protection locked="0"/>
    </xf>
    <xf numFmtId="0" fontId="4" fillId="0" borderId="12" xfId="52" applyFont="1" applyFill="1" applyBorder="1" applyAlignment="1">
      <alignment horizontal="left" vertical="center"/>
    </xf>
    <xf numFmtId="0" fontId="4" fillId="0" borderId="13" xfId="52" applyFont="1" applyFill="1" applyBorder="1" applyAlignment="1">
      <alignment horizontal="left" vertical="center"/>
    </xf>
    <xf numFmtId="0" fontId="4" fillId="0" borderId="14" xfId="52" applyFont="1" applyFill="1" applyBorder="1" applyAlignment="1">
      <alignment horizontal="left" vertical="center"/>
    </xf>
    <xf numFmtId="0" fontId="4" fillId="0" borderId="39" xfId="52" applyFont="1" applyFill="1" applyBorder="1" applyAlignment="1">
      <alignment horizontal="left" vertical="center"/>
    </xf>
    <xf numFmtId="0" fontId="4" fillId="0" borderId="0" xfId="52" applyFont="1" applyFill="1" applyBorder="1" applyAlignment="1">
      <alignment horizontal="left" vertical="center"/>
    </xf>
    <xf numFmtId="0" fontId="4" fillId="0" borderId="40" xfId="52" applyFont="1" applyFill="1" applyBorder="1" applyAlignment="1">
      <alignment horizontal="left" vertical="center"/>
    </xf>
    <xf numFmtId="0" fontId="4" fillId="0" borderId="74" xfId="52" applyFont="1" applyFill="1" applyBorder="1" applyAlignment="1">
      <alignment horizontal="left" vertical="center"/>
    </xf>
    <xf numFmtId="0" fontId="4" fillId="0" borderId="11" xfId="52" applyFont="1" applyFill="1" applyBorder="1" applyAlignment="1">
      <alignment horizontal="left" vertical="center"/>
    </xf>
    <xf numFmtId="0" fontId="4" fillId="0" borderId="52" xfId="52" applyFont="1" applyFill="1" applyBorder="1" applyAlignment="1">
      <alignment horizontal="left" vertical="center"/>
    </xf>
    <xf numFmtId="0" fontId="4" fillId="0" borderId="17" xfId="52" applyFont="1" applyFill="1" applyBorder="1" applyAlignment="1" applyProtection="1">
      <alignment horizontal="center" vertical="center" wrapText="1"/>
    </xf>
    <xf numFmtId="0" fontId="4" fillId="0" borderId="11" xfId="52" applyFont="1" applyFill="1" applyBorder="1" applyAlignment="1" applyProtection="1">
      <alignment horizontal="center" vertical="center" wrapText="1"/>
    </xf>
    <xf numFmtId="0" fontId="4" fillId="0" borderId="21" xfId="52" applyFont="1" applyFill="1" applyBorder="1" applyAlignment="1">
      <alignment vertical="center"/>
    </xf>
    <xf numFmtId="0" fontId="4" fillId="0" borderId="24" xfId="52" applyFont="1" applyFill="1" applyBorder="1" applyAlignment="1">
      <alignment vertical="center"/>
    </xf>
    <xf numFmtId="0" fontId="4" fillId="0" borderId="21" xfId="52" applyFont="1" applyFill="1" applyBorder="1" applyAlignment="1" applyProtection="1">
      <alignment vertical="center"/>
    </xf>
    <xf numFmtId="0" fontId="4" fillId="0" borderId="24" xfId="52" applyFont="1" applyFill="1" applyBorder="1" applyAlignment="1" applyProtection="1">
      <alignment vertical="center"/>
    </xf>
    <xf numFmtId="0" fontId="4" fillId="0" borderId="74" xfId="52" applyFont="1" applyFill="1" applyBorder="1" applyAlignment="1" applyProtection="1">
      <alignment vertical="center"/>
    </xf>
    <xf numFmtId="0" fontId="4" fillId="0" borderId="11" xfId="52" applyFont="1" applyFill="1" applyBorder="1" applyAlignment="1" applyProtection="1">
      <alignment vertical="center"/>
    </xf>
    <xf numFmtId="0" fontId="4" fillId="0" borderId="52" xfId="52" applyFont="1" applyFill="1" applyBorder="1" applyAlignment="1" applyProtection="1">
      <alignment vertical="center"/>
    </xf>
    <xf numFmtId="0" fontId="4" fillId="0" borderId="25" xfId="52" applyFont="1" applyFill="1" applyBorder="1" applyAlignment="1" applyProtection="1">
      <alignment vertical="center"/>
      <protection locked="0"/>
    </xf>
    <xf numFmtId="0" fontId="4" fillId="0" borderId="11" xfId="52" applyFont="1" applyFill="1" applyBorder="1" applyAlignment="1" applyProtection="1">
      <alignment vertical="center"/>
      <protection locked="0"/>
    </xf>
    <xf numFmtId="49" fontId="4" fillId="0" borderId="52" xfId="52" applyNumberFormat="1" applyFont="1" applyFill="1" applyBorder="1" applyAlignment="1" applyProtection="1">
      <alignment horizontal="center" vertical="center" shrinkToFit="1"/>
    </xf>
    <xf numFmtId="49" fontId="4" fillId="0" borderId="44" xfId="52" applyNumberFormat="1" applyFont="1" applyFill="1" applyBorder="1" applyAlignment="1" applyProtection="1">
      <alignment horizontal="center" vertical="center" shrinkToFit="1"/>
    </xf>
    <xf numFmtId="49" fontId="4" fillId="0" borderId="11" xfId="52" applyNumberFormat="1" applyFont="1" applyFill="1" applyBorder="1" applyAlignment="1">
      <alignment vertical="center"/>
    </xf>
    <xf numFmtId="49" fontId="4" fillId="0" borderId="52" xfId="52" applyNumberFormat="1" applyFont="1" applyFill="1" applyBorder="1" applyAlignment="1">
      <alignment vertical="center"/>
    </xf>
    <xf numFmtId="49" fontId="4" fillId="0" borderId="11" xfId="52" applyNumberFormat="1" applyFont="1" applyFill="1" applyBorder="1" applyAlignment="1" applyProtection="1">
      <alignment horizontal="center" vertical="center" shrinkToFit="1"/>
      <protection locked="0"/>
    </xf>
    <xf numFmtId="49" fontId="4" fillId="0" borderId="60" xfId="52" applyNumberFormat="1" applyFont="1" applyFill="1" applyBorder="1" applyAlignment="1" applyProtection="1">
      <alignment horizontal="center" vertical="center" shrinkToFit="1"/>
    </xf>
    <xf numFmtId="0" fontId="4" fillId="0" borderId="17" xfId="52" applyFont="1" applyFill="1" applyBorder="1" applyAlignment="1" applyProtection="1">
      <alignment vertical="center"/>
    </xf>
    <xf numFmtId="0" fontId="4" fillId="0" borderId="129" xfId="52" applyFont="1" applyFill="1" applyBorder="1" applyAlignment="1" applyProtection="1">
      <alignment vertical="center"/>
    </xf>
    <xf numFmtId="0" fontId="4" fillId="24" borderId="47" xfId="52" applyFont="1" applyFill="1" applyBorder="1" applyAlignment="1">
      <alignment vertical="center"/>
    </xf>
    <xf numFmtId="0" fontId="4" fillId="24" borderId="16" xfId="52" applyFont="1" applyFill="1" applyBorder="1" applyAlignment="1">
      <alignment vertical="center"/>
    </xf>
    <xf numFmtId="0" fontId="4" fillId="24" borderId="66" xfId="52" applyFont="1" applyFill="1" applyBorder="1" applyAlignment="1">
      <alignment vertical="center"/>
    </xf>
    <xf numFmtId="0" fontId="4" fillId="0" borderId="69" xfId="52" applyFont="1" applyFill="1" applyBorder="1" applyAlignment="1" applyProtection="1">
      <alignment horizontal="left" vertical="center" shrinkToFit="1"/>
      <protection locked="0"/>
    </xf>
    <xf numFmtId="0" fontId="4" fillId="24" borderId="42" xfId="52" applyFont="1" applyFill="1" applyBorder="1" applyAlignment="1" applyProtection="1">
      <alignment vertical="center" shrinkToFit="1"/>
      <protection locked="0"/>
    </xf>
    <xf numFmtId="0" fontId="4" fillId="24" borderId="18" xfId="52" applyFont="1" applyFill="1" applyBorder="1" applyAlignment="1" applyProtection="1">
      <alignment vertical="center" shrinkToFit="1"/>
      <protection locked="0"/>
    </xf>
    <xf numFmtId="0" fontId="4" fillId="24" borderId="73" xfId="52" applyFont="1" applyFill="1" applyBorder="1" applyAlignment="1" applyProtection="1">
      <alignment vertical="center" shrinkToFit="1"/>
      <protection locked="0"/>
    </xf>
    <xf numFmtId="0" fontId="4" fillId="0" borderId="71" xfId="52" applyFont="1" applyFill="1" applyBorder="1" applyAlignment="1" applyProtection="1">
      <alignment horizontal="left" vertical="center" shrinkToFit="1"/>
      <protection locked="0"/>
    </xf>
    <xf numFmtId="0" fontId="4" fillId="0" borderId="22" xfId="52" applyFont="1" applyFill="1" applyBorder="1" applyAlignment="1" applyProtection="1">
      <alignment horizontal="left" vertical="center" shrinkToFit="1"/>
      <protection locked="0"/>
    </xf>
    <xf numFmtId="0" fontId="4" fillId="0" borderId="72" xfId="52" applyFont="1" applyFill="1" applyBorder="1" applyAlignment="1" applyProtection="1">
      <alignment horizontal="left" vertical="center" shrinkToFit="1"/>
      <protection locked="0"/>
    </xf>
    <xf numFmtId="0" fontId="4" fillId="0" borderId="17" xfId="52" applyFont="1" applyFill="1" applyBorder="1" applyAlignment="1">
      <alignment vertical="center"/>
    </xf>
    <xf numFmtId="0" fontId="4" fillId="0" borderId="33" xfId="52" applyFont="1" applyFill="1" applyBorder="1" applyAlignment="1">
      <alignment vertical="center"/>
    </xf>
    <xf numFmtId="0" fontId="4" fillId="0" borderId="20" xfId="52" applyFont="1" applyFill="1" applyBorder="1" applyAlignment="1">
      <alignment vertical="center"/>
    </xf>
    <xf numFmtId="0" fontId="4" fillId="24" borderId="74" xfId="52" applyFont="1" applyFill="1" applyBorder="1" applyAlignment="1">
      <alignment horizontal="center" vertical="center"/>
    </xf>
    <xf numFmtId="0" fontId="4" fillId="24" borderId="11" xfId="52" applyFont="1" applyFill="1" applyBorder="1" applyAlignment="1">
      <alignment horizontal="center" vertical="center"/>
    </xf>
    <xf numFmtId="0" fontId="4" fillId="24" borderId="26" xfId="52" applyFont="1" applyFill="1" applyBorder="1" applyAlignment="1">
      <alignment horizontal="center" vertical="center"/>
    </xf>
    <xf numFmtId="0" fontId="4" fillId="0" borderId="67" xfId="52" applyFont="1" applyFill="1" applyBorder="1" applyAlignment="1" applyProtection="1">
      <alignment horizontal="left" vertical="center" shrinkToFit="1"/>
      <protection locked="0"/>
    </xf>
    <xf numFmtId="0" fontId="4" fillId="0" borderId="70" xfId="52" applyFont="1" applyFill="1" applyBorder="1" applyAlignment="1" applyProtection="1">
      <alignment horizontal="left" vertical="center" shrinkToFit="1"/>
      <protection locked="0"/>
    </xf>
    <xf numFmtId="0" fontId="4" fillId="0" borderId="68" xfId="52" applyFont="1" applyFill="1" applyBorder="1" applyAlignment="1" applyProtection="1">
      <alignment horizontal="left" vertical="center" shrinkToFit="1"/>
      <protection locked="0"/>
    </xf>
    <xf numFmtId="0" fontId="4" fillId="24" borderId="69" xfId="52" applyFont="1" applyFill="1" applyBorder="1" applyAlignment="1">
      <alignment vertical="center"/>
    </xf>
    <xf numFmtId="0" fontId="4" fillId="0" borderId="18" xfId="52" applyFont="1" applyFill="1" applyBorder="1" applyAlignment="1">
      <alignment vertical="center"/>
    </xf>
    <xf numFmtId="0" fontId="4" fillId="0" borderId="38" xfId="52" applyFont="1" applyFill="1" applyBorder="1" applyAlignment="1">
      <alignment vertical="center"/>
    </xf>
    <xf numFmtId="0" fontId="4" fillId="24" borderId="67" xfId="52" applyFont="1" applyFill="1" applyBorder="1" applyAlignment="1" applyProtection="1">
      <alignment vertical="center" shrinkToFit="1"/>
      <protection locked="0"/>
    </xf>
    <xf numFmtId="0" fontId="4" fillId="0" borderId="64" xfId="52" applyFont="1" applyFill="1" applyBorder="1" applyAlignment="1" applyProtection="1">
      <alignment horizontal="left" vertical="center" shrinkToFit="1"/>
      <protection locked="0"/>
    </xf>
    <xf numFmtId="0" fontId="4" fillId="0" borderId="21" xfId="52" applyFont="1" applyFill="1" applyBorder="1" applyAlignment="1" applyProtection="1">
      <alignment horizontal="left" vertical="center" shrinkToFit="1"/>
      <protection locked="0"/>
    </xf>
    <xf numFmtId="0" fontId="4" fillId="0" borderId="24" xfId="52" applyFont="1" applyFill="1" applyBorder="1" applyAlignment="1" applyProtection="1">
      <alignment horizontal="left" vertical="center" shrinkToFit="1"/>
      <protection locked="0"/>
    </xf>
    <xf numFmtId="0" fontId="4" fillId="24" borderId="12" xfId="52" applyFont="1" applyFill="1" applyBorder="1" applyAlignment="1">
      <alignment vertical="center"/>
    </xf>
    <xf numFmtId="0" fontId="4" fillId="24" borderId="13" xfId="52" applyFont="1" applyFill="1" applyBorder="1" applyAlignment="1">
      <alignment vertical="center"/>
    </xf>
    <xf numFmtId="0" fontId="4" fillId="24" borderId="14" xfId="52" applyFont="1" applyFill="1" applyBorder="1" applyAlignment="1">
      <alignment vertical="center"/>
    </xf>
    <xf numFmtId="0" fontId="4" fillId="24" borderId="42" xfId="52" applyFont="1" applyFill="1" applyBorder="1" applyAlignment="1">
      <alignment vertical="center"/>
    </xf>
    <xf numFmtId="0" fontId="4" fillId="24" borderId="18" xfId="52" applyFont="1" applyFill="1" applyBorder="1" applyAlignment="1">
      <alignment vertical="center"/>
    </xf>
    <xf numFmtId="0" fontId="4" fillId="24" borderId="73" xfId="52" applyFont="1" applyFill="1" applyBorder="1" applyAlignment="1">
      <alignment vertical="center"/>
    </xf>
    <xf numFmtId="0" fontId="4" fillId="0" borderId="37" xfId="52" applyFont="1" applyFill="1" applyBorder="1" applyAlignment="1">
      <alignment vertical="center"/>
    </xf>
    <xf numFmtId="0" fontId="4" fillId="0" borderId="16" xfId="52" applyFont="1" applyFill="1" applyBorder="1" applyAlignment="1">
      <alignment horizontal="left" vertical="center"/>
    </xf>
    <xf numFmtId="0" fontId="4" fillId="24" borderId="12" xfId="52" applyFont="1" applyFill="1" applyBorder="1" applyAlignment="1">
      <alignment horizontal="left" vertical="center"/>
    </xf>
    <xf numFmtId="0" fontId="4" fillId="24" borderId="13" xfId="52" applyFont="1" applyFill="1" applyBorder="1" applyAlignment="1">
      <alignment horizontal="left" vertical="center"/>
    </xf>
    <xf numFmtId="0" fontId="4" fillId="24" borderId="14" xfId="52" applyFont="1" applyFill="1" applyBorder="1" applyAlignment="1">
      <alignment horizontal="left" vertical="center"/>
    </xf>
    <xf numFmtId="0" fontId="4" fillId="24" borderId="42" xfId="52" applyFont="1" applyFill="1" applyBorder="1" applyAlignment="1">
      <alignment horizontal="left" vertical="center"/>
    </xf>
    <xf numFmtId="0" fontId="4" fillId="24" borderId="18" xfId="52" applyFont="1" applyFill="1" applyBorder="1" applyAlignment="1">
      <alignment horizontal="left" vertical="center"/>
    </xf>
    <xf numFmtId="0" fontId="4" fillId="24" borderId="73" xfId="52" applyFont="1" applyFill="1" applyBorder="1" applyAlignment="1">
      <alignment horizontal="left" vertical="center"/>
    </xf>
    <xf numFmtId="0" fontId="4" fillId="24" borderId="39" xfId="52" applyFont="1" applyFill="1" applyBorder="1" applyAlignment="1">
      <alignment horizontal="left" vertical="center"/>
    </xf>
    <xf numFmtId="0" fontId="4" fillId="24" borderId="0" xfId="52" applyFont="1" applyFill="1" applyBorder="1" applyAlignment="1">
      <alignment horizontal="left" vertical="center"/>
    </xf>
    <xf numFmtId="0" fontId="4" fillId="24" borderId="40" xfId="52" applyFont="1" applyFill="1" applyBorder="1" applyAlignment="1">
      <alignment horizontal="left" vertical="center"/>
    </xf>
    <xf numFmtId="0" fontId="4" fillId="0" borderId="17" xfId="52" applyFont="1" applyFill="1" applyBorder="1" applyAlignment="1">
      <alignment horizontal="center" vertical="center" wrapText="1"/>
    </xf>
    <xf numFmtId="0" fontId="4" fillId="0" borderId="17" xfId="52" applyFont="1" applyFill="1" applyBorder="1" applyAlignment="1">
      <alignment horizontal="center" vertical="center"/>
    </xf>
    <xf numFmtId="0" fontId="4" fillId="0" borderId="41" xfId="52" applyFont="1" applyFill="1" applyBorder="1" applyAlignment="1">
      <alignment horizontal="left" vertical="center"/>
    </xf>
    <xf numFmtId="0" fontId="4" fillId="0" borderId="21" xfId="52" applyFont="1" applyFill="1" applyBorder="1" applyAlignment="1">
      <alignment horizontal="left" vertical="center"/>
    </xf>
    <xf numFmtId="0" fontId="4" fillId="0" borderId="17" xfId="52" applyFont="1" applyFill="1" applyBorder="1" applyAlignment="1" applyProtection="1">
      <alignment horizontal="left" vertical="center"/>
      <protection locked="0"/>
    </xf>
    <xf numFmtId="0" fontId="4" fillId="0" borderId="33" xfId="52" applyFont="1" applyFill="1" applyBorder="1" applyAlignment="1" applyProtection="1">
      <alignment horizontal="left" vertical="center"/>
      <protection locked="0"/>
    </xf>
    <xf numFmtId="0" fontId="4" fillId="0" borderId="22" xfId="52" applyFont="1" applyFill="1" applyBorder="1" applyAlignment="1">
      <alignment horizontal="left" vertical="center"/>
    </xf>
    <xf numFmtId="0" fontId="4" fillId="0" borderId="72" xfId="52" applyFont="1" applyFill="1" applyBorder="1" applyAlignment="1">
      <alignment horizontal="left" vertical="center"/>
    </xf>
    <xf numFmtId="0" fontId="20" fillId="0" borderId="0" xfId="52" applyFont="1" applyFill="1" applyBorder="1" applyAlignment="1">
      <alignment horizontal="left" vertical="center" wrapText="1"/>
    </xf>
    <xf numFmtId="0" fontId="4" fillId="0" borderId="21" xfId="45" applyFont="1" applyFill="1" applyBorder="1" applyAlignment="1" applyProtection="1">
      <alignment horizontal="left" vertical="center"/>
      <protection locked="0"/>
    </xf>
    <xf numFmtId="0" fontId="4" fillId="0" borderId="24" xfId="45" applyFont="1" applyFill="1" applyBorder="1" applyAlignment="1" applyProtection="1">
      <alignment horizontal="left" vertical="center"/>
      <protection locked="0"/>
    </xf>
    <xf numFmtId="0" fontId="4" fillId="0" borderId="65" xfId="52" applyFont="1" applyFill="1" applyBorder="1" applyAlignment="1">
      <alignment horizontal="left" vertical="center"/>
    </xf>
    <xf numFmtId="0" fontId="4" fillId="24" borderId="47" xfId="52" applyFont="1" applyFill="1" applyBorder="1" applyAlignment="1">
      <alignment horizontal="left" vertical="center"/>
    </xf>
    <xf numFmtId="0" fontId="4" fillId="24" borderId="16" xfId="52" applyFont="1" applyFill="1" applyBorder="1" applyAlignment="1">
      <alignment horizontal="left" vertical="center"/>
    </xf>
    <xf numFmtId="0" fontId="4" fillId="24" borderId="66" xfId="52" applyFont="1" applyFill="1" applyBorder="1" applyAlignment="1">
      <alignment horizontal="left" vertical="center"/>
    </xf>
    <xf numFmtId="0" fontId="4" fillId="0" borderId="16" xfId="52" applyFont="1" applyFill="1" applyBorder="1" applyAlignment="1" applyProtection="1">
      <alignment horizontal="left" vertical="center" shrinkToFit="1"/>
    </xf>
    <xf numFmtId="0" fontId="4" fillId="0" borderId="17" xfId="52" applyFont="1" applyFill="1" applyBorder="1" applyAlignment="1">
      <alignment horizontal="left" vertical="center"/>
    </xf>
    <xf numFmtId="0" fontId="4" fillId="0" borderId="0" xfId="52" applyFont="1" applyFill="1" applyAlignment="1" applyProtection="1">
      <alignment horizontal="right" vertical="center"/>
      <protection locked="0"/>
    </xf>
    <xf numFmtId="0" fontId="4" fillId="0" borderId="40" xfId="52" applyFont="1" applyFill="1" applyBorder="1" applyAlignment="1" applyProtection="1">
      <alignment horizontal="right" vertical="center"/>
      <protection locked="0"/>
    </xf>
    <xf numFmtId="0" fontId="4" fillId="24" borderId="10" xfId="52" applyFont="1" applyFill="1" applyBorder="1" applyAlignment="1">
      <alignment horizontal="center" vertical="center"/>
    </xf>
    <xf numFmtId="0" fontId="4" fillId="24" borderId="41" xfId="52" applyFont="1" applyFill="1" applyBorder="1" applyAlignment="1">
      <alignment horizontal="center" vertical="center"/>
    </xf>
    <xf numFmtId="49" fontId="4" fillId="0" borderId="69" xfId="52" applyNumberFormat="1" applyFont="1" applyFill="1" applyBorder="1" applyAlignment="1" applyProtection="1">
      <alignment horizontal="left" vertical="center" shrinkToFit="1"/>
      <protection locked="0"/>
    </xf>
    <xf numFmtId="49" fontId="4" fillId="0" borderId="70" xfId="52" applyNumberFormat="1" applyFont="1" applyFill="1" applyBorder="1" applyAlignment="1" applyProtection="1">
      <alignment horizontal="left" vertical="center" shrinkToFit="1"/>
      <protection locked="0"/>
    </xf>
    <xf numFmtId="0" fontId="4" fillId="0" borderId="19" xfId="52" applyFont="1" applyFill="1" applyBorder="1" applyAlignment="1">
      <alignment horizontal="right" vertical="center"/>
    </xf>
    <xf numFmtId="0" fontId="4" fillId="0" borderId="38" xfId="52" applyFont="1" applyFill="1" applyBorder="1" applyAlignment="1">
      <alignment horizontal="right" vertical="center"/>
    </xf>
    <xf numFmtId="0" fontId="4" fillId="0" borderId="23" xfId="52" applyFont="1" applyFill="1" applyBorder="1" applyAlignment="1" applyProtection="1">
      <alignment horizontal="left" vertical="center" shrinkToFit="1"/>
      <protection locked="0"/>
    </xf>
    <xf numFmtId="0" fontId="4" fillId="0" borderId="13" xfId="52" applyFont="1" applyFill="1" applyBorder="1" applyAlignment="1" applyProtection="1">
      <alignment horizontal="left" vertical="center" shrinkToFit="1"/>
      <protection locked="0"/>
    </xf>
    <xf numFmtId="0" fontId="4" fillId="0" borderId="75" xfId="52" applyFont="1" applyFill="1" applyBorder="1" applyAlignment="1" applyProtection="1">
      <alignment horizontal="center" vertical="center"/>
      <protection locked="0"/>
    </xf>
    <xf numFmtId="0" fontId="4" fillId="0" borderId="21" xfId="52" applyFont="1" applyFill="1" applyBorder="1" applyAlignment="1" applyProtection="1">
      <alignment horizontal="center" vertical="center"/>
      <protection locked="0"/>
    </xf>
    <xf numFmtId="0" fontId="4" fillId="0" borderId="50" xfId="52" applyFont="1" applyFill="1" applyBorder="1" applyAlignment="1" applyProtection="1">
      <alignment horizontal="center" vertical="center"/>
      <protection locked="0"/>
    </xf>
    <xf numFmtId="0" fontId="4" fillId="0" borderId="14" xfId="52" applyFont="1" applyFill="1" applyBorder="1" applyAlignment="1">
      <alignment horizontal="right" vertical="center"/>
    </xf>
    <xf numFmtId="0" fontId="4" fillId="0" borderId="73" xfId="52" applyFont="1" applyFill="1" applyBorder="1" applyAlignment="1">
      <alignment horizontal="right" vertical="center"/>
    </xf>
    <xf numFmtId="0" fontId="4" fillId="24" borderId="69" xfId="52" applyFont="1" applyFill="1" applyBorder="1" applyAlignment="1">
      <alignment horizontal="left" vertical="center"/>
    </xf>
    <xf numFmtId="0" fontId="4" fillId="0" borderId="66" xfId="52" applyFont="1" applyFill="1" applyBorder="1" applyAlignment="1">
      <alignment horizontal="left" vertical="center"/>
    </xf>
    <xf numFmtId="0" fontId="4" fillId="0" borderId="69" xfId="52" applyFont="1" applyFill="1" applyBorder="1" applyAlignment="1">
      <alignment horizontal="left" vertical="center"/>
    </xf>
    <xf numFmtId="0" fontId="4" fillId="0" borderId="15" xfId="52" applyFont="1" applyFill="1" applyBorder="1" applyAlignment="1">
      <alignment horizontal="left" vertical="center"/>
    </xf>
    <xf numFmtId="0" fontId="1" fillId="0" borderId="0" xfId="52" applyFont="1" applyFill="1" applyAlignment="1">
      <alignment horizontal="right" vertical="top"/>
    </xf>
    <xf numFmtId="14" fontId="1" fillId="0" borderId="0" xfId="52" applyNumberFormat="1" applyFont="1" applyFill="1" applyAlignment="1" applyProtection="1">
      <alignment horizontal="left" vertical="top"/>
      <protection locked="0"/>
    </xf>
    <xf numFmtId="0" fontId="4" fillId="0" borderId="15" xfId="52" applyFont="1" applyFill="1" applyBorder="1" applyAlignment="1" applyProtection="1">
      <alignment horizontal="left" vertical="center" shrinkToFit="1"/>
      <protection locked="0"/>
    </xf>
    <xf numFmtId="0" fontId="4" fillId="0" borderId="16" xfId="52" applyFont="1" applyFill="1" applyBorder="1" applyAlignment="1" applyProtection="1">
      <alignment horizontal="left" vertical="center" shrinkToFit="1"/>
      <protection locked="0"/>
    </xf>
    <xf numFmtId="0" fontId="4" fillId="0" borderId="66" xfId="52" applyFont="1" applyFill="1" applyBorder="1" applyAlignment="1" applyProtection="1">
      <alignment horizontal="left" vertical="center" shrinkToFit="1"/>
      <protection locked="0"/>
    </xf>
    <xf numFmtId="0" fontId="4" fillId="0" borderId="37" xfId="52" applyFont="1" applyFill="1" applyBorder="1" applyAlignment="1" applyProtection="1">
      <alignment horizontal="left" vertical="center" shrinkToFit="1"/>
      <protection locked="0"/>
    </xf>
    <xf numFmtId="0" fontId="4" fillId="0" borderId="18" xfId="52" applyFont="1" applyFill="1" applyBorder="1" applyAlignment="1" applyProtection="1">
      <alignment horizontal="left" vertical="center" shrinkToFit="1"/>
      <protection locked="0"/>
    </xf>
    <xf numFmtId="0" fontId="4" fillId="0" borderId="10" xfId="52" applyFont="1" applyFill="1" applyBorder="1" applyAlignment="1" applyProtection="1">
      <alignment horizontal="center" vertical="center" shrinkToFit="1"/>
      <protection locked="0"/>
    </xf>
    <xf numFmtId="0" fontId="4" fillId="24" borderId="37" xfId="52" applyFont="1" applyFill="1" applyBorder="1" applyAlignment="1">
      <alignment horizontal="left" vertical="center" wrapText="1"/>
    </xf>
    <xf numFmtId="0" fontId="4" fillId="24" borderId="18" xfId="52" applyFont="1" applyFill="1" applyBorder="1" applyAlignment="1">
      <alignment horizontal="left" vertical="center" wrapText="1"/>
    </xf>
    <xf numFmtId="0" fontId="4" fillId="24" borderId="73" xfId="52" applyFont="1" applyFill="1" applyBorder="1" applyAlignment="1">
      <alignment horizontal="left" vertical="center" wrapText="1"/>
    </xf>
    <xf numFmtId="0" fontId="4" fillId="24" borderId="11" xfId="52" applyFont="1" applyFill="1" applyBorder="1" applyAlignment="1">
      <alignment horizontal="center" vertical="center" shrinkToFit="1"/>
    </xf>
    <xf numFmtId="0" fontId="4" fillId="24" borderId="21" xfId="52" applyFont="1" applyFill="1" applyBorder="1" applyAlignment="1">
      <alignment horizontal="center" vertical="center" shrinkToFit="1"/>
    </xf>
    <xf numFmtId="0" fontId="4" fillId="24" borderId="75" xfId="52" applyFont="1" applyFill="1" applyBorder="1" applyAlignment="1">
      <alignment horizontal="center" vertical="center"/>
    </xf>
    <xf numFmtId="0" fontId="0" fillId="0" borderId="21" xfId="0" applyBorder="1">
      <alignment vertical="center"/>
    </xf>
    <xf numFmtId="0" fontId="0" fillId="0" borderId="50" xfId="0" applyBorder="1">
      <alignment vertical="center"/>
    </xf>
    <xf numFmtId="14" fontId="4" fillId="0" borderId="21" xfId="52" applyNumberFormat="1" applyFont="1" applyFill="1" applyBorder="1" applyAlignment="1" applyProtection="1">
      <alignment horizontal="center" vertical="center" shrinkToFit="1"/>
      <protection locked="0"/>
    </xf>
    <xf numFmtId="0" fontId="4" fillId="0" borderId="11" xfId="52" applyFont="1" applyFill="1" applyBorder="1" applyAlignment="1" applyProtection="1">
      <alignment horizontal="center" vertical="center" shrinkToFit="1"/>
      <protection locked="0"/>
    </xf>
    <xf numFmtId="0" fontId="4" fillId="0" borderId="41" xfId="52" applyFont="1" applyFill="1" applyBorder="1" applyAlignment="1">
      <alignment horizontal="center" vertical="center"/>
    </xf>
    <xf numFmtId="0" fontId="4" fillId="0" borderId="21" xfId="52" applyFont="1" applyFill="1" applyBorder="1" applyAlignment="1">
      <alignment horizontal="center" vertical="center"/>
    </xf>
    <xf numFmtId="0" fontId="4" fillId="0" borderId="50" xfId="52" applyFont="1" applyFill="1" applyBorder="1" applyAlignment="1">
      <alignment horizontal="center" vertical="center"/>
    </xf>
    <xf numFmtId="0" fontId="4" fillId="0" borderId="41" xfId="52" applyFont="1" applyFill="1" applyBorder="1" applyAlignment="1" applyProtection="1">
      <alignment horizontal="center" vertical="center"/>
      <protection locked="0"/>
    </xf>
    <xf numFmtId="14" fontId="4" fillId="0" borderId="15" xfId="52" applyNumberFormat="1" applyFont="1" applyFill="1" applyBorder="1" applyAlignment="1" applyProtection="1">
      <alignment horizontal="left" vertical="center" shrinkToFit="1"/>
      <protection locked="0"/>
    </xf>
    <xf numFmtId="14" fontId="4" fillId="0" borderId="16" xfId="52" applyNumberFormat="1" applyFont="1" applyFill="1" applyBorder="1" applyAlignment="1" applyProtection="1">
      <alignment horizontal="left" vertical="center" shrinkToFit="1"/>
      <protection locked="0"/>
    </xf>
    <xf numFmtId="14" fontId="4" fillId="0" borderId="66" xfId="52" applyNumberFormat="1" applyFont="1" applyFill="1" applyBorder="1" applyAlignment="1" applyProtection="1">
      <alignment horizontal="left" vertical="center" shrinkToFit="1"/>
      <protection locked="0"/>
    </xf>
    <xf numFmtId="14" fontId="4" fillId="0" borderId="69" xfId="52" applyNumberFormat="1" applyFont="1" applyFill="1" applyBorder="1" applyAlignment="1" applyProtection="1">
      <alignment horizontal="left" vertical="center" shrinkToFit="1"/>
      <protection locked="0"/>
    </xf>
    <xf numFmtId="14" fontId="4" fillId="0" borderId="70" xfId="52" applyNumberFormat="1" applyFont="1" applyFill="1" applyBorder="1" applyAlignment="1" applyProtection="1">
      <alignment horizontal="left" vertical="center" shrinkToFit="1"/>
      <protection locked="0"/>
    </xf>
    <xf numFmtId="0" fontId="4" fillId="0" borderId="57" xfId="52" applyFont="1" applyFill="1" applyBorder="1" applyAlignment="1">
      <alignment horizontal="left" vertical="center"/>
    </xf>
    <xf numFmtId="0" fontId="4" fillId="0" borderId="76" xfId="52" applyFont="1" applyFill="1" applyBorder="1" applyAlignment="1" applyProtection="1">
      <alignment horizontal="center" vertical="center" shrinkToFit="1"/>
      <protection locked="0"/>
    </xf>
    <xf numFmtId="0" fontId="4" fillId="24" borderId="23" xfId="52" applyFont="1" applyFill="1" applyBorder="1" applyAlignment="1">
      <alignment horizontal="left" vertical="center" wrapText="1"/>
    </xf>
    <xf numFmtId="0" fontId="4" fillId="24" borderId="13" xfId="52" applyFont="1" applyFill="1" applyBorder="1" applyAlignment="1">
      <alignment horizontal="left" vertical="center" wrapText="1"/>
    </xf>
    <xf numFmtId="0" fontId="4" fillId="24" borderId="14" xfId="52" applyFont="1" applyFill="1" applyBorder="1" applyAlignment="1">
      <alignment horizontal="left" vertical="center" wrapText="1"/>
    </xf>
    <xf numFmtId="0" fontId="4" fillId="0" borderId="41" xfId="52" applyFont="1" applyFill="1" applyBorder="1" applyAlignment="1" applyProtection="1">
      <alignment horizontal="center" vertical="center" shrinkToFit="1"/>
      <protection locked="0"/>
    </xf>
    <xf numFmtId="0" fontId="17" fillId="0" borderId="13" xfId="52" applyFont="1" applyFill="1" applyBorder="1" applyAlignment="1">
      <alignment horizontal="center" vertical="center"/>
    </xf>
    <xf numFmtId="0" fontId="22" fillId="0" borderId="13" xfId="52" applyFont="1" applyFill="1" applyBorder="1" applyAlignment="1">
      <alignment horizontal="center" vertical="center"/>
    </xf>
    <xf numFmtId="0" fontId="4" fillId="0" borderId="33" xfId="52" applyFont="1" applyFill="1" applyBorder="1" applyAlignment="1">
      <alignment horizontal="left" vertical="center"/>
    </xf>
    <xf numFmtId="49" fontId="19" fillId="0" borderId="16" xfId="52" applyNumberFormat="1" applyFont="1" applyFill="1" applyBorder="1" applyAlignment="1" applyProtection="1">
      <alignment horizontal="center" vertical="center" shrinkToFit="1"/>
      <protection locked="0"/>
    </xf>
    <xf numFmtId="0" fontId="4" fillId="24" borderId="77" xfId="52" applyFont="1" applyFill="1" applyBorder="1" applyAlignment="1">
      <alignment horizontal="left" vertical="center"/>
    </xf>
    <xf numFmtId="49" fontId="4" fillId="0" borderId="15" xfId="52" applyNumberFormat="1" applyFont="1" applyFill="1" applyBorder="1" applyAlignment="1" applyProtection="1">
      <alignment horizontal="left" vertical="center" shrinkToFit="1"/>
      <protection locked="0"/>
    </xf>
    <xf numFmtId="49" fontId="4" fillId="0" borderId="16" xfId="52" applyNumberFormat="1" applyFont="1" applyFill="1" applyBorder="1" applyAlignment="1" applyProtection="1">
      <alignment horizontal="left" vertical="center" shrinkToFit="1"/>
      <protection locked="0"/>
    </xf>
    <xf numFmtId="49" fontId="4" fillId="0" borderId="66" xfId="52" applyNumberFormat="1" applyFont="1" applyFill="1" applyBorder="1" applyAlignment="1" applyProtection="1">
      <alignment horizontal="left" vertical="center" shrinkToFit="1"/>
      <protection locked="0"/>
    </xf>
    <xf numFmtId="49" fontId="4" fillId="0" borderId="69" xfId="52" applyNumberFormat="1" applyFont="1" applyFill="1" applyBorder="1" applyAlignment="1" applyProtection="1">
      <alignment horizontal="left" vertical="center"/>
      <protection locked="0"/>
    </xf>
    <xf numFmtId="49" fontId="4" fillId="0" borderId="70" xfId="52" applyNumberFormat="1" applyFont="1" applyFill="1" applyBorder="1" applyAlignment="1" applyProtection="1">
      <alignment horizontal="left" vertical="center"/>
      <protection locked="0"/>
    </xf>
    <xf numFmtId="0" fontId="4" fillId="0" borderId="69" xfId="28" applyFont="1" applyFill="1" applyBorder="1" applyAlignment="1" applyProtection="1">
      <alignment horizontal="left" vertical="center" shrinkToFit="1"/>
      <protection locked="0"/>
    </xf>
    <xf numFmtId="0" fontId="4" fillId="0" borderId="70" xfId="28" applyFont="1" applyFill="1" applyBorder="1" applyAlignment="1" applyProtection="1">
      <alignment horizontal="left" vertical="center" shrinkToFit="1"/>
      <protection locked="0"/>
    </xf>
    <xf numFmtId="0" fontId="4" fillId="0" borderId="17" xfId="52" applyFont="1" applyFill="1" applyBorder="1" applyAlignment="1" applyProtection="1">
      <alignment horizontal="center" vertical="center"/>
    </xf>
    <xf numFmtId="0" fontId="4" fillId="0" borderId="17" xfId="52" applyFont="1" applyFill="1" applyBorder="1" applyAlignment="1" applyProtection="1">
      <alignment horizontal="center" vertical="center"/>
      <protection locked="0"/>
    </xf>
    <xf numFmtId="0" fontId="58" fillId="0" borderId="41" xfId="0" applyNumberFormat="1" applyFont="1" applyFill="1" applyBorder="1" applyAlignment="1" applyProtection="1">
      <alignment horizontal="left" vertical="center"/>
      <protection locked="0"/>
    </xf>
    <xf numFmtId="0" fontId="58" fillId="0" borderId="50" xfId="0" applyNumberFormat="1" applyFont="1" applyFill="1" applyBorder="1" applyAlignment="1" applyProtection="1">
      <alignment horizontal="left" vertical="center"/>
      <protection locked="0"/>
    </xf>
    <xf numFmtId="49" fontId="1" fillId="0" borderId="16" xfId="52" applyNumberFormat="1" applyFont="1" applyBorder="1" applyAlignment="1" applyProtection="1">
      <alignment horizontal="center" vertical="center"/>
    </xf>
    <xf numFmtId="0" fontId="1" fillId="0" borderId="57" xfId="52" applyNumberFormat="1" applyFont="1" applyBorder="1" applyAlignment="1" applyProtection="1">
      <alignment horizontal="center" vertical="center"/>
    </xf>
    <xf numFmtId="49" fontId="26" fillId="0" borderId="41" xfId="47" applyNumberFormat="1" applyFont="1" applyFill="1" applyBorder="1" applyAlignment="1" applyProtection="1">
      <alignment horizontal="center" vertical="center" wrapText="1"/>
      <protection locked="0"/>
    </xf>
    <xf numFmtId="49" fontId="26" fillId="0" borderId="50" xfId="47" applyNumberFormat="1" applyFont="1" applyFill="1" applyBorder="1" applyAlignment="1" applyProtection="1">
      <alignment horizontal="center" vertical="center" wrapText="1"/>
      <protection locked="0"/>
    </xf>
    <xf numFmtId="0" fontId="26" fillId="0" borderId="41" xfId="48" applyNumberFormat="1" applyFont="1" applyFill="1" applyBorder="1" applyAlignment="1" applyProtection="1">
      <alignment horizontal="left" vertical="center" wrapText="1"/>
    </xf>
    <xf numFmtId="0" fontId="26" fillId="0" borderId="50" xfId="48" applyNumberFormat="1" applyFont="1" applyFill="1" applyBorder="1" applyAlignment="1" applyProtection="1">
      <alignment horizontal="left" vertical="center" wrapText="1"/>
    </xf>
    <xf numFmtId="0" fontId="1" fillId="0" borderId="0" xfId="52" applyNumberFormat="1" applyFont="1" applyBorder="1" applyAlignment="1">
      <alignment horizontal="right" vertical="center"/>
    </xf>
    <xf numFmtId="0" fontId="1" fillId="0" borderId="31" xfId="52" applyNumberFormat="1" applyFont="1" applyBorder="1" applyAlignment="1">
      <alignment horizontal="right" vertical="center"/>
    </xf>
    <xf numFmtId="0" fontId="6" fillId="0" borderId="0" xfId="47" applyFont="1" applyFill="1" applyBorder="1" applyAlignment="1">
      <alignment horizontal="center" vertical="center"/>
    </xf>
    <xf numFmtId="49" fontId="26" fillId="0" borderId="41" xfId="47" applyNumberFormat="1" applyFont="1" applyFill="1" applyBorder="1" applyAlignment="1" applyProtection="1">
      <alignment horizontal="center" vertical="center" wrapText="1"/>
    </xf>
    <xf numFmtId="49" fontId="26" fillId="0" borderId="50" xfId="47" applyNumberFormat="1" applyFont="1" applyFill="1" applyBorder="1" applyAlignment="1" applyProtection="1">
      <alignment horizontal="center" vertical="center" wrapText="1"/>
    </xf>
    <xf numFmtId="0" fontId="1" fillId="0" borderId="78" xfId="49" applyFont="1" applyBorder="1" applyAlignment="1" applyProtection="1">
      <alignment horizontal="center" vertical="center"/>
      <protection locked="0"/>
    </xf>
    <xf numFmtId="0" fontId="1" fillId="0" borderId="79" xfId="49" applyFont="1" applyBorder="1" applyAlignment="1" applyProtection="1">
      <alignment horizontal="center" vertical="center"/>
      <protection locked="0"/>
    </xf>
    <xf numFmtId="0" fontId="1" fillId="0" borderId="78" xfId="49" applyFont="1" applyBorder="1" applyAlignment="1" applyProtection="1">
      <alignment vertical="center"/>
      <protection locked="0"/>
    </xf>
    <xf numFmtId="0" fontId="0" fillId="0" borderId="80" xfId="0" applyBorder="1" applyProtection="1">
      <alignment vertical="center"/>
      <protection locked="0"/>
    </xf>
    <xf numFmtId="0" fontId="0" fillId="0" borderId="79" xfId="0" applyBorder="1" applyProtection="1">
      <alignment vertical="center"/>
      <protection locked="0"/>
    </xf>
    <xf numFmtId="0" fontId="1" fillId="0" borderId="81" xfId="49" applyFont="1" applyBorder="1" applyAlignment="1" applyProtection="1">
      <alignment horizontal="center" vertical="center"/>
      <protection locked="0"/>
    </xf>
    <xf numFmtId="0" fontId="1" fillId="0" borderId="82" xfId="49" applyFont="1" applyBorder="1" applyAlignment="1" applyProtection="1">
      <alignment horizontal="center" vertical="center"/>
      <protection locked="0"/>
    </xf>
    <xf numFmtId="0" fontId="1" fillId="0" borderId="81" xfId="49" applyFont="1" applyBorder="1" applyAlignment="1" applyProtection="1">
      <alignment vertical="center"/>
      <protection locked="0"/>
    </xf>
    <xf numFmtId="0" fontId="0" fillId="0" borderId="83" xfId="0" applyBorder="1" applyProtection="1">
      <alignment vertical="center"/>
      <protection locked="0"/>
    </xf>
    <xf numFmtId="0" fontId="0" fillId="0" borderId="82" xfId="0" applyBorder="1" applyProtection="1">
      <alignment vertical="center"/>
      <protection locked="0"/>
    </xf>
    <xf numFmtId="0" fontId="1" fillId="0" borderId="84" xfId="49" applyFont="1" applyBorder="1" applyAlignment="1" applyProtection="1">
      <alignment horizontal="center" vertical="center"/>
      <protection locked="0"/>
    </xf>
    <xf numFmtId="0" fontId="1" fillId="0" borderId="85" xfId="49" applyFont="1" applyBorder="1" applyAlignment="1" applyProtection="1">
      <alignment horizontal="center" vertical="center"/>
      <protection locked="0"/>
    </xf>
    <xf numFmtId="0" fontId="0" fillId="0" borderId="78" xfId="49" applyFont="1" applyBorder="1" applyAlignment="1" applyProtection="1">
      <alignment vertical="center"/>
      <protection locked="0"/>
    </xf>
    <xf numFmtId="0" fontId="1" fillId="0" borderId="86" xfId="49" applyFont="1" applyFill="1" applyBorder="1" applyAlignment="1">
      <alignment horizontal="center" vertical="center"/>
    </xf>
    <xf numFmtId="0" fontId="1" fillId="0" borderId="87" xfId="49" applyFont="1" applyFill="1" applyBorder="1" applyAlignment="1">
      <alignment horizontal="center" vertical="center"/>
    </xf>
    <xf numFmtId="0" fontId="1" fillId="0" borderId="88" xfId="49" applyFont="1" applyFill="1" applyBorder="1" applyAlignment="1">
      <alignment horizontal="center" vertical="center"/>
    </xf>
    <xf numFmtId="0" fontId="1" fillId="0" borderId="86" xfId="49" applyFont="1" applyFill="1" applyBorder="1" applyAlignment="1">
      <alignment horizontal="center" vertical="center" shrinkToFit="1"/>
    </xf>
    <xf numFmtId="0" fontId="1" fillId="0" borderId="87" xfId="49" applyFont="1" applyFill="1" applyBorder="1" applyAlignment="1">
      <alignment horizontal="center" vertical="center" shrinkToFit="1"/>
    </xf>
    <xf numFmtId="0" fontId="1" fillId="0" borderId="88" xfId="49" applyFont="1" applyFill="1" applyBorder="1" applyAlignment="1">
      <alignment horizontal="center" vertical="center" shrinkToFit="1"/>
    </xf>
    <xf numFmtId="0" fontId="1" fillId="0" borderId="89" xfId="49" applyFont="1" applyFill="1" applyBorder="1" applyAlignment="1">
      <alignment horizontal="center" vertical="center"/>
    </xf>
    <xf numFmtId="0" fontId="1" fillId="0" borderId="90" xfId="49" applyFont="1" applyFill="1" applyBorder="1" applyAlignment="1">
      <alignment horizontal="center" vertical="center"/>
    </xf>
    <xf numFmtId="0" fontId="1" fillId="0" borderId="91" xfId="49" applyFont="1" applyFill="1" applyBorder="1" applyAlignment="1">
      <alignment horizontal="center" vertical="center"/>
    </xf>
    <xf numFmtId="0" fontId="28" fillId="0" borderId="92" xfId="49" applyFont="1" applyFill="1" applyBorder="1" applyAlignment="1" applyProtection="1">
      <alignment horizontal="center" vertical="center" wrapText="1"/>
    </xf>
    <xf numFmtId="0" fontId="28" fillId="0" borderId="93" xfId="49" applyFont="1" applyFill="1" applyBorder="1" applyAlignment="1" applyProtection="1">
      <alignment horizontal="center" vertical="center" wrapText="1"/>
    </xf>
    <xf numFmtId="0" fontId="28" fillId="0" borderId="94" xfId="49" applyFont="1" applyFill="1" applyBorder="1" applyAlignment="1" applyProtection="1">
      <alignment horizontal="center" vertical="center" wrapText="1"/>
    </xf>
    <xf numFmtId="0" fontId="28" fillId="0" borderId="95" xfId="49" applyFont="1" applyFill="1" applyBorder="1" applyAlignment="1" applyProtection="1">
      <alignment horizontal="center" vertical="center" wrapText="1"/>
    </xf>
    <xf numFmtId="0" fontId="1" fillId="0" borderId="93" xfId="49" applyFont="1" applyFill="1" applyBorder="1" applyAlignment="1" applyProtection="1">
      <alignment horizontal="center" vertical="center" wrapText="1"/>
    </xf>
    <xf numFmtId="0" fontId="1" fillId="0" borderId="95" xfId="49" applyFont="1" applyFill="1" applyBorder="1" applyAlignment="1" applyProtection="1">
      <alignment horizontal="center" vertical="center" wrapText="1"/>
    </xf>
    <xf numFmtId="14" fontId="1" fillId="0" borderId="96" xfId="49" applyNumberFormat="1" applyFont="1" applyFill="1" applyBorder="1" applyAlignment="1" applyProtection="1">
      <alignment horizontal="center" vertical="center" shrinkToFit="1"/>
    </xf>
    <xf numFmtId="0" fontId="1" fillId="0" borderId="97" xfId="49" applyFont="1" applyFill="1" applyBorder="1" applyAlignment="1" applyProtection="1">
      <alignment horizontal="center" vertical="center" shrinkToFit="1"/>
    </xf>
    <xf numFmtId="0" fontId="1" fillId="0" borderId="98" xfId="49" applyFont="1" applyFill="1" applyBorder="1" applyAlignment="1" applyProtection="1">
      <alignment horizontal="center" vertical="center" shrinkToFit="1"/>
    </xf>
    <xf numFmtId="0" fontId="1" fillId="0" borderId="99" xfId="49" applyFont="1" applyFill="1" applyBorder="1" applyAlignment="1" applyProtection="1">
      <alignment horizontal="center" vertical="center" shrinkToFit="1"/>
    </xf>
    <xf numFmtId="0" fontId="1" fillId="0" borderId="45" xfId="49" applyFont="1" applyFill="1" applyBorder="1" applyAlignment="1" applyProtection="1">
      <alignment horizontal="center" vertical="center" shrinkToFit="1"/>
    </xf>
    <xf numFmtId="0" fontId="1" fillId="0" borderId="100" xfId="49" applyFont="1" applyFill="1" applyBorder="1" applyAlignment="1" applyProtection="1">
      <alignment horizontal="center" vertical="center" shrinkToFit="1"/>
    </xf>
    <xf numFmtId="0" fontId="1" fillId="0" borderId="101" xfId="49" applyFont="1" applyFill="1" applyBorder="1" applyAlignment="1" applyProtection="1">
      <alignment horizontal="center" vertical="center" shrinkToFit="1"/>
    </xf>
    <xf numFmtId="0" fontId="1" fillId="0" borderId="85" xfId="49" applyFont="1" applyFill="1" applyBorder="1" applyAlignment="1" applyProtection="1">
      <alignment horizontal="center" vertical="center" shrinkToFit="1"/>
    </xf>
    <xf numFmtId="0" fontId="1" fillId="0" borderId="83" xfId="49" applyNumberFormat="1" applyFont="1" applyFill="1" applyBorder="1" applyAlignment="1" applyProtection="1">
      <alignment horizontal="center" vertical="center"/>
    </xf>
    <xf numFmtId="0" fontId="1" fillId="0" borderId="82" xfId="49" applyNumberFormat="1" applyFont="1" applyFill="1" applyBorder="1" applyAlignment="1" applyProtection="1">
      <alignment horizontal="center" vertical="center"/>
    </xf>
    <xf numFmtId="0" fontId="1" fillId="0" borderId="102" xfId="49" applyFont="1" applyFill="1" applyBorder="1" applyAlignment="1" applyProtection="1">
      <alignment horizontal="center" vertical="center"/>
    </xf>
    <xf numFmtId="0" fontId="1" fillId="0" borderId="103" xfId="49" applyNumberFormat="1" applyFont="1" applyFill="1" applyBorder="1" applyAlignment="1" applyProtection="1">
      <alignment horizontal="center" vertical="center" shrinkToFit="1"/>
    </xf>
    <xf numFmtId="0" fontId="1" fillId="0" borderId="83" xfId="49" applyNumberFormat="1" applyFont="1" applyFill="1" applyBorder="1" applyAlignment="1" applyProtection="1">
      <alignment horizontal="center" vertical="center" shrinkToFit="1"/>
    </xf>
    <xf numFmtId="0" fontId="1" fillId="0" borderId="104" xfId="49" applyNumberFormat="1" applyFont="1" applyFill="1" applyBorder="1" applyAlignment="1" applyProtection="1">
      <alignment horizontal="center" vertical="center" shrinkToFit="1"/>
    </xf>
    <xf numFmtId="49" fontId="1" fillId="0" borderId="102" xfId="49" applyNumberFormat="1" applyFont="1" applyFill="1" applyBorder="1" applyAlignment="1" applyProtection="1">
      <alignment horizontal="center" vertical="center" shrinkToFit="1"/>
    </xf>
    <xf numFmtId="0" fontId="52" fillId="24" borderId="41" xfId="49" applyFont="1" applyFill="1" applyBorder="1" applyAlignment="1" applyProtection="1">
      <alignment horizontal="center" vertical="center" wrapText="1"/>
    </xf>
    <xf numFmtId="0" fontId="52" fillId="24" borderId="50" xfId="49" applyFont="1" applyFill="1" applyBorder="1" applyAlignment="1" applyProtection="1">
      <alignment horizontal="center" vertical="center"/>
    </xf>
    <xf numFmtId="0" fontId="1" fillId="0" borderId="21" xfId="49" applyNumberFormat="1" applyFont="1" applyFill="1" applyBorder="1" applyAlignment="1">
      <alignment horizontal="center" vertical="center"/>
    </xf>
    <xf numFmtId="14" fontId="1" fillId="0" borderId="21" xfId="49" applyNumberFormat="1" applyFont="1" applyFill="1" applyBorder="1" applyAlignment="1" applyProtection="1">
      <alignment horizontal="center" vertical="center"/>
      <protection locked="0"/>
    </xf>
    <xf numFmtId="0" fontId="1" fillId="0" borderId="21" xfId="49" applyFont="1" applyFill="1" applyBorder="1" applyAlignment="1" applyProtection="1">
      <alignment horizontal="center" vertical="center"/>
      <protection locked="0"/>
    </xf>
    <xf numFmtId="0" fontId="1" fillId="0" borderId="50" xfId="49" applyFont="1" applyFill="1" applyBorder="1" applyAlignment="1" applyProtection="1">
      <alignment horizontal="center" vertical="center"/>
      <protection locked="0"/>
    </xf>
    <xf numFmtId="0" fontId="50" fillId="0" borderId="27" xfId="49" applyFont="1" applyFill="1" applyBorder="1" applyAlignment="1">
      <alignment horizontal="center"/>
    </xf>
    <xf numFmtId="0" fontId="50" fillId="0" borderId="28" xfId="49" applyFont="1" applyFill="1" applyBorder="1" applyAlignment="1">
      <alignment horizontal="center"/>
    </xf>
    <xf numFmtId="0" fontId="50" fillId="0" borderId="30" xfId="49" applyFont="1" applyFill="1" applyBorder="1" applyAlignment="1">
      <alignment horizontal="center"/>
    </xf>
    <xf numFmtId="0" fontId="50" fillId="0" borderId="0" xfId="49" applyFont="1" applyFill="1" applyBorder="1" applyAlignment="1">
      <alignment horizontal="center"/>
    </xf>
    <xf numFmtId="0" fontId="19" fillId="0" borderId="28" xfId="0" applyFont="1" applyBorder="1" applyAlignment="1">
      <alignment horizontal="center"/>
    </xf>
    <xf numFmtId="0" fontId="19" fillId="0" borderId="0" xfId="0" applyFont="1" applyBorder="1" applyAlignment="1">
      <alignment horizontal="center"/>
    </xf>
    <xf numFmtId="0" fontId="1" fillId="0" borderId="45" xfId="49" applyFont="1" applyFill="1" applyBorder="1" applyAlignment="1">
      <alignment horizontal="center" vertical="center"/>
    </xf>
    <xf numFmtId="0" fontId="1" fillId="0" borderId="45" xfId="49" applyFont="1" applyFill="1" applyBorder="1" applyAlignment="1">
      <alignment horizontal="center" vertical="center" shrinkToFit="1"/>
    </xf>
    <xf numFmtId="0" fontId="1" fillId="0" borderId="21" xfId="49" applyFont="1" applyFill="1" applyBorder="1" applyAlignment="1">
      <alignment horizontal="center" vertical="center"/>
    </xf>
    <xf numFmtId="49" fontId="1" fillId="0" borderId="21" xfId="49" applyNumberFormat="1" applyFont="1" applyFill="1" applyBorder="1" applyAlignment="1" applyProtection="1">
      <alignment horizontal="center"/>
      <protection locked="0"/>
    </xf>
    <xf numFmtId="49" fontId="1" fillId="0" borderId="50" xfId="49" applyNumberFormat="1" applyFont="1" applyFill="1" applyBorder="1" applyAlignment="1" applyProtection="1">
      <alignment horizontal="center"/>
      <protection locked="0"/>
    </xf>
    <xf numFmtId="0" fontId="1" fillId="0" borderId="105" xfId="49" applyFont="1" applyFill="1" applyBorder="1" applyAlignment="1" applyProtection="1">
      <alignment horizontal="center" vertical="center" shrinkToFit="1"/>
    </xf>
    <xf numFmtId="0" fontId="1" fillId="0" borderId="106" xfId="49" applyFont="1" applyFill="1" applyBorder="1" applyAlignment="1" applyProtection="1">
      <alignment horizontal="center" vertical="center" shrinkToFit="1"/>
    </xf>
    <xf numFmtId="0" fontId="1" fillId="0" borderId="107" xfId="49" applyFont="1" applyFill="1" applyBorder="1" applyAlignment="1" applyProtection="1">
      <alignment horizontal="center" vertical="center"/>
    </xf>
    <xf numFmtId="0" fontId="1" fillId="0" borderId="105" xfId="49" applyFont="1" applyFill="1" applyBorder="1" applyAlignment="1" applyProtection="1">
      <alignment horizontal="center" vertical="center"/>
    </xf>
    <xf numFmtId="0" fontId="1" fillId="0" borderId="30" xfId="49" applyFont="1" applyFill="1" applyBorder="1" applyAlignment="1">
      <alignment horizontal="center" vertical="center" justifyLastLine="1"/>
    </xf>
    <xf numFmtId="0" fontId="1" fillId="0" borderId="0" xfId="49" applyFont="1" applyFill="1" applyBorder="1" applyAlignment="1">
      <alignment horizontal="center" vertical="center" justifyLastLine="1"/>
    </xf>
    <xf numFmtId="0" fontId="1" fillId="0" borderId="40" xfId="49" applyFont="1" applyFill="1" applyBorder="1" applyAlignment="1">
      <alignment horizontal="center" vertical="center" justifyLastLine="1"/>
    </xf>
    <xf numFmtId="0" fontId="1" fillId="0" borderId="25" xfId="49" applyFont="1" applyFill="1" applyBorder="1" applyAlignment="1">
      <alignment horizontal="center" vertical="center" justifyLastLine="1"/>
    </xf>
    <xf numFmtId="0" fontId="1" fillId="0" borderId="11" xfId="49" applyFont="1" applyFill="1" applyBorder="1" applyAlignment="1">
      <alignment horizontal="center" vertical="center" justifyLastLine="1"/>
    </xf>
    <xf numFmtId="0" fontId="1" fillId="0" borderId="52" xfId="49" applyFont="1" applyFill="1" applyBorder="1" applyAlignment="1">
      <alignment horizontal="center" vertical="center" justifyLastLine="1"/>
    </xf>
    <xf numFmtId="0" fontId="1" fillId="0" borderId="92" xfId="49" applyFont="1" applyFill="1" applyBorder="1" applyAlignment="1">
      <alignment horizontal="center" vertical="center" shrinkToFit="1"/>
    </xf>
    <xf numFmtId="0" fontId="1" fillId="0" borderId="93" xfId="49" applyFont="1" applyFill="1" applyBorder="1" applyAlignment="1">
      <alignment horizontal="center" vertical="center" shrinkToFit="1"/>
    </xf>
    <xf numFmtId="0" fontId="1" fillId="0" borderId="108" xfId="49" applyFont="1" applyFill="1" applyBorder="1" applyAlignment="1">
      <alignment horizontal="center" vertical="center" shrinkToFit="1"/>
    </xf>
    <xf numFmtId="0" fontId="1" fillId="0" borderId="102" xfId="49" applyFont="1" applyFill="1" applyBorder="1" applyAlignment="1">
      <alignment horizontal="center" vertical="center" shrinkToFit="1"/>
    </xf>
    <xf numFmtId="0" fontId="1" fillId="0" borderId="109" xfId="49" applyFont="1" applyFill="1" applyBorder="1" applyAlignment="1">
      <alignment horizontal="center" vertical="center" shrinkToFit="1"/>
    </xf>
    <xf numFmtId="0" fontId="1" fillId="0" borderId="110" xfId="49" applyFont="1" applyFill="1" applyBorder="1" applyAlignment="1">
      <alignment horizontal="center" vertical="center" shrinkToFit="1"/>
    </xf>
    <xf numFmtId="0" fontId="1" fillId="0" borderId="113" xfId="49" applyFont="1" applyFill="1" applyBorder="1" applyAlignment="1" applyProtection="1">
      <alignment horizontal="center" vertical="center"/>
    </xf>
    <xf numFmtId="0" fontId="1" fillId="0" borderId="87" xfId="49" applyFont="1" applyFill="1" applyBorder="1" applyAlignment="1" applyProtection="1">
      <alignment horizontal="center" vertical="center"/>
    </xf>
    <xf numFmtId="0" fontId="1" fillId="0" borderId="114" xfId="49" applyFont="1" applyFill="1" applyBorder="1" applyAlignment="1" applyProtection="1">
      <alignment horizontal="center" vertical="center"/>
    </xf>
    <xf numFmtId="49" fontId="1" fillId="0" borderId="113" xfId="49" applyNumberFormat="1" applyFont="1" applyFill="1" applyBorder="1" applyAlignment="1" applyProtection="1">
      <alignment horizontal="left" vertical="center"/>
    </xf>
    <xf numFmtId="0" fontId="1" fillId="0" borderId="87" xfId="49" applyNumberFormat="1" applyFont="1" applyFill="1" applyBorder="1" applyAlignment="1" applyProtection="1">
      <alignment horizontal="left" vertical="center"/>
    </xf>
    <xf numFmtId="0" fontId="1" fillId="0" borderId="114" xfId="49" applyNumberFormat="1" applyFont="1" applyFill="1" applyBorder="1" applyAlignment="1" applyProtection="1">
      <alignment horizontal="left" vertical="center"/>
    </xf>
    <xf numFmtId="0" fontId="1" fillId="0" borderId="92" xfId="49" applyFont="1" applyFill="1" applyBorder="1" applyAlignment="1" applyProtection="1">
      <alignment horizontal="center" vertical="center"/>
    </xf>
    <xf numFmtId="0" fontId="1" fillId="0" borderId="93" xfId="49" applyFont="1" applyFill="1" applyBorder="1" applyAlignment="1" applyProtection="1">
      <alignment horizontal="center" vertical="center"/>
    </xf>
    <xf numFmtId="0" fontId="1" fillId="0" borderId="96" xfId="49" applyFont="1" applyFill="1" applyBorder="1" applyAlignment="1" applyProtection="1">
      <alignment horizontal="center" vertical="center" shrinkToFit="1"/>
    </xf>
    <xf numFmtId="0" fontId="3" fillId="0" borderId="93" xfId="49" applyFont="1" applyFill="1" applyBorder="1" applyAlignment="1" applyProtection="1">
      <alignment horizontal="center" vertical="center" wrapText="1"/>
    </xf>
    <xf numFmtId="0" fontId="1" fillId="0" borderId="95" xfId="49" applyFont="1" applyFill="1" applyBorder="1" applyAlignment="1" applyProtection="1">
      <alignment horizontal="center" vertical="center" shrinkToFit="1"/>
    </xf>
    <xf numFmtId="0" fontId="1" fillId="0" borderId="115" xfId="49" applyFont="1" applyFill="1" applyBorder="1" applyAlignment="1" applyProtection="1">
      <alignment horizontal="center" vertical="center" shrinkToFit="1"/>
    </xf>
    <xf numFmtId="0" fontId="4" fillId="0" borderId="41" xfId="49" applyFont="1" applyFill="1" applyBorder="1" applyAlignment="1" applyProtection="1">
      <alignment horizontal="center" vertical="center"/>
    </xf>
    <xf numFmtId="0" fontId="4" fillId="0" borderId="21" xfId="49" applyFont="1" applyFill="1" applyBorder="1" applyAlignment="1" applyProtection="1">
      <alignment horizontal="center" vertical="center"/>
    </xf>
    <xf numFmtId="0" fontId="49" fillId="24" borderId="30" xfId="49" applyFont="1" applyFill="1" applyBorder="1" applyAlignment="1">
      <alignment horizontal="center"/>
    </xf>
    <xf numFmtId="0" fontId="49" fillId="24" borderId="0" xfId="49" applyFont="1" applyFill="1" applyAlignment="1">
      <alignment horizontal="center"/>
    </xf>
    <xf numFmtId="0" fontId="49" fillId="25" borderId="30" xfId="49" applyFont="1" applyFill="1" applyBorder="1" applyAlignment="1">
      <alignment horizontal="center"/>
    </xf>
    <xf numFmtId="0" fontId="49" fillId="25" borderId="0" xfId="49" applyFont="1" applyFill="1" applyAlignment="1">
      <alignment horizontal="center"/>
    </xf>
    <xf numFmtId="0" fontId="28" fillId="24" borderId="27" xfId="0" applyFont="1" applyFill="1" applyBorder="1" applyAlignment="1">
      <alignment horizontal="center" vertical="center"/>
    </xf>
    <xf numFmtId="0" fontId="28" fillId="24" borderId="53" xfId="0" applyFont="1" applyFill="1" applyBorder="1" applyAlignment="1">
      <alignment horizontal="center" vertical="center"/>
    </xf>
    <xf numFmtId="0" fontId="28" fillId="24" borderId="30" xfId="0" applyFont="1" applyFill="1" applyBorder="1" applyAlignment="1">
      <alignment horizontal="center" vertical="center"/>
    </xf>
    <xf numFmtId="0" fontId="28" fillId="24" borderId="40" xfId="0" applyFont="1" applyFill="1" applyBorder="1" applyAlignment="1">
      <alignment horizontal="center" vertical="center"/>
    </xf>
    <xf numFmtId="0" fontId="1" fillId="0" borderId="92" xfId="49" applyFont="1" applyFill="1" applyBorder="1" applyAlignment="1" applyProtection="1">
      <alignment horizontal="center" vertical="center" shrinkToFit="1"/>
      <protection locked="0"/>
    </xf>
    <xf numFmtId="0" fontId="1" fillId="0" borderId="93" xfId="49" applyFont="1" applyFill="1" applyBorder="1" applyAlignment="1" applyProtection="1">
      <alignment horizontal="center" vertical="center" shrinkToFit="1"/>
      <protection locked="0"/>
    </xf>
    <xf numFmtId="0" fontId="1" fillId="0" borderId="108" xfId="49" applyFont="1" applyFill="1" applyBorder="1" applyAlignment="1" applyProtection="1">
      <alignment horizontal="center" vertical="center" shrinkToFit="1"/>
      <protection locked="0"/>
    </xf>
    <xf numFmtId="0" fontId="1" fillId="0" borderId="102" xfId="49" applyFont="1" applyFill="1" applyBorder="1" applyAlignment="1" applyProtection="1">
      <alignment horizontal="center" vertical="center" shrinkToFit="1"/>
      <protection locked="0"/>
    </xf>
    <xf numFmtId="0" fontId="1" fillId="0" borderId="109" xfId="49" applyFont="1" applyFill="1" applyBorder="1" applyAlignment="1" applyProtection="1">
      <alignment horizontal="center" vertical="center" shrinkToFit="1"/>
      <protection locked="0"/>
    </xf>
    <xf numFmtId="0" fontId="1" fillId="0" borderId="110" xfId="49" applyFont="1" applyFill="1" applyBorder="1" applyAlignment="1" applyProtection="1">
      <alignment horizontal="center" vertical="center" shrinkToFit="1"/>
      <protection locked="0"/>
    </xf>
    <xf numFmtId="0" fontId="0" fillId="0" borderId="10" xfId="0" applyBorder="1" applyAlignment="1">
      <alignment horizontal="center" vertical="center"/>
    </xf>
    <xf numFmtId="49" fontId="1" fillId="0" borderId="113" xfId="49" applyNumberFormat="1" applyFont="1" applyFill="1" applyBorder="1" applyAlignment="1" applyProtection="1">
      <alignment horizontal="center" vertical="center" shrinkToFit="1"/>
    </xf>
    <xf numFmtId="49" fontId="1" fillId="0" borderId="87" xfId="49" applyNumberFormat="1" applyFont="1" applyFill="1" applyBorder="1" applyAlignment="1" applyProtection="1">
      <alignment horizontal="center" vertical="center" shrinkToFit="1"/>
    </xf>
    <xf numFmtId="49" fontId="1" fillId="0" borderId="114" xfId="49" applyNumberFormat="1" applyFont="1" applyFill="1" applyBorder="1" applyAlignment="1" applyProtection="1">
      <alignment horizontal="center" vertical="center" shrinkToFit="1"/>
    </xf>
    <xf numFmtId="49" fontId="0" fillId="0" borderId="87" xfId="49" applyNumberFormat="1" applyFont="1" applyFill="1" applyBorder="1" applyAlignment="1" applyProtection="1">
      <alignment horizontal="center" vertical="center" shrinkToFit="1"/>
      <protection locked="0"/>
    </xf>
    <xf numFmtId="49" fontId="1" fillId="0" borderId="87" xfId="49" applyNumberFormat="1" applyFont="1" applyFill="1" applyBorder="1" applyAlignment="1" applyProtection="1">
      <alignment horizontal="center" vertical="center" shrinkToFit="1"/>
      <protection locked="0"/>
    </xf>
    <xf numFmtId="49" fontId="1" fillId="0" borderId="88" xfId="49" applyNumberFormat="1" applyFont="1" applyFill="1" applyBorder="1" applyAlignment="1" applyProtection="1">
      <alignment horizontal="center" vertical="center" shrinkToFit="1"/>
      <protection locked="0"/>
    </xf>
    <xf numFmtId="0" fontId="4" fillId="0" borderId="10" xfId="49" applyFont="1" applyFill="1" applyBorder="1" applyAlignment="1">
      <alignment horizontal="center" vertical="center"/>
    </xf>
    <xf numFmtId="0" fontId="4" fillId="0" borderId="27"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53" xfId="49" applyFont="1" applyFill="1" applyBorder="1" applyAlignment="1">
      <alignment horizontal="left" vertical="center" wrapText="1"/>
    </xf>
    <xf numFmtId="0" fontId="4" fillId="0" borderId="25"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52" xfId="49" applyFont="1" applyFill="1" applyBorder="1" applyAlignment="1">
      <alignment horizontal="left" vertical="center" wrapText="1"/>
    </xf>
    <xf numFmtId="0" fontId="51" fillId="26" borderId="49" xfId="0" applyFont="1" applyFill="1" applyBorder="1" applyAlignment="1">
      <alignment horizontal="center" vertical="center"/>
    </xf>
    <xf numFmtId="0" fontId="51" fillId="26" borderId="116" xfId="0" applyFont="1" applyFill="1" applyBorder="1" applyAlignment="1">
      <alignment horizontal="center" vertical="center"/>
    </xf>
    <xf numFmtId="0" fontId="0" fillId="26" borderId="49" xfId="0" applyFill="1" applyBorder="1" applyAlignment="1">
      <alignment horizontal="center" vertical="center" wrapText="1"/>
    </xf>
    <xf numFmtId="0" fontId="0" fillId="26" borderId="116" xfId="0" applyFill="1" applyBorder="1" applyAlignment="1">
      <alignment horizontal="center" vertical="center" wrapText="1"/>
    </xf>
    <xf numFmtId="49" fontId="4" fillId="0" borderId="21" xfId="49" applyNumberFormat="1" applyFont="1" applyFill="1" applyBorder="1" applyAlignment="1" applyProtection="1">
      <alignment horizontal="right" vertical="center"/>
    </xf>
    <xf numFmtId="0" fontId="4" fillId="0" borderId="21" xfId="49" applyFont="1" applyFill="1" applyBorder="1" applyAlignment="1" applyProtection="1">
      <alignment horizontal="right" vertical="center"/>
    </xf>
    <xf numFmtId="0" fontId="1" fillId="0" borderId="81" xfId="49" applyFont="1" applyFill="1" applyBorder="1" applyAlignment="1" applyProtection="1">
      <alignment horizontal="center" vertical="center"/>
    </xf>
    <xf numFmtId="0" fontId="1" fillId="0" borderId="83" xfId="49" applyFont="1" applyFill="1" applyBorder="1" applyAlignment="1" applyProtection="1">
      <alignment horizontal="center" vertical="center"/>
    </xf>
    <xf numFmtId="0" fontId="1" fillId="0" borderId="104" xfId="49" applyFont="1" applyFill="1" applyBorder="1" applyAlignment="1" applyProtection="1">
      <alignment horizontal="center" vertical="center"/>
    </xf>
    <xf numFmtId="0" fontId="1" fillId="0" borderId="102" xfId="49" applyNumberFormat="1" applyFont="1" applyFill="1" applyBorder="1" applyAlignment="1" applyProtection="1">
      <alignment horizontal="center" vertical="center" shrinkToFit="1"/>
    </xf>
    <xf numFmtId="0" fontId="60" fillId="31" borderId="27" xfId="49" applyFont="1" applyFill="1" applyBorder="1" applyAlignment="1">
      <alignment horizontal="center" vertical="center"/>
    </xf>
    <xf numFmtId="0" fontId="60" fillId="31" borderId="28" xfId="49" applyFont="1" applyFill="1" applyBorder="1" applyAlignment="1">
      <alignment horizontal="center" vertical="center"/>
    </xf>
    <xf numFmtId="0" fontId="60" fillId="31" borderId="53" xfId="49" applyFont="1" applyFill="1" applyBorder="1" applyAlignment="1">
      <alignment horizontal="center" vertical="center"/>
    </xf>
    <xf numFmtId="0" fontId="60" fillId="31" borderId="30" xfId="49" applyFont="1" applyFill="1" applyBorder="1" applyAlignment="1">
      <alignment horizontal="center" vertical="center"/>
    </xf>
    <xf numFmtId="0" fontId="60" fillId="31" borderId="0" xfId="49" applyFont="1" applyFill="1" applyBorder="1" applyAlignment="1">
      <alignment horizontal="center" vertical="center"/>
    </xf>
    <xf numFmtId="0" fontId="60" fillId="31" borderId="40" xfId="49" applyFont="1" applyFill="1" applyBorder="1" applyAlignment="1">
      <alignment horizontal="center" vertical="center"/>
    </xf>
    <xf numFmtId="0" fontId="60" fillId="31" borderId="25" xfId="49" applyFont="1" applyFill="1" applyBorder="1" applyAlignment="1">
      <alignment horizontal="center" vertical="center"/>
    </xf>
    <xf numFmtId="0" fontId="60" fillId="31" borderId="11" xfId="49" applyFont="1" applyFill="1" applyBorder="1" applyAlignment="1">
      <alignment horizontal="center" vertical="center"/>
    </xf>
    <xf numFmtId="0" fontId="60" fillId="31" borderId="52" xfId="49" applyFont="1" applyFill="1" applyBorder="1" applyAlignment="1">
      <alignment horizontal="center" vertical="center"/>
    </xf>
    <xf numFmtId="0" fontId="51" fillId="26" borderId="49" xfId="0" applyFont="1" applyFill="1" applyBorder="1" applyAlignment="1">
      <alignment vertical="center" wrapText="1"/>
    </xf>
    <xf numFmtId="0" fontId="51" fillId="26" borderId="116" xfId="0" applyFont="1" applyFill="1" applyBorder="1" applyAlignment="1">
      <alignment vertical="center" wrapText="1"/>
    </xf>
    <xf numFmtId="0" fontId="51" fillId="26" borderId="49" xfId="0" applyFont="1" applyFill="1" applyBorder="1" applyAlignment="1">
      <alignment vertical="center"/>
    </xf>
    <xf numFmtId="0" fontId="51" fillId="26" borderId="116" xfId="0" applyFont="1" applyFill="1" applyBorder="1" applyAlignment="1">
      <alignment vertical="center"/>
    </xf>
    <xf numFmtId="0" fontId="0" fillId="24" borderId="49" xfId="0" applyFill="1" applyBorder="1" applyAlignment="1">
      <alignment horizontal="center" vertical="center" wrapText="1"/>
    </xf>
    <xf numFmtId="0" fontId="0" fillId="24" borderId="51" xfId="0" applyFill="1" applyBorder="1" applyAlignment="1">
      <alignment horizontal="center" vertical="center" wrapText="1"/>
    </xf>
    <xf numFmtId="0" fontId="0" fillId="24" borderId="44" xfId="0" applyFill="1" applyBorder="1" applyAlignment="1">
      <alignment horizontal="center" vertical="center" wrapText="1"/>
    </xf>
    <xf numFmtId="0" fontId="4" fillId="24" borderId="41" xfId="49" applyFont="1" applyFill="1" applyBorder="1" applyAlignment="1" applyProtection="1">
      <alignment horizontal="center" vertical="center"/>
    </xf>
    <xf numFmtId="0" fontId="4" fillId="0" borderId="21" xfId="0" applyFont="1" applyBorder="1" applyAlignment="1" applyProtection="1">
      <alignment horizontal="center" vertical="center"/>
    </xf>
    <xf numFmtId="0" fontId="4" fillId="0" borderId="50" xfId="0" applyFont="1" applyBorder="1" applyAlignment="1" applyProtection="1">
      <alignment horizontal="center" vertical="center"/>
    </xf>
    <xf numFmtId="0" fontId="1" fillId="0" borderId="96" xfId="49" applyFont="1" applyFill="1" applyBorder="1" applyAlignment="1" applyProtection="1">
      <alignment horizontal="center" vertical="center"/>
    </xf>
    <xf numFmtId="0" fontId="1" fillId="0" borderId="97" xfId="49" applyFont="1" applyFill="1" applyBorder="1" applyAlignment="1" applyProtection="1">
      <alignment horizontal="center" vertical="center"/>
    </xf>
    <xf numFmtId="0" fontId="1" fillId="0" borderId="98" xfId="49" applyFont="1" applyFill="1" applyBorder="1" applyAlignment="1" applyProtection="1">
      <alignment horizontal="center" vertical="center"/>
    </xf>
    <xf numFmtId="0" fontId="1" fillId="0" borderId="111" xfId="49" applyFont="1" applyFill="1" applyBorder="1" applyAlignment="1" applyProtection="1">
      <alignment horizontal="center" vertical="center"/>
    </xf>
    <xf numFmtId="0" fontId="1" fillId="0" borderId="0" xfId="49" applyFont="1" applyFill="1" applyBorder="1" applyAlignment="1" applyProtection="1">
      <alignment horizontal="center" vertical="center"/>
    </xf>
    <xf numFmtId="0" fontId="1" fillId="0" borderId="112" xfId="49" applyFont="1" applyFill="1" applyBorder="1" applyAlignment="1" applyProtection="1">
      <alignment horizontal="center" vertical="center"/>
    </xf>
    <xf numFmtId="0" fontId="0" fillId="0" borderId="86" xfId="49" applyFont="1" applyBorder="1" applyAlignment="1" applyProtection="1">
      <alignment vertical="center"/>
      <protection locked="0"/>
    </xf>
    <xf numFmtId="0" fontId="0" fillId="0" borderId="87" xfId="0" applyBorder="1" applyProtection="1">
      <alignment vertical="center"/>
      <protection locked="0"/>
    </xf>
    <xf numFmtId="0" fontId="0" fillId="0" borderId="88" xfId="0" applyBorder="1" applyProtection="1">
      <alignment vertical="center"/>
      <protection locked="0"/>
    </xf>
    <xf numFmtId="0" fontId="0" fillId="0" borderId="78" xfId="49" applyFont="1" applyBorder="1" applyAlignment="1" applyProtection="1">
      <alignment vertical="center" shrinkToFit="1"/>
      <protection locked="0"/>
    </xf>
    <xf numFmtId="0" fontId="0" fillId="0" borderId="80" xfId="0" applyBorder="1" applyAlignment="1" applyProtection="1">
      <alignment vertical="center" shrinkToFit="1"/>
      <protection locked="0"/>
    </xf>
    <xf numFmtId="0" fontId="0" fillId="0" borderId="79" xfId="0" applyBorder="1" applyAlignment="1" applyProtection="1">
      <alignment vertical="center" shrinkToFit="1"/>
      <protection locked="0"/>
    </xf>
    <xf numFmtId="49" fontId="0" fillId="0" borderId="20"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64" xfId="0" applyBorder="1" applyAlignment="1">
      <alignment horizontal="center" vertical="center"/>
    </xf>
    <xf numFmtId="0" fontId="0" fillId="0" borderId="21" xfId="0" applyBorder="1" applyAlignment="1">
      <alignment horizontal="center" vertical="center"/>
    </xf>
    <xf numFmtId="0" fontId="0" fillId="0" borderId="50" xfId="0" applyBorder="1" applyAlignment="1">
      <alignment horizontal="center" vertical="center"/>
    </xf>
    <xf numFmtId="0" fontId="0" fillId="0" borderId="74" xfId="0" applyBorder="1" applyAlignment="1">
      <alignment horizontal="center" vertical="center"/>
    </xf>
    <xf numFmtId="0" fontId="0" fillId="0" borderId="11" xfId="0" applyBorder="1" applyAlignment="1">
      <alignment horizontal="center" vertical="center"/>
    </xf>
    <xf numFmtId="0" fontId="0" fillId="0" borderId="52" xfId="0" applyBorder="1" applyAlignment="1">
      <alignment horizontal="center" vertical="center"/>
    </xf>
    <xf numFmtId="0" fontId="19" fillId="0" borderId="47" xfId="0" applyFont="1" applyFill="1" applyBorder="1" applyAlignment="1">
      <alignment horizontal="center" vertical="center"/>
    </xf>
    <xf numFmtId="0" fontId="19" fillId="0" borderId="16" xfId="0" applyFont="1" applyFill="1" applyBorder="1" applyAlignment="1">
      <alignment horizontal="center" vertical="center"/>
    </xf>
    <xf numFmtId="0" fontId="19" fillId="0" borderId="57" xfId="0" applyFont="1" applyFill="1" applyBorder="1" applyAlignment="1">
      <alignment horizontal="center" vertical="center"/>
    </xf>
    <xf numFmtId="177" fontId="0" fillId="0" borderId="41" xfId="0" applyNumberFormat="1" applyBorder="1" applyAlignment="1" applyProtection="1">
      <alignment horizontal="right" vertical="center"/>
      <protection locked="0"/>
    </xf>
    <xf numFmtId="177" fontId="0" fillId="0" borderId="21" xfId="0" applyNumberFormat="1" applyBorder="1" applyAlignment="1" applyProtection="1">
      <alignment horizontal="right" vertical="center"/>
      <protection locked="0"/>
    </xf>
    <xf numFmtId="0" fontId="0" fillId="0" borderId="41" xfId="0" applyBorder="1" applyAlignment="1">
      <alignment horizontal="center" vertical="center"/>
    </xf>
    <xf numFmtId="0" fontId="4" fillId="33" borderId="122" xfId="0" applyFont="1" applyFill="1" applyBorder="1" applyAlignment="1">
      <alignment horizontal="center" vertical="center" textRotation="255"/>
    </xf>
    <xf numFmtId="0" fontId="4" fillId="33" borderId="59" xfId="0" applyFont="1" applyFill="1" applyBorder="1" applyAlignment="1">
      <alignment horizontal="center" vertical="center" textRotation="255"/>
    </xf>
    <xf numFmtId="0" fontId="4" fillId="33" borderId="123" xfId="0" applyFont="1" applyFill="1" applyBorder="1" applyAlignment="1">
      <alignment horizontal="center" vertical="center" textRotation="255"/>
    </xf>
    <xf numFmtId="0" fontId="0" fillId="0" borderId="20" xfId="0" applyBorder="1" applyAlignment="1">
      <alignment horizontal="center" vertical="center"/>
    </xf>
    <xf numFmtId="0" fontId="0" fillId="0" borderId="17" xfId="0" applyBorder="1" applyAlignment="1">
      <alignment horizontal="center" vertical="center"/>
    </xf>
    <xf numFmtId="0" fontId="0" fillId="0" borderId="33" xfId="0" applyBorder="1" applyAlignment="1">
      <alignment horizontal="center" vertical="center"/>
    </xf>
    <xf numFmtId="0" fontId="0" fillId="0" borderId="125" xfId="0" applyBorder="1" applyAlignment="1">
      <alignment horizontal="center" vertical="center"/>
    </xf>
    <xf numFmtId="0" fontId="4" fillId="33" borderId="119" xfId="0" applyFont="1" applyFill="1" applyBorder="1" applyAlignment="1">
      <alignment horizontal="center" vertical="center" textRotation="255"/>
    </xf>
    <xf numFmtId="0" fontId="4" fillId="33" borderId="120" xfId="0" applyFont="1" applyFill="1" applyBorder="1" applyAlignment="1">
      <alignment horizontal="center" vertical="center" textRotation="255"/>
    </xf>
    <xf numFmtId="0" fontId="4" fillId="33" borderId="121" xfId="0" applyFont="1" applyFill="1" applyBorder="1" applyAlignment="1">
      <alignment horizontal="center" vertical="center" textRotation="255"/>
    </xf>
    <xf numFmtId="0" fontId="0" fillId="0" borderId="32"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53" xfId="0" applyBorder="1" applyAlignment="1">
      <alignment horizontal="center" vertical="center"/>
    </xf>
    <xf numFmtId="0" fontId="0" fillId="0" borderId="30" xfId="0" applyBorder="1" applyAlignment="1">
      <alignment horizontal="center" vertical="center"/>
    </xf>
    <xf numFmtId="0" fontId="0" fillId="0" borderId="0" xfId="0" applyBorder="1" applyAlignment="1">
      <alignment horizontal="center" vertical="center"/>
    </xf>
    <xf numFmtId="0" fontId="0" fillId="0" borderId="40" xfId="0" applyBorder="1" applyAlignment="1">
      <alignment horizontal="center" vertical="center"/>
    </xf>
    <xf numFmtId="0" fontId="0" fillId="0" borderId="25" xfId="0" applyBorder="1" applyAlignment="1">
      <alignment horizontal="center" vertical="center"/>
    </xf>
    <xf numFmtId="0" fontId="0" fillId="0" borderId="27" xfId="0" applyBorder="1" applyAlignment="1">
      <alignment horizontal="center" vertical="center" wrapText="1"/>
    </xf>
    <xf numFmtId="0" fontId="28" fillId="0" borderId="10" xfId="0" applyFont="1" applyBorder="1" applyAlignment="1">
      <alignment horizontal="center" vertical="center"/>
    </xf>
    <xf numFmtId="0" fontId="28" fillId="0" borderId="41" xfId="0" applyFont="1" applyBorder="1"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center" vertical="center"/>
    </xf>
    <xf numFmtId="0" fontId="0" fillId="0" borderId="11" xfId="0" applyBorder="1" applyAlignment="1" applyProtection="1">
      <alignment vertical="center"/>
      <protection locked="0"/>
    </xf>
    <xf numFmtId="0" fontId="4" fillId="33" borderId="12" xfId="0" applyFont="1" applyFill="1" applyBorder="1" applyAlignment="1">
      <alignment horizontal="center" vertical="center" wrapText="1"/>
    </xf>
    <xf numFmtId="0" fontId="4" fillId="33" borderId="13" xfId="0" applyFont="1" applyFill="1" applyBorder="1" applyAlignment="1">
      <alignment horizontal="center" vertical="center" wrapText="1"/>
    </xf>
    <xf numFmtId="0" fontId="4" fillId="33" borderId="14" xfId="0" applyFont="1" applyFill="1" applyBorder="1" applyAlignment="1">
      <alignment horizontal="center" vertical="center" wrapText="1"/>
    </xf>
    <xf numFmtId="0" fontId="4" fillId="33" borderId="42" xfId="0" applyFont="1" applyFill="1" applyBorder="1" applyAlignment="1">
      <alignment horizontal="center" vertical="center" wrapText="1"/>
    </xf>
    <xf numFmtId="0" fontId="4" fillId="33" borderId="18" xfId="0" applyFont="1" applyFill="1" applyBorder="1" applyAlignment="1">
      <alignment horizontal="center" vertical="center" wrapText="1"/>
    </xf>
    <xf numFmtId="0" fontId="4" fillId="33" borderId="73" xfId="0" applyFont="1" applyFill="1" applyBorder="1" applyAlignment="1">
      <alignment horizontal="center" vertical="center" wrapText="1"/>
    </xf>
    <xf numFmtId="0" fontId="0" fillId="0" borderId="28" xfId="0" applyBorder="1" applyAlignment="1">
      <alignment horizontal="center" vertical="center" wrapText="1"/>
    </xf>
    <xf numFmtId="0" fontId="0" fillId="0" borderId="53" xfId="0" applyBorder="1" applyAlignment="1">
      <alignment horizontal="center" vertical="center" wrapText="1"/>
    </xf>
    <xf numFmtId="0" fontId="0" fillId="0" borderId="30" xfId="0" applyBorder="1" applyAlignment="1">
      <alignment horizontal="center" vertical="center" wrapText="1"/>
    </xf>
    <xf numFmtId="0" fontId="0" fillId="0" borderId="0" xfId="0" applyBorder="1" applyAlignment="1">
      <alignment horizontal="center" vertical="center" wrapText="1"/>
    </xf>
    <xf numFmtId="0" fontId="0" fillId="0" borderId="40" xfId="0" applyBorder="1" applyAlignment="1">
      <alignment horizontal="center" vertical="center" wrapText="1"/>
    </xf>
    <xf numFmtId="0" fontId="0" fillId="0" borderId="37" xfId="0" applyBorder="1" applyAlignment="1">
      <alignment horizontal="center" vertical="center" wrapText="1"/>
    </xf>
    <xf numFmtId="0" fontId="0" fillId="0" borderId="18" xfId="0" applyBorder="1" applyAlignment="1">
      <alignment horizontal="center" vertical="center" wrapText="1"/>
    </xf>
    <xf numFmtId="0" fontId="0" fillId="0" borderId="73" xfId="0" applyBorder="1" applyAlignment="1">
      <alignment horizontal="center" vertical="center" wrapText="1"/>
    </xf>
    <xf numFmtId="0" fontId="0" fillId="0" borderId="0" xfId="0" applyBorder="1" applyAlignment="1" applyProtection="1">
      <alignment vertical="center" wrapText="1"/>
      <protection locked="0"/>
    </xf>
    <xf numFmtId="0" fontId="0" fillId="0" borderId="11" xfId="0" applyBorder="1" applyAlignment="1" applyProtection="1">
      <alignment vertical="center" wrapText="1"/>
      <protection locked="0"/>
    </xf>
    <xf numFmtId="0" fontId="0" fillId="0" borderId="18" xfId="0" applyBorder="1" applyAlignment="1" applyProtection="1">
      <alignment vertical="center"/>
      <protection locked="0"/>
    </xf>
    <xf numFmtId="0" fontId="0" fillId="0" borderId="18" xfId="0" applyBorder="1" applyAlignment="1">
      <alignment vertical="center"/>
    </xf>
    <xf numFmtId="0" fontId="0" fillId="0" borderId="38" xfId="0" applyBorder="1" applyAlignment="1">
      <alignment vertical="center"/>
    </xf>
    <xf numFmtId="0" fontId="0" fillId="0" borderId="53" xfId="0" applyFill="1" applyBorder="1" applyAlignment="1">
      <alignment horizontal="center" vertical="center" textRotation="255"/>
    </xf>
    <xf numFmtId="0" fontId="0" fillId="0" borderId="40" xfId="0" applyFill="1" applyBorder="1" applyAlignment="1">
      <alignment horizontal="center" vertical="center" textRotation="255"/>
    </xf>
    <xf numFmtId="0" fontId="0" fillId="0" borderId="73" xfId="0" applyFill="1" applyBorder="1" applyAlignment="1">
      <alignment horizontal="center" vertical="center" textRotation="255"/>
    </xf>
    <xf numFmtId="0" fontId="0" fillId="0" borderId="0" xfId="0" applyBorder="1" applyAlignment="1" applyProtection="1">
      <alignment vertical="center"/>
      <protection locked="0"/>
    </xf>
    <xf numFmtId="0" fontId="0" fillId="0" borderId="28" xfId="0" applyBorder="1" applyAlignment="1" applyProtection="1">
      <alignment vertical="center"/>
      <protection locked="0"/>
    </xf>
    <xf numFmtId="0" fontId="0" fillId="0" borderId="41" xfId="0" applyFill="1" applyBorder="1" applyAlignment="1">
      <alignment horizontal="center" vertical="center"/>
    </xf>
    <xf numFmtId="0" fontId="0" fillId="0" borderId="21" xfId="0" applyFill="1" applyBorder="1" applyAlignment="1">
      <alignment horizontal="center" vertical="center"/>
    </xf>
    <xf numFmtId="0" fontId="4" fillId="33" borderId="119" xfId="0" applyFont="1" applyFill="1" applyBorder="1" applyAlignment="1">
      <alignment horizontal="center" vertical="center" textRotation="255" wrapText="1"/>
    </xf>
    <xf numFmtId="0" fontId="4" fillId="33" borderId="120" xfId="0" applyFont="1" applyFill="1" applyBorder="1" applyAlignment="1">
      <alignment horizontal="center" vertical="center" textRotation="255" wrapText="1"/>
    </xf>
    <xf numFmtId="0" fontId="4" fillId="33" borderId="121" xfId="0" applyFont="1" applyFill="1" applyBorder="1" applyAlignment="1">
      <alignment horizontal="center" vertical="center" textRotation="255" wrapText="1"/>
    </xf>
    <xf numFmtId="0" fontId="0" fillId="0" borderId="49" xfId="0" applyFill="1" applyBorder="1" applyAlignment="1">
      <alignment horizontal="center" vertical="center" textRotation="255"/>
    </xf>
    <xf numFmtId="0" fontId="0" fillId="0" borderId="51" xfId="0" applyFill="1" applyBorder="1" applyAlignment="1">
      <alignment horizontal="center" vertical="center" textRotation="255"/>
    </xf>
    <xf numFmtId="0" fontId="0" fillId="0" borderId="44" xfId="0" applyFill="1" applyBorder="1" applyAlignment="1">
      <alignment horizontal="center" vertical="center" textRotation="255"/>
    </xf>
    <xf numFmtId="0" fontId="0" fillId="0" borderId="27" xfId="0" applyFill="1" applyBorder="1" applyAlignment="1">
      <alignment vertical="top"/>
    </xf>
    <xf numFmtId="0" fontId="0" fillId="0" borderId="53" xfId="0" applyFill="1" applyBorder="1" applyAlignment="1">
      <alignment vertical="top"/>
    </xf>
    <xf numFmtId="0" fontId="0" fillId="0" borderId="25" xfId="0" applyFill="1" applyBorder="1" applyAlignment="1">
      <alignment vertical="top"/>
    </xf>
    <xf numFmtId="0" fontId="0" fillId="0" borderId="52" xfId="0" applyFill="1" applyBorder="1" applyAlignment="1">
      <alignment vertical="top"/>
    </xf>
    <xf numFmtId="0" fontId="4" fillId="33" borderId="62" xfId="0" applyFont="1" applyFill="1" applyBorder="1" applyAlignment="1">
      <alignment horizontal="center" vertical="center" textRotation="255"/>
    </xf>
    <xf numFmtId="176" fontId="26" fillId="0" borderId="41" xfId="0" applyNumberFormat="1" applyFont="1" applyBorder="1" applyAlignment="1" applyProtection="1">
      <alignment horizontal="center" vertical="center"/>
      <protection locked="0"/>
    </xf>
    <xf numFmtId="176" fontId="26" fillId="0" borderId="21" xfId="0" applyNumberFormat="1" applyFont="1" applyBorder="1" applyAlignment="1" applyProtection="1">
      <alignment horizontal="center" vertical="center"/>
      <protection locked="0"/>
    </xf>
    <xf numFmtId="176" fontId="26" fillId="0" borderId="24" xfId="0" applyNumberFormat="1" applyFont="1" applyBorder="1" applyAlignment="1" applyProtection="1">
      <alignment horizontal="center" vertical="center"/>
      <protection locked="0"/>
    </xf>
    <xf numFmtId="0" fontId="19" fillId="0" borderId="13" xfId="0" applyFont="1" applyFill="1" applyBorder="1" applyAlignment="1">
      <alignment horizontal="center" vertical="center"/>
    </xf>
    <xf numFmtId="0" fontId="19" fillId="0" borderId="19" xfId="0" applyFont="1" applyFill="1" applyBorder="1" applyAlignment="1">
      <alignment horizontal="center" vertical="center"/>
    </xf>
    <xf numFmtId="0" fontId="0" fillId="0" borderId="117" xfId="0" applyBorder="1" applyAlignment="1" applyProtection="1">
      <alignment vertical="center"/>
      <protection locked="0"/>
    </xf>
    <xf numFmtId="0" fontId="0" fillId="0" borderId="124" xfId="0" applyBorder="1" applyAlignment="1" applyProtection="1">
      <alignment vertical="center"/>
      <protection locked="0"/>
    </xf>
    <xf numFmtId="0" fontId="0" fillId="0" borderId="118" xfId="0" applyBorder="1" applyAlignment="1" applyProtection="1">
      <alignment horizontal="center" vertical="center"/>
      <protection locked="0"/>
    </xf>
    <xf numFmtId="0" fontId="26" fillId="0" borderId="13" xfId="0" applyFont="1" applyBorder="1" applyAlignment="1" applyProtection="1">
      <alignment horizontal="center" vertical="center"/>
      <protection locked="0"/>
    </xf>
    <xf numFmtId="0" fontId="0" fillId="0" borderId="21" xfId="0" applyBorder="1" applyAlignment="1" applyProtection="1">
      <alignment vertical="center"/>
      <protection locked="0"/>
    </xf>
    <xf numFmtId="0" fontId="0" fillId="0" borderId="21" xfId="0" applyBorder="1" applyAlignment="1" applyProtection="1">
      <alignment horizontal="center" vertical="center"/>
      <protection locked="0"/>
    </xf>
    <xf numFmtId="0" fontId="0" fillId="0" borderId="49" xfId="0" applyBorder="1" applyAlignment="1">
      <alignment horizontal="center" vertical="center"/>
    </xf>
    <xf numFmtId="0" fontId="0" fillId="0" borderId="118" xfId="0" applyBorder="1" applyAlignment="1" applyProtection="1">
      <alignment vertical="center"/>
      <protection locked="0"/>
    </xf>
    <xf numFmtId="0" fontId="6" fillId="0" borderId="117" xfId="0" applyFont="1" applyBorder="1" applyAlignment="1" applyProtection="1">
      <alignment vertical="center"/>
      <protection locked="0"/>
    </xf>
    <xf numFmtId="0" fontId="6" fillId="0" borderId="124" xfId="0" applyFont="1" applyBorder="1" applyAlignment="1" applyProtection="1">
      <alignment vertical="center"/>
      <protection locked="0"/>
    </xf>
    <xf numFmtId="0" fontId="0" fillId="0" borderId="20" xfId="0" applyBorder="1" applyAlignment="1" applyProtection="1">
      <alignment horizontal="center" vertical="center"/>
      <protection locked="0"/>
    </xf>
    <xf numFmtId="0" fontId="0" fillId="0" borderId="65" xfId="0" applyBorder="1" applyAlignment="1">
      <alignment horizontal="center" vertical="center"/>
    </xf>
    <xf numFmtId="0" fontId="0" fillId="0" borderId="22" xfId="0" applyBorder="1" applyAlignment="1">
      <alignment horizontal="center" vertical="center"/>
    </xf>
    <xf numFmtId="0" fontId="0" fillId="0" borderId="72" xfId="0" applyBorder="1" applyAlignment="1">
      <alignment horizontal="center" vertical="center"/>
    </xf>
    <xf numFmtId="0" fontId="12" fillId="0" borderId="47" xfId="0" applyFont="1" applyFill="1" applyBorder="1" applyAlignment="1">
      <alignment horizontal="center" vertical="center"/>
    </xf>
    <xf numFmtId="0" fontId="12" fillId="0" borderId="16" xfId="0" applyFont="1" applyFill="1" applyBorder="1" applyAlignment="1">
      <alignment horizontal="center" vertical="center"/>
    </xf>
    <xf numFmtId="0" fontId="12" fillId="0" borderId="57" xfId="0" applyFont="1" applyFill="1" applyBorder="1" applyAlignment="1">
      <alignment horizontal="center" vertical="center"/>
    </xf>
    <xf numFmtId="0" fontId="0" fillId="0" borderId="41" xfId="0" applyBorder="1" applyAlignment="1" applyProtection="1">
      <alignment horizontal="center" vertical="center"/>
      <protection locked="0"/>
    </xf>
    <xf numFmtId="0" fontId="0" fillId="0" borderId="58" xfId="0" applyBorder="1" applyAlignment="1">
      <alignment horizontal="center" vertical="center"/>
    </xf>
    <xf numFmtId="0" fontId="0" fillId="0" borderId="65"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72" xfId="0" applyBorder="1" applyAlignment="1" applyProtection="1">
      <alignment horizontal="center" vertical="center"/>
      <protection locked="0"/>
    </xf>
    <xf numFmtId="0" fontId="30" fillId="0" borderId="34" xfId="0" applyFont="1" applyBorder="1" applyAlignment="1">
      <alignment horizontal="left" vertical="top" wrapText="1"/>
    </xf>
    <xf numFmtId="0" fontId="0" fillId="0" borderId="35" xfId="0" applyBorder="1">
      <alignment vertical="center"/>
    </xf>
    <xf numFmtId="0" fontId="0" fillId="0" borderId="36" xfId="0" applyBorder="1">
      <alignment vertical="center"/>
    </xf>
    <xf numFmtId="0" fontId="0" fillId="0" borderId="37" xfId="0" applyBorder="1">
      <alignment vertical="center"/>
    </xf>
    <xf numFmtId="0" fontId="0" fillId="0" borderId="18" xfId="0" applyBorder="1">
      <alignment vertical="center"/>
    </xf>
    <xf numFmtId="0" fontId="0" fillId="0" borderId="38" xfId="0" applyBorder="1">
      <alignment vertical="center"/>
    </xf>
    <xf numFmtId="0" fontId="0" fillId="0" borderId="13" xfId="0" applyBorder="1" applyAlignment="1" applyProtection="1">
      <alignment horizontal="center" vertical="center"/>
      <protection locked="0"/>
    </xf>
    <xf numFmtId="0" fontId="0" fillId="0" borderId="124" xfId="0" applyBorder="1" applyAlignment="1" applyProtection="1">
      <alignment vertical="center" wrapText="1"/>
      <protection locked="0"/>
    </xf>
    <xf numFmtId="0" fontId="0" fillId="0" borderId="43" xfId="0" applyBorder="1" applyAlignment="1">
      <alignment horizontal="center" vertical="center" wrapText="1"/>
    </xf>
    <xf numFmtId="0" fontId="0" fillId="0" borderId="39" xfId="0" applyBorder="1" applyAlignment="1">
      <alignment horizontal="center" vertical="center" wrapText="1"/>
    </xf>
    <xf numFmtId="0" fontId="0" fillId="0" borderId="74" xfId="0" applyBorder="1" applyAlignment="1">
      <alignment horizontal="center" vertical="center" wrapText="1"/>
    </xf>
    <xf numFmtId="0" fontId="0" fillId="0" borderId="11" xfId="0" applyBorder="1" applyAlignment="1">
      <alignment horizontal="center" vertical="center" wrapText="1"/>
    </xf>
    <xf numFmtId="0" fontId="0" fillId="0" borderId="52" xfId="0" applyBorder="1" applyAlignment="1">
      <alignment horizontal="center" vertical="center" wrapText="1"/>
    </xf>
    <xf numFmtId="0" fontId="0" fillId="0" borderId="77" xfId="0" applyBorder="1" applyAlignment="1">
      <alignment horizontal="center" vertical="center"/>
    </xf>
    <xf numFmtId="0" fontId="0" fillId="0" borderId="69" xfId="0" applyBorder="1" applyAlignment="1">
      <alignment horizontal="center" vertical="center"/>
    </xf>
    <xf numFmtId="49" fontId="0" fillId="0" borderId="69" xfId="0" applyNumberFormat="1" applyBorder="1" applyAlignment="1" applyProtection="1">
      <alignment horizontal="center" vertical="center"/>
      <protection locked="0"/>
    </xf>
    <xf numFmtId="49" fontId="0" fillId="0" borderId="70" xfId="0" applyNumberForma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0" fontId="0" fillId="0" borderId="67" xfId="0" applyFill="1" applyBorder="1" applyAlignment="1">
      <alignment horizontal="center" vertical="center" textRotation="255"/>
    </xf>
    <xf numFmtId="0" fontId="0" fillId="0" borderId="28" xfId="0" applyBorder="1" applyAlignment="1" applyProtection="1">
      <alignment vertical="center" wrapText="1"/>
      <protection locked="0"/>
    </xf>
    <xf numFmtId="0" fontId="0" fillId="0" borderId="18" xfId="0" applyBorder="1" applyAlignment="1" applyProtection="1">
      <alignment vertical="center" wrapText="1"/>
      <protection locked="0"/>
    </xf>
    <xf numFmtId="0" fontId="0" fillId="0" borderId="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26" fillId="0" borderId="11" xfId="0" applyFont="1" applyBorder="1" applyAlignment="1" applyProtection="1">
      <alignment horizontal="center" vertical="center"/>
      <protection locked="0"/>
    </xf>
    <xf numFmtId="0" fontId="0" fillId="0" borderId="13" xfId="0" applyBorder="1" applyAlignment="1" applyProtection="1">
      <alignment vertical="center"/>
      <protection locked="0"/>
    </xf>
    <xf numFmtId="49" fontId="0" fillId="0" borderId="10" xfId="0" applyNumberFormat="1" applyBorder="1" applyAlignment="1" applyProtection="1">
      <alignment horizontal="center" vertical="center"/>
      <protection locked="0"/>
    </xf>
    <xf numFmtId="0" fontId="1" fillId="0" borderId="0" xfId="52" applyNumberFormat="1" applyFont="1" applyBorder="1" applyAlignment="1" applyProtection="1">
      <alignment horizontal="center" vertical="center"/>
      <protection locked="0"/>
    </xf>
  </cellXfs>
  <cellStyles count="56">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ハイパーリンク" xfId="28" builtinId="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xr:uid="{00000000-0005-0000-0000-00002A000000}"/>
    <cellStyle name="標準_【標準化】設定シャシおよび架装型式一覧_20121203" xfId="43" xr:uid="{00000000-0005-0000-0000-00002B000000}"/>
    <cellStyle name="標準_Sheet1" xfId="44" xr:uid="{00000000-0005-0000-0000-00002C000000}"/>
    <cellStyle name="標準_ＳＴＤ・ＯＰ・ＳＰのまとめ５" xfId="45" xr:uid="{00000000-0005-0000-0000-00002D000000}"/>
    <cellStyle name="標準_ＳＴＤ・ＯＰ・ＳＰのまとめ５_【配信】調査シート（衛生" xfId="46" xr:uid="{00000000-0005-0000-0000-00002E000000}"/>
    <cellStyle name="標準_ＳＴＤ・ＯＰ・ＳＰのまとめ５_【配信】調査シート（衛生_【作成中】【標準化仕様書】衛生車_V3.0" xfId="47" xr:uid="{00000000-0005-0000-0000-00002F000000}"/>
    <cellStyle name="標準_ＳＴＤ・ＯＰ・ＳＰのまとめ５_【配信】調査シート（衛生_田辺●ＳＳタンク仕様提案資料_推進表 " xfId="48" xr:uid="{00000000-0005-0000-0000-000030000000}"/>
    <cellStyle name="標準_タンク車類ⅠVC仕様書" xfId="49" xr:uid="{00000000-0005-0000-0000-000031000000}"/>
    <cellStyle name="標準_原稿" xfId="50" xr:uid="{00000000-0005-0000-0000-000032000000}"/>
    <cellStyle name="標準_仕様書KA64～5(V2.4)" xfId="51" xr:uid="{00000000-0005-0000-0000-000033000000}"/>
    <cellStyle name="標準_仕様書ひな形" xfId="52" xr:uid="{00000000-0005-0000-0000-000034000000}"/>
    <cellStyle name="標準_新仕様書＿１９（2012.11.27）" xfId="55" xr:uid="{00000000-0005-0000-0000-000035000000}"/>
    <cellStyle name="未定義" xfId="53" xr:uid="{00000000-0005-0000-0000-000036000000}"/>
    <cellStyle name="良い" xfId="54" builtinId="26" customBuiltin="1"/>
  </cellStyles>
  <dxfs count="11">
    <dxf>
      <font>
        <condense val="0"/>
        <extend val="0"/>
        <color indexed="9"/>
      </font>
    </dxf>
    <dxf>
      <font>
        <condense val="0"/>
        <extend val="0"/>
        <color indexed="9"/>
      </font>
    </dxf>
    <dxf>
      <fill>
        <patternFill>
          <bgColor indexed="45"/>
        </patternFill>
      </fill>
    </dxf>
    <dxf>
      <fill>
        <patternFill patternType="none">
          <bgColor indexed="65"/>
        </patternFill>
      </fill>
    </dxf>
    <dxf>
      <fill>
        <patternFill patternType="none">
          <bgColor indexed="65"/>
        </patternFill>
      </fill>
    </dxf>
    <dxf>
      <fill>
        <patternFill>
          <bgColor indexed="45"/>
        </patternFill>
      </fill>
    </dxf>
    <dxf>
      <fill>
        <patternFill patternType="none">
          <bgColor indexed="65"/>
        </patternFill>
      </fill>
    </dxf>
    <dxf>
      <font>
        <condense val="0"/>
        <extend val="0"/>
        <color indexed="9"/>
      </font>
      <fill>
        <patternFill>
          <bgColor indexed="20"/>
        </patternFill>
      </fill>
    </dxf>
    <dxf>
      <font>
        <b/>
        <i val="0"/>
        <condense val="0"/>
        <extend val="0"/>
        <color indexed="10"/>
      </font>
      <fill>
        <patternFill>
          <bgColor indexed="13"/>
        </patternFill>
      </fill>
    </dxf>
    <dxf>
      <font>
        <condense val="0"/>
        <extend val="0"/>
        <color indexed="9"/>
      </font>
      <fill>
        <patternFill>
          <bgColor indexed="20"/>
        </patternFill>
      </fill>
    </dxf>
    <dxf>
      <font>
        <b/>
        <i val="0"/>
        <condense val="0"/>
        <extend val="0"/>
        <color indexed="10"/>
      </font>
      <fill>
        <patternFill>
          <bgColor indexed="13"/>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checked="Checked"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Radio" checked="Checked" firstButton="1"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Radio" checked="Checked" firstButton="1"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checked="Checked" lockText="1"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checked="Checked" lockText="1" noThreeD="1"/>
</file>

<file path=xl/ctrlProps/ctrlProp57.xml><?xml version="1.0" encoding="utf-8"?>
<formControlPr xmlns="http://schemas.microsoft.com/office/spreadsheetml/2009/9/main" objectType="Radio" checked="Checked" firstButton="1"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checked="Checked"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lockText="1"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Radio" checked="Checked" firstButton="1"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firstButton="1" lockText="1" noThreeD="1"/>
</file>

<file path=xl/ctrlProps/ctrlProp75.xml><?xml version="1.0" encoding="utf-8"?>
<formControlPr xmlns="http://schemas.microsoft.com/office/spreadsheetml/2009/9/main" objectType="Radio" checked="Checked"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checked="Checked" lockText="1"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120.jpeg"/><Relationship Id="rId1" Type="http://schemas.openxmlformats.org/officeDocument/2006/relationships/image" Target="../media/image119.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22.jpeg"/><Relationship Id="rId1" Type="http://schemas.openxmlformats.org/officeDocument/2006/relationships/image" Target="../media/image12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23.jpeg"/></Relationships>
</file>

<file path=xl/drawings/_rels/vmlDrawing2.vml.rels><?xml version="1.0" encoding="UTF-8" standalone="yes"?>
<Relationships xmlns="http://schemas.openxmlformats.org/package/2006/relationships"><Relationship Id="rId26" Type="http://schemas.openxmlformats.org/officeDocument/2006/relationships/image" Target="../media/image26.emf"/><Relationship Id="rId117" Type="http://schemas.openxmlformats.org/officeDocument/2006/relationships/image" Target="../media/image117.emf"/><Relationship Id="rId21" Type="http://schemas.openxmlformats.org/officeDocument/2006/relationships/image" Target="../media/image21.emf"/><Relationship Id="rId42" Type="http://schemas.openxmlformats.org/officeDocument/2006/relationships/image" Target="../media/image42.emf"/><Relationship Id="rId47" Type="http://schemas.openxmlformats.org/officeDocument/2006/relationships/image" Target="../media/image47.emf"/><Relationship Id="rId63" Type="http://schemas.openxmlformats.org/officeDocument/2006/relationships/image" Target="../media/image63.emf"/><Relationship Id="rId68" Type="http://schemas.openxmlformats.org/officeDocument/2006/relationships/image" Target="../media/image68.emf"/><Relationship Id="rId84" Type="http://schemas.openxmlformats.org/officeDocument/2006/relationships/image" Target="../media/image84.emf"/><Relationship Id="rId89" Type="http://schemas.openxmlformats.org/officeDocument/2006/relationships/image" Target="../media/image89.emf"/><Relationship Id="rId112" Type="http://schemas.openxmlformats.org/officeDocument/2006/relationships/image" Target="../media/image112.emf"/><Relationship Id="rId16" Type="http://schemas.openxmlformats.org/officeDocument/2006/relationships/image" Target="../media/image16.emf"/><Relationship Id="rId107" Type="http://schemas.openxmlformats.org/officeDocument/2006/relationships/image" Target="../media/image107.emf"/><Relationship Id="rId11" Type="http://schemas.openxmlformats.org/officeDocument/2006/relationships/image" Target="../media/image11.emf"/><Relationship Id="rId24" Type="http://schemas.openxmlformats.org/officeDocument/2006/relationships/image" Target="../media/image24.emf"/><Relationship Id="rId32" Type="http://schemas.openxmlformats.org/officeDocument/2006/relationships/image" Target="../media/image32.emf"/><Relationship Id="rId37" Type="http://schemas.openxmlformats.org/officeDocument/2006/relationships/image" Target="../media/image37.emf"/><Relationship Id="rId40" Type="http://schemas.openxmlformats.org/officeDocument/2006/relationships/image" Target="../media/image40.emf"/><Relationship Id="rId45" Type="http://schemas.openxmlformats.org/officeDocument/2006/relationships/image" Target="../media/image45.emf"/><Relationship Id="rId53" Type="http://schemas.openxmlformats.org/officeDocument/2006/relationships/image" Target="../media/image53.emf"/><Relationship Id="rId58" Type="http://schemas.openxmlformats.org/officeDocument/2006/relationships/image" Target="../media/image58.emf"/><Relationship Id="rId66" Type="http://schemas.openxmlformats.org/officeDocument/2006/relationships/image" Target="../media/image66.emf"/><Relationship Id="rId74" Type="http://schemas.openxmlformats.org/officeDocument/2006/relationships/image" Target="../media/image74.emf"/><Relationship Id="rId79" Type="http://schemas.openxmlformats.org/officeDocument/2006/relationships/image" Target="../media/image79.emf"/><Relationship Id="rId87" Type="http://schemas.openxmlformats.org/officeDocument/2006/relationships/image" Target="../media/image87.emf"/><Relationship Id="rId102" Type="http://schemas.openxmlformats.org/officeDocument/2006/relationships/image" Target="../media/image102.emf"/><Relationship Id="rId110" Type="http://schemas.openxmlformats.org/officeDocument/2006/relationships/image" Target="../media/image110.emf"/><Relationship Id="rId115" Type="http://schemas.openxmlformats.org/officeDocument/2006/relationships/image" Target="../media/image115.emf"/><Relationship Id="rId5" Type="http://schemas.openxmlformats.org/officeDocument/2006/relationships/image" Target="../media/image5.emf"/><Relationship Id="rId61" Type="http://schemas.openxmlformats.org/officeDocument/2006/relationships/image" Target="../media/image61.emf"/><Relationship Id="rId82" Type="http://schemas.openxmlformats.org/officeDocument/2006/relationships/image" Target="../media/image82.emf"/><Relationship Id="rId90" Type="http://schemas.openxmlformats.org/officeDocument/2006/relationships/image" Target="../media/image90.emf"/><Relationship Id="rId95" Type="http://schemas.openxmlformats.org/officeDocument/2006/relationships/image" Target="../media/image95.emf"/><Relationship Id="rId19" Type="http://schemas.openxmlformats.org/officeDocument/2006/relationships/image" Target="../media/image1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 Id="rId35" Type="http://schemas.openxmlformats.org/officeDocument/2006/relationships/image" Target="../media/image35.emf"/><Relationship Id="rId43" Type="http://schemas.openxmlformats.org/officeDocument/2006/relationships/image" Target="../media/image43.emf"/><Relationship Id="rId48" Type="http://schemas.openxmlformats.org/officeDocument/2006/relationships/image" Target="../media/image48.emf"/><Relationship Id="rId56" Type="http://schemas.openxmlformats.org/officeDocument/2006/relationships/image" Target="../media/image56.emf"/><Relationship Id="rId64" Type="http://schemas.openxmlformats.org/officeDocument/2006/relationships/image" Target="../media/image64.emf"/><Relationship Id="rId69" Type="http://schemas.openxmlformats.org/officeDocument/2006/relationships/image" Target="../media/image69.emf"/><Relationship Id="rId77" Type="http://schemas.openxmlformats.org/officeDocument/2006/relationships/image" Target="../media/image77.emf"/><Relationship Id="rId100" Type="http://schemas.openxmlformats.org/officeDocument/2006/relationships/image" Target="../media/image100.emf"/><Relationship Id="rId105" Type="http://schemas.openxmlformats.org/officeDocument/2006/relationships/image" Target="../media/image105.emf"/><Relationship Id="rId113" Type="http://schemas.openxmlformats.org/officeDocument/2006/relationships/image" Target="../media/image113.emf"/><Relationship Id="rId118" Type="http://schemas.openxmlformats.org/officeDocument/2006/relationships/image" Target="../media/image118.emf"/><Relationship Id="rId8" Type="http://schemas.openxmlformats.org/officeDocument/2006/relationships/image" Target="../media/image8.emf"/><Relationship Id="rId51" Type="http://schemas.openxmlformats.org/officeDocument/2006/relationships/image" Target="../media/image51.emf"/><Relationship Id="rId72" Type="http://schemas.openxmlformats.org/officeDocument/2006/relationships/image" Target="../media/image72.emf"/><Relationship Id="rId80" Type="http://schemas.openxmlformats.org/officeDocument/2006/relationships/image" Target="../media/image80.emf"/><Relationship Id="rId85" Type="http://schemas.openxmlformats.org/officeDocument/2006/relationships/image" Target="../media/image85.emf"/><Relationship Id="rId93" Type="http://schemas.openxmlformats.org/officeDocument/2006/relationships/image" Target="../media/image93.emf"/><Relationship Id="rId98" Type="http://schemas.openxmlformats.org/officeDocument/2006/relationships/image" Target="../media/image98.emf"/><Relationship Id="rId3" Type="http://schemas.openxmlformats.org/officeDocument/2006/relationships/image" Target="../media/image3.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emf"/><Relationship Id="rId38" Type="http://schemas.openxmlformats.org/officeDocument/2006/relationships/image" Target="../media/image38.emf"/><Relationship Id="rId46" Type="http://schemas.openxmlformats.org/officeDocument/2006/relationships/image" Target="../media/image46.emf"/><Relationship Id="rId59" Type="http://schemas.openxmlformats.org/officeDocument/2006/relationships/image" Target="../media/image59.emf"/><Relationship Id="rId67" Type="http://schemas.openxmlformats.org/officeDocument/2006/relationships/image" Target="../media/image67.emf"/><Relationship Id="rId103" Type="http://schemas.openxmlformats.org/officeDocument/2006/relationships/image" Target="../media/image103.emf"/><Relationship Id="rId108" Type="http://schemas.openxmlformats.org/officeDocument/2006/relationships/image" Target="../media/image108.emf"/><Relationship Id="rId116" Type="http://schemas.openxmlformats.org/officeDocument/2006/relationships/image" Target="../media/image116.emf"/><Relationship Id="rId20" Type="http://schemas.openxmlformats.org/officeDocument/2006/relationships/image" Target="../media/image20.emf"/><Relationship Id="rId41" Type="http://schemas.openxmlformats.org/officeDocument/2006/relationships/image" Target="../media/image41.emf"/><Relationship Id="rId54" Type="http://schemas.openxmlformats.org/officeDocument/2006/relationships/image" Target="../media/image54.emf"/><Relationship Id="rId62" Type="http://schemas.openxmlformats.org/officeDocument/2006/relationships/image" Target="../media/image62.emf"/><Relationship Id="rId70" Type="http://schemas.openxmlformats.org/officeDocument/2006/relationships/image" Target="../media/image70.emf"/><Relationship Id="rId75" Type="http://schemas.openxmlformats.org/officeDocument/2006/relationships/image" Target="../media/image75.emf"/><Relationship Id="rId83" Type="http://schemas.openxmlformats.org/officeDocument/2006/relationships/image" Target="../media/image83.emf"/><Relationship Id="rId88" Type="http://schemas.openxmlformats.org/officeDocument/2006/relationships/image" Target="../media/image88.emf"/><Relationship Id="rId91" Type="http://schemas.openxmlformats.org/officeDocument/2006/relationships/image" Target="../media/image91.emf"/><Relationship Id="rId96" Type="http://schemas.openxmlformats.org/officeDocument/2006/relationships/image" Target="../media/image96.emf"/><Relationship Id="rId111" Type="http://schemas.openxmlformats.org/officeDocument/2006/relationships/image" Target="../media/image111.emf"/><Relationship Id="rId1" Type="http://schemas.openxmlformats.org/officeDocument/2006/relationships/image" Target="../media/image1.emf"/><Relationship Id="rId6" Type="http://schemas.openxmlformats.org/officeDocument/2006/relationships/image" Target="../media/image6.emf"/><Relationship Id="rId15" Type="http://schemas.openxmlformats.org/officeDocument/2006/relationships/image" Target="../media/image15.emf"/><Relationship Id="rId23" Type="http://schemas.openxmlformats.org/officeDocument/2006/relationships/image" Target="../media/image23.emf"/><Relationship Id="rId28" Type="http://schemas.openxmlformats.org/officeDocument/2006/relationships/image" Target="../media/image28.emf"/><Relationship Id="rId36" Type="http://schemas.openxmlformats.org/officeDocument/2006/relationships/image" Target="../media/image36.emf"/><Relationship Id="rId49" Type="http://schemas.openxmlformats.org/officeDocument/2006/relationships/image" Target="../media/image49.emf"/><Relationship Id="rId57" Type="http://schemas.openxmlformats.org/officeDocument/2006/relationships/image" Target="../media/image57.emf"/><Relationship Id="rId106" Type="http://schemas.openxmlformats.org/officeDocument/2006/relationships/image" Target="../media/image106.emf"/><Relationship Id="rId114" Type="http://schemas.openxmlformats.org/officeDocument/2006/relationships/image" Target="../media/image114.emf"/><Relationship Id="rId10" Type="http://schemas.openxmlformats.org/officeDocument/2006/relationships/image" Target="../media/image10.emf"/><Relationship Id="rId31" Type="http://schemas.openxmlformats.org/officeDocument/2006/relationships/image" Target="../media/image31.emf"/><Relationship Id="rId44" Type="http://schemas.openxmlformats.org/officeDocument/2006/relationships/image" Target="../media/image44.emf"/><Relationship Id="rId52" Type="http://schemas.openxmlformats.org/officeDocument/2006/relationships/image" Target="../media/image52.emf"/><Relationship Id="rId60" Type="http://schemas.openxmlformats.org/officeDocument/2006/relationships/image" Target="../media/image60.emf"/><Relationship Id="rId65" Type="http://schemas.openxmlformats.org/officeDocument/2006/relationships/image" Target="../media/image65.emf"/><Relationship Id="rId73" Type="http://schemas.openxmlformats.org/officeDocument/2006/relationships/image" Target="../media/image73.emf"/><Relationship Id="rId78" Type="http://schemas.openxmlformats.org/officeDocument/2006/relationships/image" Target="../media/image78.emf"/><Relationship Id="rId81" Type="http://schemas.openxmlformats.org/officeDocument/2006/relationships/image" Target="../media/image81.emf"/><Relationship Id="rId86" Type="http://schemas.openxmlformats.org/officeDocument/2006/relationships/image" Target="../media/image86.emf"/><Relationship Id="rId94" Type="http://schemas.openxmlformats.org/officeDocument/2006/relationships/image" Target="../media/image94.emf"/><Relationship Id="rId99" Type="http://schemas.openxmlformats.org/officeDocument/2006/relationships/image" Target="../media/image99.emf"/><Relationship Id="rId101" Type="http://schemas.openxmlformats.org/officeDocument/2006/relationships/image" Target="../media/image101.emf"/><Relationship Id="rId4" Type="http://schemas.openxmlformats.org/officeDocument/2006/relationships/image" Target="../media/image4.emf"/><Relationship Id="rId9" Type="http://schemas.openxmlformats.org/officeDocument/2006/relationships/image" Target="../media/image9.emf"/><Relationship Id="rId13" Type="http://schemas.openxmlformats.org/officeDocument/2006/relationships/image" Target="../media/image13.emf"/><Relationship Id="rId18" Type="http://schemas.openxmlformats.org/officeDocument/2006/relationships/image" Target="../media/image18.emf"/><Relationship Id="rId39" Type="http://schemas.openxmlformats.org/officeDocument/2006/relationships/image" Target="../media/image39.emf"/><Relationship Id="rId109" Type="http://schemas.openxmlformats.org/officeDocument/2006/relationships/image" Target="../media/image109.emf"/><Relationship Id="rId34" Type="http://schemas.openxmlformats.org/officeDocument/2006/relationships/image" Target="../media/image34.emf"/><Relationship Id="rId50" Type="http://schemas.openxmlformats.org/officeDocument/2006/relationships/image" Target="../media/image50.emf"/><Relationship Id="rId55" Type="http://schemas.openxmlformats.org/officeDocument/2006/relationships/image" Target="../media/image55.emf"/><Relationship Id="rId76" Type="http://schemas.openxmlformats.org/officeDocument/2006/relationships/image" Target="../media/image76.emf"/><Relationship Id="rId97" Type="http://schemas.openxmlformats.org/officeDocument/2006/relationships/image" Target="../media/image97.emf"/><Relationship Id="rId104" Type="http://schemas.openxmlformats.org/officeDocument/2006/relationships/image" Target="../media/image104.emf"/><Relationship Id="rId7" Type="http://schemas.openxmlformats.org/officeDocument/2006/relationships/image" Target="../media/image7.emf"/><Relationship Id="rId71" Type="http://schemas.openxmlformats.org/officeDocument/2006/relationships/image" Target="../media/image71.emf"/><Relationship Id="rId92" Type="http://schemas.openxmlformats.org/officeDocument/2006/relationships/image" Target="../media/image92.emf"/><Relationship Id="rId2" Type="http://schemas.openxmlformats.org/officeDocument/2006/relationships/image" Target="../media/image2.emf"/><Relationship Id="rId2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3</xdr:col>
      <xdr:colOff>2009775</xdr:colOff>
      <xdr:row>9</xdr:row>
      <xdr:rowOff>66675</xdr:rowOff>
    </xdr:from>
    <xdr:to>
      <xdr:col>3</xdr:col>
      <xdr:colOff>171450</xdr:colOff>
      <xdr:row>9</xdr:row>
      <xdr:rowOff>295275</xdr:rowOff>
    </xdr:to>
    <xdr:sp macro="" textlink="">
      <xdr:nvSpPr>
        <xdr:cNvPr id="1025" name="Text Box 1">
          <a:extLst>
            <a:ext uri="{FF2B5EF4-FFF2-40B4-BE49-F238E27FC236}">
              <a16:creationId xmlns:a16="http://schemas.microsoft.com/office/drawing/2014/main" id="{00000000-0008-0000-0000-000001040000}"/>
            </a:ext>
          </a:extLst>
        </xdr:cNvPr>
        <xdr:cNvSpPr txBox="1">
          <a:spLocks noChangeArrowheads="1"/>
        </xdr:cNvSpPr>
      </xdr:nvSpPr>
      <xdr:spPr bwMode="auto">
        <a:xfrm>
          <a:off x="514350" y="2752725"/>
          <a:ext cx="0" cy="1238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9</xdr:row>
      <xdr:rowOff>76200</xdr:rowOff>
    </xdr:from>
    <xdr:to>
      <xdr:col>5</xdr:col>
      <xdr:colOff>2238375</xdr:colOff>
      <xdr:row>10</xdr:row>
      <xdr:rowOff>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857250" y="2762250"/>
          <a:ext cx="0"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9</xdr:row>
      <xdr:rowOff>66675</xdr:rowOff>
    </xdr:from>
    <xdr:to>
      <xdr:col>24</xdr:col>
      <xdr:colOff>171450</xdr:colOff>
      <xdr:row>9</xdr:row>
      <xdr:rowOff>295275</xdr:rowOff>
    </xdr:to>
    <xdr:sp macro="" textlink="">
      <xdr:nvSpPr>
        <xdr:cNvPr id="1027" name="Text Box 3">
          <a:extLst>
            <a:ext uri="{FF2B5EF4-FFF2-40B4-BE49-F238E27FC236}">
              <a16:creationId xmlns:a16="http://schemas.microsoft.com/office/drawing/2014/main" id="{00000000-0008-0000-0000-000003040000}"/>
            </a:ext>
          </a:extLst>
        </xdr:cNvPr>
        <xdr:cNvSpPr txBox="1">
          <a:spLocks noChangeArrowheads="1"/>
        </xdr:cNvSpPr>
      </xdr:nvSpPr>
      <xdr:spPr bwMode="auto">
        <a:xfrm>
          <a:off x="4114800" y="2752725"/>
          <a:ext cx="0" cy="1238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9</xdr:row>
      <xdr:rowOff>76200</xdr:rowOff>
    </xdr:from>
    <xdr:to>
      <xdr:col>26</xdr:col>
      <xdr:colOff>2238375</xdr:colOff>
      <xdr:row>10</xdr:row>
      <xdr:rowOff>0</xdr:rowOff>
    </xdr:to>
    <xdr:sp macro="" textlink="">
      <xdr:nvSpPr>
        <xdr:cNvPr id="1028" name="Text Box 4">
          <a:extLst>
            <a:ext uri="{FF2B5EF4-FFF2-40B4-BE49-F238E27FC236}">
              <a16:creationId xmlns:a16="http://schemas.microsoft.com/office/drawing/2014/main" id="{00000000-0008-0000-0000-000004040000}"/>
            </a:ext>
          </a:extLst>
        </xdr:cNvPr>
        <xdr:cNvSpPr txBox="1">
          <a:spLocks noChangeArrowheads="1"/>
        </xdr:cNvSpPr>
      </xdr:nvSpPr>
      <xdr:spPr bwMode="auto">
        <a:xfrm>
          <a:off x="4457700" y="2762250"/>
          <a:ext cx="0"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16</xdr:row>
      <xdr:rowOff>66675</xdr:rowOff>
    </xdr:from>
    <xdr:to>
      <xdr:col>3</xdr:col>
      <xdr:colOff>171450</xdr:colOff>
      <xdr:row>16</xdr:row>
      <xdr:rowOff>295275</xdr:rowOff>
    </xdr:to>
    <xdr:sp macro="" textlink="">
      <xdr:nvSpPr>
        <xdr:cNvPr id="1029" name="Text Box 5">
          <a:extLst>
            <a:ext uri="{FF2B5EF4-FFF2-40B4-BE49-F238E27FC236}">
              <a16:creationId xmlns:a16="http://schemas.microsoft.com/office/drawing/2014/main" id="{00000000-0008-0000-0000-000005040000}"/>
            </a:ext>
          </a:extLst>
        </xdr:cNvPr>
        <xdr:cNvSpPr txBox="1">
          <a:spLocks noChangeArrowheads="1"/>
        </xdr:cNvSpPr>
      </xdr:nvSpPr>
      <xdr:spPr bwMode="auto">
        <a:xfrm>
          <a:off x="514350" y="47053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16</xdr:row>
      <xdr:rowOff>76200</xdr:rowOff>
    </xdr:from>
    <xdr:to>
      <xdr:col>5</xdr:col>
      <xdr:colOff>2238375</xdr:colOff>
      <xdr:row>17</xdr:row>
      <xdr:rowOff>0</xdr:rowOff>
    </xdr:to>
    <xdr:sp macro="" textlink="">
      <xdr:nvSpPr>
        <xdr:cNvPr id="1030" name="Text Box 6">
          <a:extLst>
            <a:ext uri="{FF2B5EF4-FFF2-40B4-BE49-F238E27FC236}">
              <a16:creationId xmlns:a16="http://schemas.microsoft.com/office/drawing/2014/main" id="{00000000-0008-0000-0000-000006040000}"/>
            </a:ext>
          </a:extLst>
        </xdr:cNvPr>
        <xdr:cNvSpPr txBox="1">
          <a:spLocks noChangeArrowheads="1"/>
        </xdr:cNvSpPr>
      </xdr:nvSpPr>
      <xdr:spPr bwMode="auto">
        <a:xfrm>
          <a:off x="857250" y="47148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16</xdr:row>
      <xdr:rowOff>66675</xdr:rowOff>
    </xdr:from>
    <xdr:to>
      <xdr:col>24</xdr:col>
      <xdr:colOff>171450</xdr:colOff>
      <xdr:row>16</xdr:row>
      <xdr:rowOff>295275</xdr:rowOff>
    </xdr:to>
    <xdr:sp macro="" textlink="">
      <xdr:nvSpPr>
        <xdr:cNvPr id="1031" name="Text Box 7">
          <a:extLst>
            <a:ext uri="{FF2B5EF4-FFF2-40B4-BE49-F238E27FC236}">
              <a16:creationId xmlns:a16="http://schemas.microsoft.com/office/drawing/2014/main" id="{00000000-0008-0000-0000-000007040000}"/>
            </a:ext>
          </a:extLst>
        </xdr:cNvPr>
        <xdr:cNvSpPr txBox="1">
          <a:spLocks noChangeArrowheads="1"/>
        </xdr:cNvSpPr>
      </xdr:nvSpPr>
      <xdr:spPr bwMode="auto">
        <a:xfrm>
          <a:off x="4114800" y="47053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16</xdr:row>
      <xdr:rowOff>76200</xdr:rowOff>
    </xdr:from>
    <xdr:to>
      <xdr:col>26</xdr:col>
      <xdr:colOff>2238375</xdr:colOff>
      <xdr:row>17</xdr:row>
      <xdr:rowOff>0</xdr:rowOff>
    </xdr:to>
    <xdr:sp macro="" textlink="">
      <xdr:nvSpPr>
        <xdr:cNvPr id="1032" name="Text Box 8">
          <a:extLst>
            <a:ext uri="{FF2B5EF4-FFF2-40B4-BE49-F238E27FC236}">
              <a16:creationId xmlns:a16="http://schemas.microsoft.com/office/drawing/2014/main" id="{00000000-0008-0000-0000-000008040000}"/>
            </a:ext>
          </a:extLst>
        </xdr:cNvPr>
        <xdr:cNvSpPr txBox="1">
          <a:spLocks noChangeArrowheads="1"/>
        </xdr:cNvSpPr>
      </xdr:nvSpPr>
      <xdr:spPr bwMode="auto">
        <a:xfrm>
          <a:off x="4457700" y="47148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21</xdr:row>
      <xdr:rowOff>66675</xdr:rowOff>
    </xdr:from>
    <xdr:to>
      <xdr:col>3</xdr:col>
      <xdr:colOff>171450</xdr:colOff>
      <xdr:row>21</xdr:row>
      <xdr:rowOff>295275</xdr:rowOff>
    </xdr:to>
    <xdr:sp macro="" textlink="">
      <xdr:nvSpPr>
        <xdr:cNvPr id="1033" name="Text Box 9">
          <a:extLst>
            <a:ext uri="{FF2B5EF4-FFF2-40B4-BE49-F238E27FC236}">
              <a16:creationId xmlns:a16="http://schemas.microsoft.com/office/drawing/2014/main" id="{00000000-0008-0000-0000-000009040000}"/>
            </a:ext>
          </a:extLst>
        </xdr:cNvPr>
        <xdr:cNvSpPr txBox="1">
          <a:spLocks noChangeArrowheads="1"/>
        </xdr:cNvSpPr>
      </xdr:nvSpPr>
      <xdr:spPr bwMode="auto">
        <a:xfrm>
          <a:off x="51435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21</xdr:row>
      <xdr:rowOff>76200</xdr:rowOff>
    </xdr:from>
    <xdr:to>
      <xdr:col>5</xdr:col>
      <xdr:colOff>2238375</xdr:colOff>
      <xdr:row>22</xdr:row>
      <xdr:rowOff>0</xdr:rowOff>
    </xdr:to>
    <xdr:sp macro="" textlink="">
      <xdr:nvSpPr>
        <xdr:cNvPr id="1034" name="Text Box 10">
          <a:extLst>
            <a:ext uri="{FF2B5EF4-FFF2-40B4-BE49-F238E27FC236}">
              <a16:creationId xmlns:a16="http://schemas.microsoft.com/office/drawing/2014/main" id="{00000000-0008-0000-0000-00000A040000}"/>
            </a:ext>
          </a:extLst>
        </xdr:cNvPr>
        <xdr:cNvSpPr txBox="1">
          <a:spLocks noChangeArrowheads="1"/>
        </xdr:cNvSpPr>
      </xdr:nvSpPr>
      <xdr:spPr bwMode="auto">
        <a:xfrm>
          <a:off x="85725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21</xdr:row>
      <xdr:rowOff>66675</xdr:rowOff>
    </xdr:from>
    <xdr:to>
      <xdr:col>24</xdr:col>
      <xdr:colOff>171450</xdr:colOff>
      <xdr:row>21</xdr:row>
      <xdr:rowOff>295275</xdr:rowOff>
    </xdr:to>
    <xdr:sp macro="" textlink="">
      <xdr:nvSpPr>
        <xdr:cNvPr id="1035" name="Text Box 11">
          <a:extLst>
            <a:ext uri="{FF2B5EF4-FFF2-40B4-BE49-F238E27FC236}">
              <a16:creationId xmlns:a16="http://schemas.microsoft.com/office/drawing/2014/main" id="{00000000-0008-0000-0000-00000B040000}"/>
            </a:ext>
          </a:extLst>
        </xdr:cNvPr>
        <xdr:cNvSpPr txBox="1">
          <a:spLocks noChangeArrowheads="1"/>
        </xdr:cNvSpPr>
      </xdr:nvSpPr>
      <xdr:spPr bwMode="auto">
        <a:xfrm>
          <a:off x="411480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21</xdr:row>
      <xdr:rowOff>76200</xdr:rowOff>
    </xdr:from>
    <xdr:to>
      <xdr:col>26</xdr:col>
      <xdr:colOff>2238375</xdr:colOff>
      <xdr:row>22</xdr:row>
      <xdr:rowOff>0</xdr:rowOff>
    </xdr:to>
    <xdr:sp macro="" textlink="">
      <xdr:nvSpPr>
        <xdr:cNvPr id="1036" name="Text Box 12">
          <a:extLst>
            <a:ext uri="{FF2B5EF4-FFF2-40B4-BE49-F238E27FC236}">
              <a16:creationId xmlns:a16="http://schemas.microsoft.com/office/drawing/2014/main" id="{00000000-0008-0000-0000-00000C040000}"/>
            </a:ext>
          </a:extLst>
        </xdr:cNvPr>
        <xdr:cNvSpPr txBox="1">
          <a:spLocks noChangeArrowheads="1"/>
        </xdr:cNvSpPr>
      </xdr:nvSpPr>
      <xdr:spPr bwMode="auto">
        <a:xfrm>
          <a:off x="445770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27</xdr:row>
      <xdr:rowOff>0</xdr:rowOff>
    </xdr:from>
    <xdr:to>
      <xdr:col>3</xdr:col>
      <xdr:colOff>171450</xdr:colOff>
      <xdr:row>27</xdr:row>
      <xdr:rowOff>0</xdr:rowOff>
    </xdr:to>
    <xdr:sp macro="" textlink="">
      <xdr:nvSpPr>
        <xdr:cNvPr id="1037" name="Text Box 13">
          <a:extLst>
            <a:ext uri="{FF2B5EF4-FFF2-40B4-BE49-F238E27FC236}">
              <a16:creationId xmlns:a16="http://schemas.microsoft.com/office/drawing/2014/main" id="{00000000-0008-0000-0000-00000D040000}"/>
            </a:ext>
          </a:extLst>
        </xdr:cNvPr>
        <xdr:cNvSpPr txBox="1">
          <a:spLocks noChangeArrowheads="1"/>
        </xdr:cNvSpPr>
      </xdr:nvSpPr>
      <xdr:spPr bwMode="auto">
        <a:xfrm>
          <a:off x="51435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27</xdr:row>
      <xdr:rowOff>0</xdr:rowOff>
    </xdr:from>
    <xdr:to>
      <xdr:col>5</xdr:col>
      <xdr:colOff>171450</xdr:colOff>
      <xdr:row>27</xdr:row>
      <xdr:rowOff>0</xdr:rowOff>
    </xdr:to>
    <xdr:sp macro="" textlink="">
      <xdr:nvSpPr>
        <xdr:cNvPr id="1038" name="Text Box 14">
          <a:extLst>
            <a:ext uri="{FF2B5EF4-FFF2-40B4-BE49-F238E27FC236}">
              <a16:creationId xmlns:a16="http://schemas.microsoft.com/office/drawing/2014/main" id="{00000000-0008-0000-0000-00000E040000}"/>
            </a:ext>
          </a:extLst>
        </xdr:cNvPr>
        <xdr:cNvSpPr txBox="1">
          <a:spLocks noChangeArrowheads="1"/>
        </xdr:cNvSpPr>
      </xdr:nvSpPr>
      <xdr:spPr bwMode="auto">
        <a:xfrm>
          <a:off x="85725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27</xdr:row>
      <xdr:rowOff>0</xdr:rowOff>
    </xdr:from>
    <xdr:to>
      <xdr:col>24</xdr:col>
      <xdr:colOff>171450</xdr:colOff>
      <xdr:row>27</xdr:row>
      <xdr:rowOff>0</xdr:rowOff>
    </xdr:to>
    <xdr:sp macro="" textlink="">
      <xdr:nvSpPr>
        <xdr:cNvPr id="1039" name="Text Box 15">
          <a:extLst>
            <a:ext uri="{FF2B5EF4-FFF2-40B4-BE49-F238E27FC236}">
              <a16:creationId xmlns:a16="http://schemas.microsoft.com/office/drawing/2014/main" id="{00000000-0008-0000-0000-00000F040000}"/>
            </a:ext>
          </a:extLst>
        </xdr:cNvPr>
        <xdr:cNvSpPr txBox="1">
          <a:spLocks noChangeArrowheads="1"/>
        </xdr:cNvSpPr>
      </xdr:nvSpPr>
      <xdr:spPr bwMode="auto">
        <a:xfrm>
          <a:off x="411480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27</xdr:row>
      <xdr:rowOff>0</xdr:rowOff>
    </xdr:from>
    <xdr:to>
      <xdr:col>26</xdr:col>
      <xdr:colOff>171450</xdr:colOff>
      <xdr:row>27</xdr:row>
      <xdr:rowOff>0</xdr:rowOff>
    </xdr:to>
    <xdr:sp macro="" textlink="">
      <xdr:nvSpPr>
        <xdr:cNvPr id="1040" name="Text Box 16">
          <a:extLst>
            <a:ext uri="{FF2B5EF4-FFF2-40B4-BE49-F238E27FC236}">
              <a16:creationId xmlns:a16="http://schemas.microsoft.com/office/drawing/2014/main" id="{00000000-0008-0000-0000-000010040000}"/>
            </a:ext>
          </a:extLst>
        </xdr:cNvPr>
        <xdr:cNvSpPr txBox="1">
          <a:spLocks noChangeArrowheads="1"/>
        </xdr:cNvSpPr>
      </xdr:nvSpPr>
      <xdr:spPr bwMode="auto">
        <a:xfrm>
          <a:off x="445770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32</xdr:row>
      <xdr:rowOff>66675</xdr:rowOff>
    </xdr:from>
    <xdr:to>
      <xdr:col>3</xdr:col>
      <xdr:colOff>171450</xdr:colOff>
      <xdr:row>32</xdr:row>
      <xdr:rowOff>295275</xdr:rowOff>
    </xdr:to>
    <xdr:sp macro="" textlink="">
      <xdr:nvSpPr>
        <xdr:cNvPr id="1041" name="Text Box 17">
          <a:extLst>
            <a:ext uri="{FF2B5EF4-FFF2-40B4-BE49-F238E27FC236}">
              <a16:creationId xmlns:a16="http://schemas.microsoft.com/office/drawing/2014/main" id="{00000000-0008-0000-0000-000011040000}"/>
            </a:ext>
          </a:extLst>
        </xdr:cNvPr>
        <xdr:cNvSpPr txBox="1">
          <a:spLocks noChangeArrowheads="1"/>
        </xdr:cNvSpPr>
      </xdr:nvSpPr>
      <xdr:spPr bwMode="auto">
        <a:xfrm>
          <a:off x="514350" y="107251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32</xdr:row>
      <xdr:rowOff>76200</xdr:rowOff>
    </xdr:from>
    <xdr:to>
      <xdr:col>5</xdr:col>
      <xdr:colOff>2238375</xdr:colOff>
      <xdr:row>33</xdr:row>
      <xdr:rowOff>0</xdr:rowOff>
    </xdr:to>
    <xdr:sp macro="" textlink="">
      <xdr:nvSpPr>
        <xdr:cNvPr id="1042" name="Text Box 18">
          <a:extLst>
            <a:ext uri="{FF2B5EF4-FFF2-40B4-BE49-F238E27FC236}">
              <a16:creationId xmlns:a16="http://schemas.microsoft.com/office/drawing/2014/main" id="{00000000-0008-0000-0000-000012040000}"/>
            </a:ext>
          </a:extLst>
        </xdr:cNvPr>
        <xdr:cNvSpPr txBox="1">
          <a:spLocks noChangeArrowheads="1"/>
        </xdr:cNvSpPr>
      </xdr:nvSpPr>
      <xdr:spPr bwMode="auto">
        <a:xfrm>
          <a:off x="857250" y="107346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32</xdr:row>
      <xdr:rowOff>66675</xdr:rowOff>
    </xdr:from>
    <xdr:to>
      <xdr:col>24</xdr:col>
      <xdr:colOff>171450</xdr:colOff>
      <xdr:row>32</xdr:row>
      <xdr:rowOff>295275</xdr:rowOff>
    </xdr:to>
    <xdr:sp macro="" textlink="">
      <xdr:nvSpPr>
        <xdr:cNvPr id="1043" name="Text Box 19">
          <a:extLst>
            <a:ext uri="{FF2B5EF4-FFF2-40B4-BE49-F238E27FC236}">
              <a16:creationId xmlns:a16="http://schemas.microsoft.com/office/drawing/2014/main" id="{00000000-0008-0000-0000-000013040000}"/>
            </a:ext>
          </a:extLst>
        </xdr:cNvPr>
        <xdr:cNvSpPr txBox="1">
          <a:spLocks noChangeArrowheads="1"/>
        </xdr:cNvSpPr>
      </xdr:nvSpPr>
      <xdr:spPr bwMode="auto">
        <a:xfrm>
          <a:off x="4114800" y="107251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32</xdr:row>
      <xdr:rowOff>76200</xdr:rowOff>
    </xdr:from>
    <xdr:to>
      <xdr:col>26</xdr:col>
      <xdr:colOff>2238375</xdr:colOff>
      <xdr:row>33</xdr:row>
      <xdr:rowOff>0</xdr:rowOff>
    </xdr:to>
    <xdr:sp macro="" textlink="">
      <xdr:nvSpPr>
        <xdr:cNvPr id="1044" name="Text Box 20">
          <a:extLst>
            <a:ext uri="{FF2B5EF4-FFF2-40B4-BE49-F238E27FC236}">
              <a16:creationId xmlns:a16="http://schemas.microsoft.com/office/drawing/2014/main" id="{00000000-0008-0000-0000-000014040000}"/>
            </a:ext>
          </a:extLst>
        </xdr:cNvPr>
        <xdr:cNvSpPr txBox="1">
          <a:spLocks noChangeArrowheads="1"/>
        </xdr:cNvSpPr>
      </xdr:nvSpPr>
      <xdr:spPr bwMode="auto">
        <a:xfrm>
          <a:off x="4457700" y="107346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44</xdr:col>
      <xdr:colOff>38100</xdr:colOff>
      <xdr:row>18</xdr:row>
      <xdr:rowOff>0</xdr:rowOff>
    </xdr:from>
    <xdr:to>
      <xdr:col>44</xdr:col>
      <xdr:colOff>209550</xdr:colOff>
      <xdr:row>20</xdr:row>
      <xdr:rowOff>0</xdr:rowOff>
    </xdr:to>
    <xdr:sp macro="" textlink="">
      <xdr:nvSpPr>
        <xdr:cNvPr id="1758" name="AutoShape 22">
          <a:extLst>
            <a:ext uri="{FF2B5EF4-FFF2-40B4-BE49-F238E27FC236}">
              <a16:creationId xmlns:a16="http://schemas.microsoft.com/office/drawing/2014/main" id="{00000000-0008-0000-0000-0000DE060000}"/>
            </a:ext>
          </a:extLst>
        </xdr:cNvPr>
        <xdr:cNvSpPr>
          <a:spLocks/>
        </xdr:cNvSpPr>
      </xdr:nvSpPr>
      <xdr:spPr bwMode="auto">
        <a:xfrm>
          <a:off x="7572375" y="5267325"/>
          <a:ext cx="171450" cy="628650"/>
        </a:xfrm>
        <a:prstGeom prst="rightBrace">
          <a:avLst>
            <a:gd name="adj1" fmla="val 30556"/>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44</xdr:col>
      <xdr:colOff>285750</xdr:colOff>
      <xdr:row>18</xdr:row>
      <xdr:rowOff>190500</xdr:rowOff>
    </xdr:from>
    <xdr:to>
      <xdr:col>46</xdr:col>
      <xdr:colOff>533400</xdr:colOff>
      <xdr:row>19</xdr:row>
      <xdr:rowOff>66675</xdr:rowOff>
    </xdr:to>
    <xdr:sp macro="" textlink="">
      <xdr:nvSpPr>
        <xdr:cNvPr id="1047" name="Text Box 23">
          <a:extLst>
            <a:ext uri="{FF2B5EF4-FFF2-40B4-BE49-F238E27FC236}">
              <a16:creationId xmlns:a16="http://schemas.microsoft.com/office/drawing/2014/main" id="{00000000-0008-0000-0000-000017040000}"/>
            </a:ext>
          </a:extLst>
        </xdr:cNvPr>
        <xdr:cNvSpPr txBox="1">
          <a:spLocks noChangeArrowheads="1"/>
        </xdr:cNvSpPr>
      </xdr:nvSpPr>
      <xdr:spPr bwMode="auto">
        <a:xfrm>
          <a:off x="7820025" y="5457825"/>
          <a:ext cx="1619250" cy="190500"/>
        </a:xfrm>
        <a:prstGeom prst="rect">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000" b="1" i="0" u="none" strike="noStrike" baseline="0">
              <a:solidFill>
                <a:srgbClr val="FF0000"/>
              </a:solidFill>
              <a:latin typeface="ＭＳ Ｐゴシック"/>
              <a:ea typeface="ＭＳ Ｐゴシック"/>
            </a:rPr>
            <a:t>どちらかを必ず●にすること</a:t>
          </a:r>
        </a:p>
      </xdr:txBody>
    </xdr:sp>
    <xdr:clientData/>
  </xdr:twoCellAnchor>
  <xdr:twoCellAnchor>
    <xdr:from>
      <xdr:col>3</xdr:col>
      <xdr:colOff>2009775</xdr:colOff>
      <xdr:row>21</xdr:row>
      <xdr:rowOff>66675</xdr:rowOff>
    </xdr:from>
    <xdr:to>
      <xdr:col>3</xdr:col>
      <xdr:colOff>171450</xdr:colOff>
      <xdr:row>21</xdr:row>
      <xdr:rowOff>295275</xdr:rowOff>
    </xdr:to>
    <xdr:sp macro="" textlink="">
      <xdr:nvSpPr>
        <xdr:cNvPr id="1058" name="Text Box 34">
          <a:extLst>
            <a:ext uri="{FF2B5EF4-FFF2-40B4-BE49-F238E27FC236}">
              <a16:creationId xmlns:a16="http://schemas.microsoft.com/office/drawing/2014/main" id="{00000000-0008-0000-0000-000022040000}"/>
            </a:ext>
          </a:extLst>
        </xdr:cNvPr>
        <xdr:cNvSpPr txBox="1">
          <a:spLocks noChangeArrowheads="1"/>
        </xdr:cNvSpPr>
      </xdr:nvSpPr>
      <xdr:spPr bwMode="auto">
        <a:xfrm>
          <a:off x="51435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21</xdr:row>
      <xdr:rowOff>76200</xdr:rowOff>
    </xdr:from>
    <xdr:to>
      <xdr:col>5</xdr:col>
      <xdr:colOff>2238375</xdr:colOff>
      <xdr:row>22</xdr:row>
      <xdr:rowOff>0</xdr:rowOff>
    </xdr:to>
    <xdr:sp macro="" textlink="">
      <xdr:nvSpPr>
        <xdr:cNvPr id="1059" name="Text Box 35">
          <a:extLst>
            <a:ext uri="{FF2B5EF4-FFF2-40B4-BE49-F238E27FC236}">
              <a16:creationId xmlns:a16="http://schemas.microsoft.com/office/drawing/2014/main" id="{00000000-0008-0000-0000-000023040000}"/>
            </a:ext>
          </a:extLst>
        </xdr:cNvPr>
        <xdr:cNvSpPr txBox="1">
          <a:spLocks noChangeArrowheads="1"/>
        </xdr:cNvSpPr>
      </xdr:nvSpPr>
      <xdr:spPr bwMode="auto">
        <a:xfrm>
          <a:off x="85725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21</xdr:row>
      <xdr:rowOff>66675</xdr:rowOff>
    </xdr:from>
    <xdr:to>
      <xdr:col>24</xdr:col>
      <xdr:colOff>171450</xdr:colOff>
      <xdr:row>21</xdr:row>
      <xdr:rowOff>295275</xdr:rowOff>
    </xdr:to>
    <xdr:sp macro="" textlink="">
      <xdr:nvSpPr>
        <xdr:cNvPr id="1060" name="Text Box 36">
          <a:extLst>
            <a:ext uri="{FF2B5EF4-FFF2-40B4-BE49-F238E27FC236}">
              <a16:creationId xmlns:a16="http://schemas.microsoft.com/office/drawing/2014/main" id="{00000000-0008-0000-0000-000024040000}"/>
            </a:ext>
          </a:extLst>
        </xdr:cNvPr>
        <xdr:cNvSpPr txBox="1">
          <a:spLocks noChangeArrowheads="1"/>
        </xdr:cNvSpPr>
      </xdr:nvSpPr>
      <xdr:spPr bwMode="auto">
        <a:xfrm>
          <a:off x="411480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21</xdr:row>
      <xdr:rowOff>76200</xdr:rowOff>
    </xdr:from>
    <xdr:to>
      <xdr:col>26</xdr:col>
      <xdr:colOff>2238375</xdr:colOff>
      <xdr:row>22</xdr:row>
      <xdr:rowOff>0</xdr:rowOff>
    </xdr:to>
    <xdr:sp macro="" textlink="">
      <xdr:nvSpPr>
        <xdr:cNvPr id="1061" name="Text Box 37">
          <a:extLst>
            <a:ext uri="{FF2B5EF4-FFF2-40B4-BE49-F238E27FC236}">
              <a16:creationId xmlns:a16="http://schemas.microsoft.com/office/drawing/2014/main" id="{00000000-0008-0000-0000-000025040000}"/>
            </a:ext>
          </a:extLst>
        </xdr:cNvPr>
        <xdr:cNvSpPr txBox="1">
          <a:spLocks noChangeArrowheads="1"/>
        </xdr:cNvSpPr>
      </xdr:nvSpPr>
      <xdr:spPr bwMode="auto">
        <a:xfrm>
          <a:off x="445770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44</xdr:col>
      <xdr:colOff>0</xdr:colOff>
      <xdr:row>37</xdr:row>
      <xdr:rowOff>0</xdr:rowOff>
    </xdr:from>
    <xdr:to>
      <xdr:col>44</xdr:col>
      <xdr:colOff>279538</xdr:colOff>
      <xdr:row>39</xdr:row>
      <xdr:rowOff>279027</xdr:rowOff>
    </xdr:to>
    <xdr:sp macro="" textlink="">
      <xdr:nvSpPr>
        <xdr:cNvPr id="28" name="AutoShape 25">
          <a:extLst>
            <a:ext uri="{FF2B5EF4-FFF2-40B4-BE49-F238E27FC236}">
              <a16:creationId xmlns:a16="http://schemas.microsoft.com/office/drawing/2014/main" id="{00000000-0008-0000-0000-00001C000000}"/>
            </a:ext>
          </a:extLst>
        </xdr:cNvPr>
        <xdr:cNvSpPr>
          <a:spLocks/>
        </xdr:cNvSpPr>
      </xdr:nvSpPr>
      <xdr:spPr bwMode="auto">
        <a:xfrm>
          <a:off x="7534275" y="11153775"/>
          <a:ext cx="279538" cy="850527"/>
        </a:xfrm>
        <a:prstGeom prst="rightBrace">
          <a:avLst>
            <a:gd name="adj1" fmla="val 27083"/>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44</xdr:col>
      <xdr:colOff>380441</xdr:colOff>
      <xdr:row>37</xdr:row>
      <xdr:rowOff>63315</xdr:rowOff>
    </xdr:from>
    <xdr:to>
      <xdr:col>47</xdr:col>
      <xdr:colOff>371477</xdr:colOff>
      <xdr:row>39</xdr:row>
      <xdr:rowOff>180975</xdr:rowOff>
    </xdr:to>
    <xdr:sp macro="" textlink="">
      <xdr:nvSpPr>
        <xdr:cNvPr id="29" name="Text Box 26">
          <a:extLst>
            <a:ext uri="{FF2B5EF4-FFF2-40B4-BE49-F238E27FC236}">
              <a16:creationId xmlns:a16="http://schemas.microsoft.com/office/drawing/2014/main" id="{00000000-0008-0000-0000-00001D000000}"/>
            </a:ext>
          </a:extLst>
        </xdr:cNvPr>
        <xdr:cNvSpPr txBox="1">
          <a:spLocks noChangeArrowheads="1"/>
        </xdr:cNvSpPr>
      </xdr:nvSpPr>
      <xdr:spPr bwMode="auto">
        <a:xfrm>
          <a:off x="7914716" y="11217090"/>
          <a:ext cx="2048436" cy="689160"/>
        </a:xfrm>
        <a:prstGeom prst="rect">
          <a:avLst/>
        </a:prstGeom>
        <a:solidFill>
          <a:srgbClr val="FFFF99"/>
        </a:solidFill>
        <a:ln w="9525">
          <a:solidFill>
            <a:srgbClr val="000000"/>
          </a:solidFill>
          <a:miter lim="800000"/>
          <a:headEnd/>
          <a:tailEnd/>
        </a:ln>
      </xdr:spPr>
      <xdr:txBody>
        <a:bodyPr vertOverflow="clip" wrap="square" lIns="36576" tIns="18288" rIns="0" bIns="0" anchor="ctr" upright="1"/>
        <a:lstStyle/>
        <a:p>
          <a:pPr algn="l" rtl="0">
            <a:lnSpc>
              <a:spcPts val="1300"/>
            </a:lnSpc>
            <a:defRPr sz="1000"/>
          </a:pPr>
          <a:r>
            <a:rPr lang="ja-JP" altLang="en-US" sz="1100" b="1" i="0" u="none" strike="noStrike" baseline="0">
              <a:solidFill>
                <a:srgbClr val="FF0000"/>
              </a:solidFill>
              <a:latin typeface="ＭＳ Ｐゴシック"/>
              <a:ea typeface="ＭＳ Ｐゴシック"/>
            </a:rPr>
            <a:t>どれかを必ず●にすること。</a:t>
          </a:r>
          <a:endParaRPr lang="en-US" altLang="ja-JP" sz="1100" b="1" i="0" u="none" strike="noStrike" baseline="0">
            <a:solidFill>
              <a:srgbClr val="FF0000"/>
            </a:solidFill>
            <a:latin typeface="ＭＳ Ｐゴシック"/>
            <a:ea typeface="ＭＳ Ｐゴシック"/>
          </a:endParaRPr>
        </a:p>
        <a:p>
          <a:pPr algn="l" rtl="0">
            <a:lnSpc>
              <a:spcPts val="1300"/>
            </a:lnSpc>
            <a:defRPr sz="1000"/>
          </a:pPr>
          <a:r>
            <a:rPr lang="ja-JP" altLang="en-US" sz="1100" b="1" i="0" u="none" strike="noStrike" baseline="0">
              <a:solidFill>
                <a:srgbClr val="FF0000"/>
              </a:solidFill>
              <a:latin typeface="ＭＳ Ｐゴシック"/>
              <a:ea typeface="ＭＳ Ｐゴシック"/>
            </a:rPr>
            <a:t>「配送」を選択した場合は、</a:t>
          </a:r>
          <a:endParaRPr lang="en-US" altLang="ja-JP" sz="1100" b="1" i="0" u="none" strike="noStrike" baseline="0">
            <a:solidFill>
              <a:srgbClr val="FF0000"/>
            </a:solidFill>
            <a:latin typeface="ＭＳ Ｐゴシック"/>
            <a:ea typeface="ＭＳ Ｐゴシック"/>
          </a:endParaRPr>
        </a:p>
        <a:p>
          <a:pPr algn="l" rtl="0">
            <a:lnSpc>
              <a:spcPts val="1300"/>
            </a:lnSpc>
            <a:defRPr sz="1000"/>
          </a:pPr>
          <a:r>
            <a:rPr lang="ja-JP" altLang="en-US" sz="1100" b="1" i="0" u="none" strike="noStrike" baseline="0">
              <a:solidFill>
                <a:srgbClr val="FF0000"/>
              </a:solidFill>
              <a:latin typeface="ＭＳ Ｐゴシック"/>
              <a:ea typeface="ＭＳ Ｐゴシック"/>
            </a:rPr>
            <a:t>配送先も必ず記載すること。</a:t>
          </a:r>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6391275</xdr:colOff>
      <xdr:row>0</xdr:row>
      <xdr:rowOff>0</xdr:rowOff>
    </xdr:from>
    <xdr:to>
      <xdr:col>5</xdr:col>
      <xdr:colOff>0</xdr:colOff>
      <xdr:row>1</xdr:row>
      <xdr:rowOff>0</xdr:rowOff>
    </xdr:to>
    <xdr:sp macro="" textlink="">
      <xdr:nvSpPr>
        <xdr:cNvPr id="8193" name="Rectangle 3">
          <a:extLst>
            <a:ext uri="{FF2B5EF4-FFF2-40B4-BE49-F238E27FC236}">
              <a16:creationId xmlns:a16="http://schemas.microsoft.com/office/drawing/2014/main" id="{00000000-0008-0000-0100-000001200000}"/>
            </a:ext>
          </a:extLst>
        </xdr:cNvPr>
        <xdr:cNvSpPr>
          <a:spLocks noChangeArrowheads="1"/>
        </xdr:cNvSpPr>
      </xdr:nvSpPr>
      <xdr:spPr bwMode="auto">
        <a:xfrm>
          <a:off x="10858500" y="0"/>
          <a:ext cx="2686050" cy="3333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受注番号</a:t>
          </a:r>
        </a:p>
      </xdr:txBody>
    </xdr:sp>
    <xdr:clientData/>
  </xdr:twoCellAnchor>
  <xdr:twoCellAnchor>
    <xdr:from>
      <xdr:col>4</xdr:col>
      <xdr:colOff>9525</xdr:colOff>
      <xdr:row>0</xdr:row>
      <xdr:rowOff>0</xdr:rowOff>
    </xdr:from>
    <xdr:to>
      <xdr:col>4</xdr:col>
      <xdr:colOff>1971675</xdr:colOff>
      <xdr:row>1</xdr:row>
      <xdr:rowOff>0</xdr:rowOff>
    </xdr:to>
    <xdr:sp macro="" textlink="">
      <xdr:nvSpPr>
        <xdr:cNvPr id="8194" name="Rectangle 3">
          <a:extLst>
            <a:ext uri="{FF2B5EF4-FFF2-40B4-BE49-F238E27FC236}">
              <a16:creationId xmlns:a16="http://schemas.microsoft.com/office/drawing/2014/main" id="{00000000-0008-0000-0100-000002200000}"/>
            </a:ext>
          </a:extLst>
        </xdr:cNvPr>
        <xdr:cNvSpPr>
          <a:spLocks noChangeArrowheads="1"/>
        </xdr:cNvSpPr>
      </xdr:nvSpPr>
      <xdr:spPr bwMode="auto">
        <a:xfrm>
          <a:off x="4479925" y="0"/>
          <a:ext cx="1962150" cy="330200"/>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800" b="0" i="0" u="none" strike="noStrike" baseline="0">
              <a:solidFill>
                <a:srgbClr val="000000"/>
              </a:solidFill>
              <a:latin typeface="ＭＳ Ｐゴシック"/>
              <a:ea typeface="ＭＳ Ｐゴシック"/>
            </a:rPr>
            <a:t>架装タイプ</a:t>
          </a:r>
        </a:p>
      </xdr:txBody>
    </xdr:sp>
    <xdr:clientData/>
  </xdr:twoCellAnchor>
  <xdr:oneCellAnchor>
    <xdr:from>
      <xdr:col>4</xdr:col>
      <xdr:colOff>4943475</xdr:colOff>
      <xdr:row>2</xdr:row>
      <xdr:rowOff>28575</xdr:rowOff>
    </xdr:from>
    <xdr:ext cx="3939989" cy="568617"/>
    <xdr:sp macro="" textlink="">
      <xdr:nvSpPr>
        <xdr:cNvPr id="8312" name="Text Box 120">
          <a:extLst>
            <a:ext uri="{FF2B5EF4-FFF2-40B4-BE49-F238E27FC236}">
              <a16:creationId xmlns:a16="http://schemas.microsoft.com/office/drawing/2014/main" id="{00000000-0008-0000-0100-000078200000}"/>
            </a:ext>
          </a:extLst>
        </xdr:cNvPr>
        <xdr:cNvSpPr txBox="1">
          <a:spLocks noChangeArrowheads="1"/>
        </xdr:cNvSpPr>
      </xdr:nvSpPr>
      <xdr:spPr bwMode="auto">
        <a:xfrm>
          <a:off x="9413875" y="942975"/>
          <a:ext cx="3939989" cy="568617"/>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↑仕様が確定したら、必ずこのボタンを押して、間違ったＯＰを選択</a:t>
          </a:r>
        </a:p>
        <a:p>
          <a:pPr algn="l" rtl="0">
            <a:defRPr sz="1000"/>
          </a:pPr>
          <a:r>
            <a:rPr lang="ja-JP" altLang="en-US" sz="1100" b="0" i="0" u="none" strike="noStrike" baseline="0">
              <a:solidFill>
                <a:srgbClr val="FF0000"/>
              </a:solidFill>
              <a:latin typeface="ＭＳ Ｐゴシック"/>
              <a:ea typeface="ＭＳ Ｐゴシック"/>
            </a:rPr>
            <a:t>　していないか確認のうえ、印刷願います。印刷不要の場合は、</a:t>
          </a:r>
        </a:p>
        <a:p>
          <a:pPr algn="l" rtl="0">
            <a:defRPr sz="1000"/>
          </a:pPr>
          <a:r>
            <a:rPr lang="ja-JP" altLang="en-US" sz="1100" b="0" i="0" u="none" strike="noStrike" baseline="0">
              <a:solidFill>
                <a:srgbClr val="FF0000"/>
              </a:solidFill>
              <a:latin typeface="ＭＳ Ｐゴシック"/>
              <a:ea typeface="ＭＳ Ｐゴシック"/>
            </a:rPr>
            <a:t>　印刷プレビューを閉じてください。</a:t>
          </a:r>
        </a:p>
      </xdr:txBody>
    </xdr:sp>
    <xdr:clientData/>
  </xdr:oneCellAnchor>
  <xdr:oneCellAnchor>
    <xdr:from>
      <xdr:col>4</xdr:col>
      <xdr:colOff>2847975</xdr:colOff>
      <xdr:row>1</xdr:row>
      <xdr:rowOff>104775</xdr:rowOff>
    </xdr:from>
    <xdr:ext cx="2070952" cy="385234"/>
    <xdr:sp macro="" textlink="">
      <xdr:nvSpPr>
        <xdr:cNvPr id="8313" name="Text Box 121">
          <a:extLst>
            <a:ext uri="{FF2B5EF4-FFF2-40B4-BE49-F238E27FC236}">
              <a16:creationId xmlns:a16="http://schemas.microsoft.com/office/drawing/2014/main" id="{00000000-0008-0000-0100-000079200000}"/>
            </a:ext>
          </a:extLst>
        </xdr:cNvPr>
        <xdr:cNvSpPr txBox="1">
          <a:spLocks noChangeArrowheads="1"/>
        </xdr:cNvSpPr>
      </xdr:nvSpPr>
      <xdr:spPr bwMode="auto">
        <a:xfrm>
          <a:off x="7318375" y="434975"/>
          <a:ext cx="2070952" cy="385234"/>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←このボタンを押すと上で選択した</a:t>
          </a:r>
        </a:p>
        <a:p>
          <a:pPr algn="l" rtl="0">
            <a:defRPr sz="1000"/>
          </a:pPr>
          <a:r>
            <a:rPr lang="ja-JP" altLang="en-US" sz="1100" b="0" i="0" u="none" strike="noStrike" baseline="0">
              <a:solidFill>
                <a:srgbClr val="FF0000"/>
              </a:solidFill>
              <a:latin typeface="ＭＳ Ｐゴシック"/>
              <a:ea typeface="ＭＳ Ｐゴシック"/>
            </a:rPr>
            <a:t>内容の標準仕様が選択されます。</a:t>
          </a:r>
        </a:p>
      </xdr:txBody>
    </xdr:sp>
    <xdr:clientData/>
  </xdr:oneCellAnchor>
  <xdr:twoCellAnchor>
    <xdr:from>
      <xdr:col>4</xdr:col>
      <xdr:colOff>3705225</xdr:colOff>
      <xdr:row>0</xdr:row>
      <xdr:rowOff>66675</xdr:rowOff>
    </xdr:from>
    <xdr:to>
      <xdr:col>4</xdr:col>
      <xdr:colOff>4305300</xdr:colOff>
      <xdr:row>0</xdr:row>
      <xdr:rowOff>276225</xdr:rowOff>
    </xdr:to>
    <xdr:sp macro="" textlink="">
      <xdr:nvSpPr>
        <xdr:cNvPr id="8836" name="AutoShape 123">
          <a:extLst>
            <a:ext uri="{FF2B5EF4-FFF2-40B4-BE49-F238E27FC236}">
              <a16:creationId xmlns:a16="http://schemas.microsoft.com/office/drawing/2014/main" id="{00000000-0008-0000-0100-000084220000}"/>
            </a:ext>
          </a:extLst>
        </xdr:cNvPr>
        <xdr:cNvSpPr>
          <a:spLocks noChangeArrowheads="1"/>
        </xdr:cNvSpPr>
      </xdr:nvSpPr>
      <xdr:spPr bwMode="auto">
        <a:xfrm>
          <a:off x="8172450" y="66675"/>
          <a:ext cx="600075" cy="209550"/>
        </a:xfrm>
        <a:prstGeom prst="leftArrow">
          <a:avLst>
            <a:gd name="adj1" fmla="val 50000"/>
            <a:gd name="adj2" fmla="val 71591"/>
          </a:avLst>
        </a:prstGeom>
        <a:solidFill>
          <a:srgbClr val="00CCFF"/>
        </a:solidFill>
        <a:ln w="9525">
          <a:solidFill>
            <a:srgbClr val="000000"/>
          </a:solidFill>
          <a:miter lim="800000"/>
          <a:headEnd/>
          <a:tailEnd/>
        </a:ln>
      </xdr:spPr>
    </xdr:sp>
    <xdr:clientData/>
  </xdr:twoCellAnchor>
  <xdr:twoCellAnchor editAs="oneCell">
    <xdr:from>
      <xdr:col>4</xdr:col>
      <xdr:colOff>4352925</xdr:colOff>
      <xdr:row>0</xdr:row>
      <xdr:rowOff>9525</xdr:rowOff>
    </xdr:from>
    <xdr:to>
      <xdr:col>4</xdr:col>
      <xdr:colOff>5905500</xdr:colOff>
      <xdr:row>1</xdr:row>
      <xdr:rowOff>66675</xdr:rowOff>
    </xdr:to>
    <xdr:sp macro="" textlink="">
      <xdr:nvSpPr>
        <xdr:cNvPr id="8316" name="Text Box 124">
          <a:extLst>
            <a:ext uri="{FF2B5EF4-FFF2-40B4-BE49-F238E27FC236}">
              <a16:creationId xmlns:a16="http://schemas.microsoft.com/office/drawing/2014/main" id="{00000000-0008-0000-0100-00007C200000}"/>
            </a:ext>
          </a:extLst>
        </xdr:cNvPr>
        <xdr:cNvSpPr txBox="1">
          <a:spLocks noChangeArrowheads="1"/>
        </xdr:cNvSpPr>
      </xdr:nvSpPr>
      <xdr:spPr bwMode="auto">
        <a:xfrm>
          <a:off x="8820150" y="9525"/>
          <a:ext cx="1552575" cy="390525"/>
        </a:xfrm>
        <a:prstGeom prst="rect">
          <a:avLst/>
        </a:prstGeom>
        <a:noFill/>
        <a:ln w="9525">
          <a:noFill/>
          <a:miter lim="800000"/>
          <a:headEnd/>
          <a:tailEnd/>
        </a:ln>
      </xdr:spPr>
      <xdr:txBody>
        <a:bodyPr vertOverflow="clip" wrap="square" lIns="45720" tIns="27432" rIns="0" bIns="0" anchor="t" upright="1"/>
        <a:lstStyle/>
        <a:p>
          <a:pPr algn="l" rtl="0">
            <a:defRPr sz="1000"/>
          </a:pPr>
          <a:r>
            <a:rPr lang="ja-JP" altLang="en-US" sz="2000" b="1" i="0" u="none" strike="noStrike" baseline="0">
              <a:solidFill>
                <a:srgbClr val="3366FF"/>
              </a:solidFill>
              <a:latin typeface="ＭＳ Ｐゴシック"/>
              <a:ea typeface="ＭＳ Ｐゴシック"/>
            </a:rPr>
            <a:t>①車種選択</a:t>
          </a:r>
        </a:p>
      </xdr:txBody>
    </xdr:sp>
    <xdr:clientData/>
  </xdr:twoCellAnchor>
  <xdr:twoCellAnchor>
    <xdr:from>
      <xdr:col>4</xdr:col>
      <xdr:colOff>390525</xdr:colOff>
      <xdr:row>2</xdr:row>
      <xdr:rowOff>104775</xdr:rowOff>
    </xdr:from>
    <xdr:to>
      <xdr:col>4</xdr:col>
      <xdr:colOff>857250</xdr:colOff>
      <xdr:row>3</xdr:row>
      <xdr:rowOff>9525</xdr:rowOff>
    </xdr:to>
    <xdr:sp macro="" textlink="">
      <xdr:nvSpPr>
        <xdr:cNvPr id="8838" name="AutoShape 125">
          <a:extLst>
            <a:ext uri="{FF2B5EF4-FFF2-40B4-BE49-F238E27FC236}">
              <a16:creationId xmlns:a16="http://schemas.microsoft.com/office/drawing/2014/main" id="{00000000-0008-0000-0100-000086220000}"/>
            </a:ext>
          </a:extLst>
        </xdr:cNvPr>
        <xdr:cNvSpPr>
          <a:spLocks noChangeArrowheads="1"/>
        </xdr:cNvSpPr>
      </xdr:nvSpPr>
      <xdr:spPr bwMode="auto">
        <a:xfrm rot="10800000">
          <a:off x="4857750" y="1019175"/>
          <a:ext cx="466725" cy="523875"/>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17694720 60000 65536"/>
            <a:gd name="T13" fmla="*/ 11796480 60000 65536"/>
            <a:gd name="T14" fmla="*/ 11796480 60000 65536"/>
            <a:gd name="T15" fmla="*/ 5898240 60000 65536"/>
            <a:gd name="T16" fmla="*/ 0 60000 65536"/>
            <a:gd name="T17" fmla="*/ 0 60000 65536"/>
            <a:gd name="T18" fmla="*/ 0 w 21600"/>
            <a:gd name="T19" fmla="*/ 14869 h 21600"/>
            <a:gd name="T20" fmla="*/ 18276 w 21600"/>
            <a:gd name="T21" fmla="*/ 21600 h 21600"/>
          </a:gdLst>
          <a:ahLst/>
          <a:cxnLst>
            <a:cxn ang="T12">
              <a:pos x="T0" y="T1"/>
            </a:cxn>
            <a:cxn ang="T13">
              <a:pos x="T2" y="T3"/>
            </a:cxn>
            <a:cxn ang="T14">
              <a:pos x="T4" y="T5"/>
            </a:cxn>
            <a:cxn ang="T15">
              <a:pos x="T6" y="T7"/>
            </a:cxn>
            <a:cxn ang="T16">
              <a:pos x="T8" y="T9"/>
            </a:cxn>
            <a:cxn ang="T17">
              <a:pos x="T10" y="T11"/>
            </a:cxn>
          </a:cxnLst>
          <a:rect l="T18" t="T19" r="T20" b="T21"/>
          <a:pathLst>
            <a:path w="21600" h="21600">
              <a:moveTo>
                <a:pt x="15429" y="0"/>
              </a:moveTo>
              <a:lnTo>
                <a:pt x="9257" y="6720"/>
              </a:lnTo>
              <a:lnTo>
                <a:pt x="12581" y="6720"/>
              </a:lnTo>
              <a:lnTo>
                <a:pt x="12581" y="14869"/>
              </a:lnTo>
              <a:lnTo>
                <a:pt x="0" y="14869"/>
              </a:lnTo>
              <a:lnTo>
                <a:pt x="0" y="21600"/>
              </a:lnTo>
              <a:lnTo>
                <a:pt x="18276" y="21600"/>
              </a:lnTo>
              <a:lnTo>
                <a:pt x="18276" y="6720"/>
              </a:lnTo>
              <a:lnTo>
                <a:pt x="21600" y="6720"/>
              </a:lnTo>
              <a:close/>
            </a:path>
          </a:pathLst>
        </a:custGeom>
        <a:solidFill>
          <a:srgbClr val="00CCFF"/>
        </a:solidFill>
        <a:ln w="9525">
          <a:solidFill>
            <a:srgbClr val="000000"/>
          </a:solidFill>
          <a:miter lim="800000"/>
          <a:headEnd/>
          <a:tailEnd/>
        </a:ln>
      </xdr:spPr>
    </xdr:sp>
    <xdr:clientData/>
  </xdr:twoCellAnchor>
  <xdr:twoCellAnchor editAs="oneCell">
    <xdr:from>
      <xdr:col>4</xdr:col>
      <xdr:colOff>847725</xdr:colOff>
      <xdr:row>1</xdr:row>
      <xdr:rowOff>571500</xdr:rowOff>
    </xdr:from>
    <xdr:to>
      <xdr:col>4</xdr:col>
      <xdr:colOff>3676650</xdr:colOff>
      <xdr:row>2</xdr:row>
      <xdr:rowOff>342900</xdr:rowOff>
    </xdr:to>
    <xdr:sp macro="" textlink="">
      <xdr:nvSpPr>
        <xdr:cNvPr id="8318" name="Text Box 126">
          <a:extLst>
            <a:ext uri="{FF2B5EF4-FFF2-40B4-BE49-F238E27FC236}">
              <a16:creationId xmlns:a16="http://schemas.microsoft.com/office/drawing/2014/main" id="{00000000-0008-0000-0100-00007E200000}"/>
            </a:ext>
          </a:extLst>
        </xdr:cNvPr>
        <xdr:cNvSpPr txBox="1">
          <a:spLocks noChangeArrowheads="1"/>
        </xdr:cNvSpPr>
      </xdr:nvSpPr>
      <xdr:spPr bwMode="auto">
        <a:xfrm>
          <a:off x="5314950" y="904875"/>
          <a:ext cx="2828925" cy="352425"/>
        </a:xfrm>
        <a:prstGeom prst="rect">
          <a:avLst/>
        </a:prstGeom>
        <a:noFill/>
        <a:ln w="9525">
          <a:noFill/>
          <a:miter lim="800000"/>
          <a:headEnd/>
          <a:tailEnd/>
        </a:ln>
      </xdr:spPr>
      <xdr:txBody>
        <a:bodyPr vertOverflow="clip" wrap="square" lIns="45720" tIns="27432" rIns="0" bIns="0" anchor="t" upright="1"/>
        <a:lstStyle/>
        <a:p>
          <a:pPr algn="l" rtl="0">
            <a:defRPr sz="1000"/>
          </a:pPr>
          <a:r>
            <a:rPr lang="ja-JP" altLang="en-US" sz="2000" b="1" i="0" u="none" strike="noStrike" baseline="0">
              <a:solidFill>
                <a:srgbClr val="3366FF"/>
              </a:solidFill>
              <a:latin typeface="ＭＳ Ｐゴシック"/>
              <a:ea typeface="ＭＳ Ｐゴシック"/>
            </a:rPr>
            <a:t>③オプション仕様選択</a:t>
          </a:r>
        </a:p>
      </xdr:txBody>
    </xdr:sp>
    <xdr:clientData/>
  </xdr:twoCellAnchor>
  <xdr:oneCellAnchor>
    <xdr:from>
      <xdr:col>1</xdr:col>
      <xdr:colOff>85725</xdr:colOff>
      <xdr:row>0</xdr:row>
      <xdr:rowOff>66675</xdr:rowOff>
    </xdr:from>
    <xdr:ext cx="3171959" cy="356572"/>
    <xdr:sp macro="" textlink="">
      <xdr:nvSpPr>
        <xdr:cNvPr id="8319" name="Text Box 127">
          <a:extLst>
            <a:ext uri="{FF2B5EF4-FFF2-40B4-BE49-F238E27FC236}">
              <a16:creationId xmlns:a16="http://schemas.microsoft.com/office/drawing/2014/main" id="{00000000-0008-0000-0100-00007F200000}"/>
            </a:ext>
          </a:extLst>
        </xdr:cNvPr>
        <xdr:cNvSpPr txBox="1">
          <a:spLocks noChangeArrowheads="1"/>
        </xdr:cNvSpPr>
      </xdr:nvSpPr>
      <xdr:spPr bwMode="auto">
        <a:xfrm>
          <a:off x="85725" y="66675"/>
          <a:ext cx="3171959" cy="356572"/>
        </a:xfrm>
        <a:prstGeom prst="rect">
          <a:avLst/>
        </a:prstGeom>
        <a:noFill/>
        <a:ln w="9525">
          <a:noFill/>
          <a:miter lim="800000"/>
          <a:headEnd/>
          <a:tailEnd/>
        </a:ln>
      </xdr:spPr>
      <xdr:txBody>
        <a:bodyPr wrap="none" lIns="36576" tIns="22860" rIns="0" bIns="0" anchor="t" upright="1">
          <a:spAutoFit/>
        </a:bodyPr>
        <a:lstStyle/>
        <a:p>
          <a:pPr algn="l" rtl="0">
            <a:defRPr sz="1000"/>
          </a:pPr>
          <a:r>
            <a:rPr lang="ja-JP" altLang="en-US" sz="2000" b="1" i="0" u="none" strike="noStrike" baseline="0">
              <a:solidFill>
                <a:srgbClr val="000000"/>
              </a:solidFill>
              <a:latin typeface="ＭＳ Ｐゴシック"/>
              <a:ea typeface="ＭＳ Ｐゴシック"/>
            </a:rPr>
            <a:t>仕様指示書（プレスマスター）</a:t>
          </a:r>
        </a:p>
      </xdr:txBody>
    </xdr:sp>
    <xdr:clientData/>
  </xdr:oneCellAnchor>
  <xdr:twoCellAnchor>
    <xdr:from>
      <xdr:col>0</xdr:col>
      <xdr:colOff>0</xdr:colOff>
      <xdr:row>31</xdr:row>
      <xdr:rowOff>171450</xdr:rowOff>
    </xdr:from>
    <xdr:to>
      <xdr:col>1</xdr:col>
      <xdr:colOff>1123950</xdr:colOff>
      <xdr:row>33</xdr:row>
      <xdr:rowOff>285750</xdr:rowOff>
    </xdr:to>
    <xdr:sp macro="" textlink="">
      <xdr:nvSpPr>
        <xdr:cNvPr id="8381" name="AutoShape 189">
          <a:extLst>
            <a:ext uri="{FF2B5EF4-FFF2-40B4-BE49-F238E27FC236}">
              <a16:creationId xmlns:a16="http://schemas.microsoft.com/office/drawing/2014/main" id="{00000000-0008-0000-0100-0000BD200000}"/>
            </a:ext>
          </a:extLst>
        </xdr:cNvPr>
        <xdr:cNvSpPr>
          <a:spLocks noChangeArrowheads="1"/>
        </xdr:cNvSpPr>
      </xdr:nvSpPr>
      <xdr:spPr bwMode="auto">
        <a:xfrm>
          <a:off x="0" y="13973175"/>
          <a:ext cx="1123950" cy="990600"/>
        </a:xfrm>
        <a:prstGeom prst="wedgeRectCallout">
          <a:avLst>
            <a:gd name="adj1" fmla="val 168644"/>
            <a:gd name="adj2" fmla="val -3653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オーバーハング保安基準値内であれば取付 </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車種別標準架装一覧表</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で確認のこと</a:t>
          </a:r>
        </a:p>
      </xdr:txBody>
    </xdr:sp>
    <xdr:clientData/>
  </xdr:twoCellAnchor>
  <xdr:twoCellAnchor>
    <xdr:from>
      <xdr:col>1</xdr:col>
      <xdr:colOff>9525</xdr:colOff>
      <xdr:row>79</xdr:row>
      <xdr:rowOff>238125</xdr:rowOff>
    </xdr:from>
    <xdr:to>
      <xdr:col>1</xdr:col>
      <xdr:colOff>1133475</xdr:colOff>
      <xdr:row>81</xdr:row>
      <xdr:rowOff>66675</xdr:rowOff>
    </xdr:to>
    <xdr:sp macro="" textlink="">
      <xdr:nvSpPr>
        <xdr:cNvPr id="8384" name="AutoShape 192">
          <a:extLst>
            <a:ext uri="{FF2B5EF4-FFF2-40B4-BE49-F238E27FC236}">
              <a16:creationId xmlns:a16="http://schemas.microsoft.com/office/drawing/2014/main" id="{00000000-0008-0000-0100-0000C0200000}"/>
            </a:ext>
          </a:extLst>
        </xdr:cNvPr>
        <xdr:cNvSpPr>
          <a:spLocks noChangeArrowheads="1"/>
        </xdr:cNvSpPr>
      </xdr:nvSpPr>
      <xdr:spPr bwMode="auto">
        <a:xfrm>
          <a:off x="9525" y="35071050"/>
          <a:ext cx="1123950" cy="704850"/>
        </a:xfrm>
        <a:prstGeom prst="wedgeRectCallout">
          <a:avLst>
            <a:gd name="adj1" fmla="val 168000"/>
            <a:gd name="adj2" fmla="val -34125"/>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車型及び架装型式により取付できない場合があります</a:t>
          </a:r>
        </a:p>
      </xdr:txBody>
    </xdr:sp>
    <xdr:clientData/>
  </xdr:twoCellAnchor>
  <xdr:twoCellAnchor>
    <xdr:from>
      <xdr:col>0</xdr:col>
      <xdr:colOff>0</xdr:colOff>
      <xdr:row>24</xdr:row>
      <xdr:rowOff>180975</xdr:rowOff>
    </xdr:from>
    <xdr:to>
      <xdr:col>1</xdr:col>
      <xdr:colOff>1123950</xdr:colOff>
      <xdr:row>26</xdr:row>
      <xdr:rowOff>295275</xdr:rowOff>
    </xdr:to>
    <xdr:sp macro="" textlink="">
      <xdr:nvSpPr>
        <xdr:cNvPr id="8385" name="AutoShape 193">
          <a:extLst>
            <a:ext uri="{FF2B5EF4-FFF2-40B4-BE49-F238E27FC236}">
              <a16:creationId xmlns:a16="http://schemas.microsoft.com/office/drawing/2014/main" id="{00000000-0008-0000-0100-0000C1200000}"/>
            </a:ext>
          </a:extLst>
        </xdr:cNvPr>
        <xdr:cNvSpPr>
          <a:spLocks noChangeArrowheads="1"/>
        </xdr:cNvSpPr>
      </xdr:nvSpPr>
      <xdr:spPr bwMode="auto">
        <a:xfrm>
          <a:off x="0" y="10915650"/>
          <a:ext cx="1123950" cy="990600"/>
        </a:xfrm>
        <a:prstGeom prst="wedgeRectCallout">
          <a:avLst>
            <a:gd name="adj1" fmla="val 154236"/>
            <a:gd name="adj2" fmla="val 29806"/>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ＰＡ５４Ｈ－Ｔ１区直営の場合、プレスプレート先端ゴム二重式が標準となります</a:t>
          </a:r>
        </a:p>
      </xdr:txBody>
    </xdr:sp>
    <xdr:clientData/>
  </xdr:twoCellAnchor>
  <xdr:twoCellAnchor>
    <xdr:from>
      <xdr:col>0</xdr:col>
      <xdr:colOff>0</xdr:colOff>
      <xdr:row>28</xdr:row>
      <xdr:rowOff>152400</xdr:rowOff>
    </xdr:from>
    <xdr:to>
      <xdr:col>1</xdr:col>
      <xdr:colOff>1123950</xdr:colOff>
      <xdr:row>30</xdr:row>
      <xdr:rowOff>266700</xdr:rowOff>
    </xdr:to>
    <xdr:sp macro="" textlink="">
      <xdr:nvSpPr>
        <xdr:cNvPr id="8386" name="AutoShape 194">
          <a:extLst>
            <a:ext uri="{FF2B5EF4-FFF2-40B4-BE49-F238E27FC236}">
              <a16:creationId xmlns:a16="http://schemas.microsoft.com/office/drawing/2014/main" id="{00000000-0008-0000-0100-0000C2200000}"/>
            </a:ext>
          </a:extLst>
        </xdr:cNvPr>
        <xdr:cNvSpPr>
          <a:spLocks noChangeArrowheads="1"/>
        </xdr:cNvSpPr>
      </xdr:nvSpPr>
      <xdr:spPr bwMode="auto">
        <a:xfrm>
          <a:off x="0" y="12639675"/>
          <a:ext cx="1123950" cy="990600"/>
        </a:xfrm>
        <a:prstGeom prst="wedgeRectCallout">
          <a:avLst>
            <a:gd name="adj1" fmla="val 146000"/>
            <a:gd name="adj2" fmla="val 3295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全高制限仕様は「無し」が標準</a:t>
          </a:r>
        </a:p>
        <a:p>
          <a:pPr algn="l" rtl="0">
            <a:lnSpc>
              <a:spcPts val="1300"/>
            </a:lnSpc>
            <a:defRPr sz="1000"/>
          </a:pPr>
          <a:r>
            <a:rPr lang="en-US" altLang="ja-JP" sz="1100" b="0" i="0" u="none" strike="noStrike" baseline="0">
              <a:solidFill>
                <a:srgbClr val="FF0000"/>
              </a:solidFill>
              <a:latin typeface="ＭＳ Ｐゴシック"/>
              <a:ea typeface="ＭＳ Ｐゴシック"/>
            </a:rPr>
            <a:t>PA56H-3</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PA56H-5</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PA57H-4</a:t>
          </a:r>
        </a:p>
      </xdr:txBody>
    </xdr:sp>
    <xdr:clientData/>
  </xdr:twoCellAnchor>
  <xdr:twoCellAnchor>
    <xdr:from>
      <xdr:col>0</xdr:col>
      <xdr:colOff>0</xdr:colOff>
      <xdr:row>44</xdr:row>
      <xdr:rowOff>295275</xdr:rowOff>
    </xdr:from>
    <xdr:to>
      <xdr:col>1</xdr:col>
      <xdr:colOff>1123950</xdr:colOff>
      <xdr:row>46</xdr:row>
      <xdr:rowOff>161925</xdr:rowOff>
    </xdr:to>
    <xdr:sp macro="" textlink="">
      <xdr:nvSpPr>
        <xdr:cNvPr id="8387" name="AutoShape 195">
          <a:extLst>
            <a:ext uri="{FF2B5EF4-FFF2-40B4-BE49-F238E27FC236}">
              <a16:creationId xmlns:a16="http://schemas.microsoft.com/office/drawing/2014/main" id="{00000000-0008-0000-0100-0000C3200000}"/>
            </a:ext>
          </a:extLst>
        </xdr:cNvPr>
        <xdr:cNvSpPr>
          <a:spLocks noChangeArrowheads="1"/>
        </xdr:cNvSpPr>
      </xdr:nvSpPr>
      <xdr:spPr bwMode="auto">
        <a:xfrm>
          <a:off x="0" y="19792950"/>
          <a:ext cx="1123950" cy="742950"/>
        </a:xfrm>
        <a:prstGeom prst="wedgeRectCallout">
          <a:avLst>
            <a:gd name="adj1" fmla="val 178000"/>
            <a:gd name="adj2" fmla="val 46968"/>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ＰＡ５４Ｈ－Ｔ１区直営の場合、ＳＵＳ製角型（バフ有）が標準となります</a:t>
          </a:r>
        </a:p>
      </xdr:txBody>
    </xdr:sp>
    <xdr:clientData/>
  </xdr:twoCellAnchor>
  <xdr:twoCellAnchor>
    <xdr:from>
      <xdr:col>0</xdr:col>
      <xdr:colOff>0</xdr:colOff>
      <xdr:row>46</xdr:row>
      <xdr:rowOff>266700</xdr:rowOff>
    </xdr:from>
    <xdr:to>
      <xdr:col>1</xdr:col>
      <xdr:colOff>1123950</xdr:colOff>
      <xdr:row>48</xdr:row>
      <xdr:rowOff>133350</xdr:rowOff>
    </xdr:to>
    <xdr:sp macro="" textlink="">
      <xdr:nvSpPr>
        <xdr:cNvPr id="8388" name="AutoShape 196">
          <a:extLst>
            <a:ext uri="{FF2B5EF4-FFF2-40B4-BE49-F238E27FC236}">
              <a16:creationId xmlns:a16="http://schemas.microsoft.com/office/drawing/2014/main" id="{00000000-0008-0000-0100-0000C4200000}"/>
            </a:ext>
          </a:extLst>
        </xdr:cNvPr>
        <xdr:cNvSpPr>
          <a:spLocks noChangeArrowheads="1"/>
        </xdr:cNvSpPr>
      </xdr:nvSpPr>
      <xdr:spPr bwMode="auto">
        <a:xfrm>
          <a:off x="0" y="20640675"/>
          <a:ext cx="1123950" cy="742950"/>
        </a:xfrm>
        <a:prstGeom prst="wedgeRectCallout">
          <a:avLst>
            <a:gd name="adj1" fmla="val 123000"/>
            <a:gd name="adj2" fmla="val -1666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排気管が後輪後方出しの場合は、右側のみ取付けすることがあります</a:t>
          </a:r>
        </a:p>
      </xdr:txBody>
    </xdr:sp>
    <xdr:clientData/>
  </xdr:twoCellAnchor>
  <xdr:twoCellAnchor>
    <xdr:from>
      <xdr:col>0</xdr:col>
      <xdr:colOff>0</xdr:colOff>
      <xdr:row>48</xdr:row>
      <xdr:rowOff>257175</xdr:rowOff>
    </xdr:from>
    <xdr:to>
      <xdr:col>1</xdr:col>
      <xdr:colOff>1123950</xdr:colOff>
      <xdr:row>50</xdr:row>
      <xdr:rowOff>123825</xdr:rowOff>
    </xdr:to>
    <xdr:sp macro="" textlink="">
      <xdr:nvSpPr>
        <xdr:cNvPr id="8389" name="AutoShape 197">
          <a:extLst>
            <a:ext uri="{FF2B5EF4-FFF2-40B4-BE49-F238E27FC236}">
              <a16:creationId xmlns:a16="http://schemas.microsoft.com/office/drawing/2014/main" id="{00000000-0008-0000-0100-0000C5200000}"/>
            </a:ext>
          </a:extLst>
        </xdr:cNvPr>
        <xdr:cNvSpPr>
          <a:spLocks noChangeArrowheads="1"/>
        </xdr:cNvSpPr>
      </xdr:nvSpPr>
      <xdr:spPr bwMode="auto">
        <a:xfrm>
          <a:off x="0" y="21507450"/>
          <a:ext cx="1123950" cy="742950"/>
        </a:xfrm>
        <a:prstGeom prst="wedgeRectCallout">
          <a:avLst>
            <a:gd name="adj1" fmla="val 127000"/>
            <a:gd name="adj2" fmla="val -4394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FF0000"/>
              </a:solidFill>
              <a:latin typeface="ＭＳ Ｐゴシック"/>
              <a:ea typeface="ＭＳ Ｐゴシック"/>
            </a:rPr>
            <a:t>マフラ後輪後出しの場合は「有」は選択不可</a:t>
          </a:r>
        </a:p>
      </xdr:txBody>
    </xdr:sp>
    <xdr:clientData/>
  </xdr:twoCellAnchor>
  <xdr:twoCellAnchor>
    <xdr:from>
      <xdr:col>1</xdr:col>
      <xdr:colOff>0</xdr:colOff>
      <xdr:row>58</xdr:row>
      <xdr:rowOff>384175</xdr:rowOff>
    </xdr:from>
    <xdr:to>
      <xdr:col>1</xdr:col>
      <xdr:colOff>1123950</xdr:colOff>
      <xdr:row>61</xdr:row>
      <xdr:rowOff>207682</xdr:rowOff>
    </xdr:to>
    <xdr:sp macro="" textlink="">
      <xdr:nvSpPr>
        <xdr:cNvPr id="8390" name="AutoShape 198">
          <a:extLst>
            <a:ext uri="{FF2B5EF4-FFF2-40B4-BE49-F238E27FC236}">
              <a16:creationId xmlns:a16="http://schemas.microsoft.com/office/drawing/2014/main" id="{00000000-0008-0000-0100-0000C6200000}"/>
            </a:ext>
          </a:extLst>
        </xdr:cNvPr>
        <xdr:cNvSpPr>
          <a:spLocks noChangeArrowheads="1"/>
        </xdr:cNvSpPr>
      </xdr:nvSpPr>
      <xdr:spPr bwMode="auto">
        <a:xfrm>
          <a:off x="0" y="26368375"/>
          <a:ext cx="1123950" cy="1157007"/>
        </a:xfrm>
        <a:prstGeom prst="wedgeRectCallout">
          <a:avLst>
            <a:gd name="adj1" fmla="val 118646"/>
            <a:gd name="adj2" fmla="val 44399"/>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1" i="0" u="none" strike="noStrike" baseline="0">
              <a:solidFill>
                <a:srgbClr val="FF0000"/>
              </a:solidFill>
              <a:latin typeface="ＭＳ Ｐゴシック"/>
              <a:ea typeface="ＭＳ Ｐゴシック"/>
            </a:rPr>
            <a:t>「有」を選択する場合は、</a:t>
          </a:r>
          <a:r>
            <a:rPr lang="en-US" altLang="ja-JP" sz="1100" b="1" i="0" u="none" strike="noStrike" baseline="0">
              <a:solidFill>
                <a:srgbClr val="FF0000"/>
              </a:solidFill>
              <a:latin typeface="ＭＳ Ｐゴシック"/>
              <a:ea typeface="ＭＳ Ｐゴシック"/>
            </a:rPr>
            <a:t>7-10</a:t>
          </a:r>
          <a:r>
            <a:rPr lang="ja-JP" altLang="en-US" sz="1100" b="1" i="0" u="none" strike="noStrike" baseline="0">
              <a:solidFill>
                <a:srgbClr val="FF0000"/>
              </a:solidFill>
              <a:latin typeface="ＭＳ Ｐゴシック"/>
              <a:ea typeface="ＭＳ Ｐゴシック"/>
            </a:rPr>
            <a:t>．後方確認用テレビカメラ</a:t>
          </a:r>
          <a:r>
            <a:rPr lang="en-US" altLang="ja-JP" sz="1100" b="1" i="0" u="none" strike="noStrike" baseline="0">
              <a:solidFill>
                <a:srgbClr val="FF0000"/>
              </a:solidFill>
              <a:latin typeface="ＭＳ Ｐゴシック"/>
              <a:ea typeface="ＭＳ Ｐゴシック"/>
            </a:rPr>
            <a:t>BKT</a:t>
          </a:r>
          <a:r>
            <a:rPr lang="ja-JP" altLang="en-US" sz="1100" b="1" i="0" u="none" strike="noStrike" baseline="0">
              <a:solidFill>
                <a:srgbClr val="FF0000"/>
              </a:solidFill>
              <a:latin typeface="ＭＳ Ｐゴシック"/>
              <a:ea typeface="ＭＳ Ｐゴシック"/>
            </a:rPr>
            <a:t>も「有」を選択のこと。</a:t>
          </a:r>
        </a:p>
      </xdr:txBody>
    </xdr:sp>
    <xdr:clientData/>
  </xdr:twoCellAnchor>
  <xdr:twoCellAnchor>
    <xdr:from>
      <xdr:col>1</xdr:col>
      <xdr:colOff>0</xdr:colOff>
      <xdr:row>61</xdr:row>
      <xdr:rowOff>396875</xdr:rowOff>
    </xdr:from>
    <xdr:to>
      <xdr:col>1</xdr:col>
      <xdr:colOff>1123950</xdr:colOff>
      <xdr:row>64</xdr:row>
      <xdr:rowOff>220382</xdr:rowOff>
    </xdr:to>
    <xdr:sp macro="" textlink="">
      <xdr:nvSpPr>
        <xdr:cNvPr id="19" name="AutoShape 198">
          <a:extLst>
            <a:ext uri="{FF2B5EF4-FFF2-40B4-BE49-F238E27FC236}">
              <a16:creationId xmlns:a16="http://schemas.microsoft.com/office/drawing/2014/main" id="{00000000-0008-0000-0100-000013000000}"/>
            </a:ext>
          </a:extLst>
        </xdr:cNvPr>
        <xdr:cNvSpPr>
          <a:spLocks noChangeArrowheads="1"/>
        </xdr:cNvSpPr>
      </xdr:nvSpPr>
      <xdr:spPr bwMode="auto">
        <a:xfrm>
          <a:off x="0" y="27714575"/>
          <a:ext cx="1123950" cy="1157007"/>
        </a:xfrm>
        <a:prstGeom prst="wedgeRectCallout">
          <a:avLst>
            <a:gd name="adj1" fmla="val 118646"/>
            <a:gd name="adj2" fmla="val 2025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1" i="0" u="none" strike="noStrike" baseline="0">
              <a:solidFill>
                <a:srgbClr val="FF0000"/>
              </a:solidFill>
              <a:latin typeface="ＭＳ Ｐゴシック"/>
              <a:ea typeface="ＭＳ Ｐゴシック"/>
            </a:rPr>
            <a:t>「有」を選択する場合は、</a:t>
          </a:r>
          <a:r>
            <a:rPr lang="en-US" altLang="ja-JP" sz="1100" b="1" i="0" u="none" strike="noStrike" baseline="0">
              <a:solidFill>
                <a:srgbClr val="FF0000"/>
              </a:solidFill>
              <a:latin typeface="ＭＳ Ｐゴシック"/>
              <a:ea typeface="ＭＳ Ｐゴシック"/>
            </a:rPr>
            <a:t>7-12</a:t>
          </a:r>
          <a:r>
            <a:rPr lang="ja-JP" altLang="en-US" sz="1100" b="1" i="0" u="none" strike="noStrike" baseline="0">
              <a:solidFill>
                <a:srgbClr val="FF0000"/>
              </a:solidFill>
              <a:latin typeface="ＭＳ Ｐゴシック"/>
              <a:ea typeface="ＭＳ Ｐゴシック"/>
            </a:rPr>
            <a:t>．作業灯スイッチも「有」を選択のこと。</a:t>
          </a:r>
        </a:p>
      </xdr:txBody>
    </xdr:sp>
    <xdr:clientData/>
  </xdr:twoCellAnchor>
  <mc:AlternateContent xmlns:mc="http://schemas.openxmlformats.org/markup-compatibility/2006">
    <mc:Choice xmlns:a14="http://schemas.microsoft.com/office/drawing/2010/main" Requires="a14">
      <xdr:twoCellAnchor>
        <xdr:from>
          <xdr:col>4</xdr:col>
          <xdr:colOff>9525</xdr:colOff>
          <xdr:row>72</xdr:row>
          <xdr:rowOff>19050</xdr:rowOff>
        </xdr:from>
        <xdr:to>
          <xdr:col>6</xdr:col>
          <xdr:colOff>9525</xdr:colOff>
          <xdr:row>73</xdr:row>
          <xdr:rowOff>38100</xdr:rowOff>
        </xdr:to>
        <xdr:sp macro="" textlink="">
          <xdr:nvSpPr>
            <xdr:cNvPr id="8382" name="ComboBox138" hidden="1">
              <a:extLst>
                <a:ext uri="{63B3BB69-23CF-44E3-9099-C40C66FF867C}">
                  <a14:compatExt spid="_x0000_s8382"/>
                </a:ext>
                <a:ext uri="{FF2B5EF4-FFF2-40B4-BE49-F238E27FC236}">
                  <a16:creationId xmlns:a16="http://schemas.microsoft.com/office/drawing/2014/main" id="{00000000-0008-0000-0100-0000B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73</xdr:row>
          <xdr:rowOff>0</xdr:rowOff>
        </xdr:from>
        <xdr:to>
          <xdr:col>6</xdr:col>
          <xdr:colOff>9525</xdr:colOff>
          <xdr:row>74</xdr:row>
          <xdr:rowOff>19050</xdr:rowOff>
        </xdr:to>
        <xdr:sp macro="" textlink="">
          <xdr:nvSpPr>
            <xdr:cNvPr id="8274" name="ComboBox79" hidden="1">
              <a:extLst>
                <a:ext uri="{63B3BB69-23CF-44E3-9099-C40C66FF867C}">
                  <a14:compatExt spid="_x0000_s8274"/>
                </a:ext>
                <a:ext uri="{FF2B5EF4-FFF2-40B4-BE49-F238E27FC236}">
                  <a16:creationId xmlns:a16="http://schemas.microsoft.com/office/drawing/2014/main" id="{00000000-0008-0000-0100-00005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74</xdr:row>
          <xdr:rowOff>0</xdr:rowOff>
        </xdr:from>
        <xdr:to>
          <xdr:col>6</xdr:col>
          <xdr:colOff>9525</xdr:colOff>
          <xdr:row>75</xdr:row>
          <xdr:rowOff>19050</xdr:rowOff>
        </xdr:to>
        <xdr:sp macro="" textlink="">
          <xdr:nvSpPr>
            <xdr:cNvPr id="8383" name="ComboBox141" hidden="1">
              <a:extLst>
                <a:ext uri="{63B3BB69-23CF-44E3-9099-C40C66FF867C}">
                  <a14:compatExt spid="_x0000_s8383"/>
                </a:ext>
                <a:ext uri="{FF2B5EF4-FFF2-40B4-BE49-F238E27FC236}">
                  <a16:creationId xmlns:a16="http://schemas.microsoft.com/office/drawing/2014/main" id="{00000000-0008-0000-0100-0000B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0</xdr:colOff>
          <xdr:row>4</xdr:row>
          <xdr:rowOff>28575</xdr:rowOff>
        </xdr:to>
        <xdr:sp macro="" textlink="">
          <xdr:nvSpPr>
            <xdr:cNvPr id="8195" name="ComboBox2"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428625</xdr:rowOff>
        </xdr:from>
        <xdr:to>
          <xdr:col>6</xdr:col>
          <xdr:colOff>0</xdr:colOff>
          <xdr:row>5</xdr:row>
          <xdr:rowOff>19050</xdr:rowOff>
        </xdr:to>
        <xdr:sp macro="" textlink="">
          <xdr:nvSpPr>
            <xdr:cNvPr id="8196" name="ComboBox3"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428625</xdr:rowOff>
        </xdr:from>
        <xdr:to>
          <xdr:col>6</xdr:col>
          <xdr:colOff>0</xdr:colOff>
          <xdr:row>6</xdr:row>
          <xdr:rowOff>19050</xdr:rowOff>
        </xdr:to>
        <xdr:sp macro="" textlink="">
          <xdr:nvSpPr>
            <xdr:cNvPr id="8197" name="ComboBox4"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428625</xdr:rowOff>
        </xdr:from>
        <xdr:to>
          <xdr:col>6</xdr:col>
          <xdr:colOff>0</xdr:colOff>
          <xdr:row>7</xdr:row>
          <xdr:rowOff>19050</xdr:rowOff>
        </xdr:to>
        <xdr:sp macro="" textlink="">
          <xdr:nvSpPr>
            <xdr:cNvPr id="8198" name="ComboBox5"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428625</xdr:rowOff>
        </xdr:from>
        <xdr:to>
          <xdr:col>6</xdr:col>
          <xdr:colOff>0</xdr:colOff>
          <xdr:row>8</xdr:row>
          <xdr:rowOff>19050</xdr:rowOff>
        </xdr:to>
        <xdr:sp macro="" textlink="">
          <xdr:nvSpPr>
            <xdr:cNvPr id="8199" name="ComboBox6"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428625</xdr:rowOff>
        </xdr:from>
        <xdr:to>
          <xdr:col>6</xdr:col>
          <xdr:colOff>0</xdr:colOff>
          <xdr:row>9</xdr:row>
          <xdr:rowOff>19050</xdr:rowOff>
        </xdr:to>
        <xdr:sp macro="" textlink="">
          <xdr:nvSpPr>
            <xdr:cNvPr id="8200" name="ComboBox1" hidden="1">
              <a:extLst>
                <a:ext uri="{63B3BB69-23CF-44E3-9099-C40C66FF867C}">
                  <a14:compatExt spid="_x0000_s8200"/>
                </a:ext>
                <a:ext uri="{FF2B5EF4-FFF2-40B4-BE49-F238E27FC236}">
                  <a16:creationId xmlns:a16="http://schemas.microsoft.com/office/drawing/2014/main" id="{00000000-0008-0000-01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1</xdr:row>
          <xdr:rowOff>114300</xdr:rowOff>
        </xdr:from>
        <xdr:to>
          <xdr:col>4</xdr:col>
          <xdr:colOff>2724150</xdr:colOff>
          <xdr:row>1</xdr:row>
          <xdr:rowOff>495300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100-000009200000}"/>
                </a:ext>
              </a:extLst>
            </xdr:cNvPr>
            <xdr:cNvSpPr/>
          </xdr:nvSpPr>
          <xdr:spPr bwMode="auto">
            <a:xfrm>
              <a:off x="0" y="0"/>
              <a:ext cx="0" cy="0"/>
            </a:xfrm>
            <a:prstGeom prst="rect">
              <a:avLst/>
            </a:prstGeom>
            <a:noFill/>
            <a:ln w="9525">
              <a:miter lim="800000"/>
              <a:headEnd/>
              <a:tailEnd/>
            </a:ln>
          </xdr:spPr>
          <xdr:txBody>
            <a:bodyPr vertOverflow="clip" wrap="square" lIns="73152" tIns="41148" rIns="73152" bIns="41148" anchor="ctr" upright="1"/>
            <a:lstStyle/>
            <a:p>
              <a:pPr algn="ctr" rtl="0">
                <a:defRPr sz="1000"/>
              </a:pPr>
              <a:r>
                <a:rPr lang="ja-JP" altLang="en-US" sz="2000" b="1" i="0" u="none" strike="noStrike" baseline="0">
                  <a:solidFill>
                    <a:srgbClr val="0000FF"/>
                  </a:solidFill>
                  <a:latin typeface="ＭＳ Ｐゴシック"/>
                  <a:ea typeface="ＭＳ Ｐゴシック"/>
                </a:rPr>
                <a:t>②標準仕様選択</a:t>
              </a:r>
              <a:r>
                <a:rPr lang="ja-JP" altLang="en-US" sz="2000" b="1" i="0" u="none" strike="noStrike" baseline="0">
                  <a:solidFill>
                    <a:srgbClr val="000000"/>
                  </a:solidFill>
                  <a:latin typeface="ＭＳ Ｐゴシック"/>
                  <a:ea typeface="ＭＳ Ｐゴシック"/>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xdr:row>
          <xdr:rowOff>428625</xdr:rowOff>
        </xdr:from>
        <xdr:to>
          <xdr:col>6</xdr:col>
          <xdr:colOff>9525</xdr:colOff>
          <xdr:row>10</xdr:row>
          <xdr:rowOff>9525</xdr:rowOff>
        </xdr:to>
        <xdr:sp macro="" textlink="">
          <xdr:nvSpPr>
            <xdr:cNvPr id="8202" name="ComboBox7"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xdr:row>
          <xdr:rowOff>428625</xdr:rowOff>
        </xdr:from>
        <xdr:to>
          <xdr:col>6</xdr:col>
          <xdr:colOff>9525</xdr:colOff>
          <xdr:row>11</xdr:row>
          <xdr:rowOff>9525</xdr:rowOff>
        </xdr:to>
        <xdr:sp macro="" textlink="">
          <xdr:nvSpPr>
            <xdr:cNvPr id="8210" name="ComboBox15" hidden="1">
              <a:extLst>
                <a:ext uri="{63B3BB69-23CF-44E3-9099-C40C66FF867C}">
                  <a14:compatExt spid="_x0000_s8210"/>
                </a:ext>
                <a:ext uri="{FF2B5EF4-FFF2-40B4-BE49-F238E27FC236}">
                  <a16:creationId xmlns:a16="http://schemas.microsoft.com/office/drawing/2014/main" id="{00000000-0008-0000-01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xdr:row>
          <xdr:rowOff>419100</xdr:rowOff>
        </xdr:from>
        <xdr:to>
          <xdr:col>6</xdr:col>
          <xdr:colOff>9525</xdr:colOff>
          <xdr:row>12</xdr:row>
          <xdr:rowOff>9525</xdr:rowOff>
        </xdr:to>
        <xdr:sp macro="" textlink="">
          <xdr:nvSpPr>
            <xdr:cNvPr id="8211" name="ComboBox16" hidden="1">
              <a:extLst>
                <a:ext uri="{63B3BB69-23CF-44E3-9099-C40C66FF867C}">
                  <a14:compatExt spid="_x0000_s8211"/>
                </a:ext>
                <a:ext uri="{FF2B5EF4-FFF2-40B4-BE49-F238E27FC236}">
                  <a16:creationId xmlns:a16="http://schemas.microsoft.com/office/drawing/2014/main" id="{00000000-0008-0000-01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xdr:row>
          <xdr:rowOff>419100</xdr:rowOff>
        </xdr:from>
        <xdr:to>
          <xdr:col>6</xdr:col>
          <xdr:colOff>9525</xdr:colOff>
          <xdr:row>13</xdr:row>
          <xdr:rowOff>9525</xdr:rowOff>
        </xdr:to>
        <xdr:sp macro="" textlink="">
          <xdr:nvSpPr>
            <xdr:cNvPr id="8212" name="ComboBox17" hidden="1">
              <a:extLst>
                <a:ext uri="{63B3BB69-23CF-44E3-9099-C40C66FF867C}">
                  <a14:compatExt spid="_x0000_s8212"/>
                </a:ext>
                <a:ext uri="{FF2B5EF4-FFF2-40B4-BE49-F238E27FC236}">
                  <a16:creationId xmlns:a16="http://schemas.microsoft.com/office/drawing/2014/main" id="{00000000-0008-0000-01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12</xdr:row>
          <xdr:rowOff>428625</xdr:rowOff>
        </xdr:from>
        <xdr:to>
          <xdr:col>6</xdr:col>
          <xdr:colOff>9525</xdr:colOff>
          <xdr:row>14</xdr:row>
          <xdr:rowOff>19050</xdr:rowOff>
        </xdr:to>
        <xdr:sp macro="" textlink="">
          <xdr:nvSpPr>
            <xdr:cNvPr id="8213" name="ComboBox18"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13</xdr:row>
          <xdr:rowOff>428625</xdr:rowOff>
        </xdr:from>
        <xdr:to>
          <xdr:col>6</xdr:col>
          <xdr:colOff>9525</xdr:colOff>
          <xdr:row>15</xdr:row>
          <xdr:rowOff>19050</xdr:rowOff>
        </xdr:to>
        <xdr:sp macro="" textlink="">
          <xdr:nvSpPr>
            <xdr:cNvPr id="8214" name="ComboBox19"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14</xdr:row>
          <xdr:rowOff>419100</xdr:rowOff>
        </xdr:from>
        <xdr:to>
          <xdr:col>6</xdr:col>
          <xdr:colOff>9525</xdr:colOff>
          <xdr:row>16</xdr:row>
          <xdr:rowOff>9525</xdr:rowOff>
        </xdr:to>
        <xdr:sp macro="" textlink="">
          <xdr:nvSpPr>
            <xdr:cNvPr id="8215" name="ComboBox20" hidden="1">
              <a:extLst>
                <a:ext uri="{63B3BB69-23CF-44E3-9099-C40C66FF867C}">
                  <a14:compatExt spid="_x0000_s8215"/>
                </a:ext>
                <a:ext uri="{FF2B5EF4-FFF2-40B4-BE49-F238E27FC236}">
                  <a16:creationId xmlns:a16="http://schemas.microsoft.com/office/drawing/2014/main" id="{00000000-0008-0000-01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15</xdr:row>
          <xdr:rowOff>419100</xdr:rowOff>
        </xdr:from>
        <xdr:to>
          <xdr:col>6</xdr:col>
          <xdr:colOff>9525</xdr:colOff>
          <xdr:row>17</xdr:row>
          <xdr:rowOff>9525</xdr:rowOff>
        </xdr:to>
        <xdr:sp macro="" textlink="">
          <xdr:nvSpPr>
            <xdr:cNvPr id="8216" name="ComboBox21" hidden="1">
              <a:extLst>
                <a:ext uri="{63B3BB69-23CF-44E3-9099-C40C66FF867C}">
                  <a14:compatExt spid="_x0000_s8216"/>
                </a:ext>
                <a:ext uri="{FF2B5EF4-FFF2-40B4-BE49-F238E27FC236}">
                  <a16:creationId xmlns:a16="http://schemas.microsoft.com/office/drawing/2014/main" id="{00000000-0008-0000-01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17</xdr:row>
          <xdr:rowOff>0</xdr:rowOff>
        </xdr:from>
        <xdr:to>
          <xdr:col>6</xdr:col>
          <xdr:colOff>9525</xdr:colOff>
          <xdr:row>18</xdr:row>
          <xdr:rowOff>28575</xdr:rowOff>
        </xdr:to>
        <xdr:sp macro="" textlink="">
          <xdr:nvSpPr>
            <xdr:cNvPr id="8217" name="ComboBox22" hidden="1">
              <a:extLst>
                <a:ext uri="{63B3BB69-23CF-44E3-9099-C40C66FF867C}">
                  <a14:compatExt spid="_x0000_s8217"/>
                </a:ext>
                <a:ext uri="{FF2B5EF4-FFF2-40B4-BE49-F238E27FC236}">
                  <a16:creationId xmlns:a16="http://schemas.microsoft.com/office/drawing/2014/main" id="{00000000-0008-0000-01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0</xdr:rowOff>
        </xdr:from>
        <xdr:to>
          <xdr:col>6</xdr:col>
          <xdr:colOff>9525</xdr:colOff>
          <xdr:row>19</xdr:row>
          <xdr:rowOff>19050</xdr:rowOff>
        </xdr:to>
        <xdr:sp macro="" textlink="">
          <xdr:nvSpPr>
            <xdr:cNvPr id="8218" name="ComboBox23" hidden="1">
              <a:extLst>
                <a:ext uri="{63B3BB69-23CF-44E3-9099-C40C66FF867C}">
                  <a14:compatExt spid="_x0000_s8218"/>
                </a:ext>
                <a:ext uri="{FF2B5EF4-FFF2-40B4-BE49-F238E27FC236}">
                  <a16:creationId xmlns:a16="http://schemas.microsoft.com/office/drawing/2014/main" id="{00000000-0008-0000-01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0</xdr:rowOff>
        </xdr:from>
        <xdr:to>
          <xdr:col>6</xdr:col>
          <xdr:colOff>9525</xdr:colOff>
          <xdr:row>20</xdr:row>
          <xdr:rowOff>19050</xdr:rowOff>
        </xdr:to>
        <xdr:sp macro="" textlink="">
          <xdr:nvSpPr>
            <xdr:cNvPr id="8219" name="ComboBox24" hidden="1">
              <a:extLst>
                <a:ext uri="{63B3BB69-23CF-44E3-9099-C40C66FF867C}">
                  <a14:compatExt spid="_x0000_s8219"/>
                </a:ext>
                <a:ext uri="{FF2B5EF4-FFF2-40B4-BE49-F238E27FC236}">
                  <a16:creationId xmlns:a16="http://schemas.microsoft.com/office/drawing/2014/main" id="{00000000-0008-0000-01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428625</xdr:rowOff>
        </xdr:from>
        <xdr:to>
          <xdr:col>6</xdr:col>
          <xdr:colOff>9525</xdr:colOff>
          <xdr:row>21</xdr:row>
          <xdr:rowOff>9525</xdr:rowOff>
        </xdr:to>
        <xdr:sp macro="" textlink="">
          <xdr:nvSpPr>
            <xdr:cNvPr id="8220" name="ComboBox25" hidden="1">
              <a:extLst>
                <a:ext uri="{63B3BB69-23CF-44E3-9099-C40C66FF867C}">
                  <a14:compatExt spid="_x0000_s8220"/>
                </a:ext>
                <a:ext uri="{FF2B5EF4-FFF2-40B4-BE49-F238E27FC236}">
                  <a16:creationId xmlns:a16="http://schemas.microsoft.com/office/drawing/2014/main" id="{00000000-0008-0000-01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20</xdr:row>
          <xdr:rowOff>428625</xdr:rowOff>
        </xdr:from>
        <xdr:to>
          <xdr:col>6</xdr:col>
          <xdr:colOff>9525</xdr:colOff>
          <xdr:row>22</xdr:row>
          <xdr:rowOff>9525</xdr:rowOff>
        </xdr:to>
        <xdr:sp macro="" textlink="">
          <xdr:nvSpPr>
            <xdr:cNvPr id="8221" name="ComboBox26" hidden="1">
              <a:extLst>
                <a:ext uri="{63B3BB69-23CF-44E3-9099-C40C66FF867C}">
                  <a14:compatExt spid="_x0000_s8221"/>
                </a:ext>
                <a:ext uri="{FF2B5EF4-FFF2-40B4-BE49-F238E27FC236}">
                  <a16:creationId xmlns:a16="http://schemas.microsoft.com/office/drawing/2014/main" id="{00000000-0008-0000-01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21</xdr:row>
          <xdr:rowOff>419100</xdr:rowOff>
        </xdr:from>
        <xdr:to>
          <xdr:col>6</xdr:col>
          <xdr:colOff>9525</xdr:colOff>
          <xdr:row>23</xdr:row>
          <xdr:rowOff>0</xdr:rowOff>
        </xdr:to>
        <xdr:sp macro="" textlink="">
          <xdr:nvSpPr>
            <xdr:cNvPr id="8222" name="ComboBox27" hidden="1">
              <a:extLst>
                <a:ext uri="{63B3BB69-23CF-44E3-9099-C40C66FF867C}">
                  <a14:compatExt spid="_x0000_s8222"/>
                </a:ext>
                <a:ext uri="{FF2B5EF4-FFF2-40B4-BE49-F238E27FC236}">
                  <a16:creationId xmlns:a16="http://schemas.microsoft.com/office/drawing/2014/main" id="{00000000-0008-0000-01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22</xdr:row>
          <xdr:rowOff>428625</xdr:rowOff>
        </xdr:from>
        <xdr:to>
          <xdr:col>6</xdr:col>
          <xdr:colOff>9525</xdr:colOff>
          <xdr:row>24</xdr:row>
          <xdr:rowOff>9525</xdr:rowOff>
        </xdr:to>
        <xdr:sp macro="" textlink="">
          <xdr:nvSpPr>
            <xdr:cNvPr id="8223" name="ComboBox28" hidden="1">
              <a:extLst>
                <a:ext uri="{63B3BB69-23CF-44E3-9099-C40C66FF867C}">
                  <a14:compatExt spid="_x0000_s8223"/>
                </a:ext>
                <a:ext uri="{FF2B5EF4-FFF2-40B4-BE49-F238E27FC236}">
                  <a16:creationId xmlns:a16="http://schemas.microsoft.com/office/drawing/2014/main" id="{00000000-0008-0000-01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23</xdr:row>
          <xdr:rowOff>428625</xdr:rowOff>
        </xdr:from>
        <xdr:to>
          <xdr:col>6</xdr:col>
          <xdr:colOff>9525</xdr:colOff>
          <xdr:row>25</xdr:row>
          <xdr:rowOff>9525</xdr:rowOff>
        </xdr:to>
        <xdr:sp macro="" textlink="">
          <xdr:nvSpPr>
            <xdr:cNvPr id="8224" name="ComboBox29" hidden="1">
              <a:extLst>
                <a:ext uri="{63B3BB69-23CF-44E3-9099-C40C66FF867C}">
                  <a14:compatExt spid="_x0000_s8224"/>
                </a:ext>
                <a:ext uri="{FF2B5EF4-FFF2-40B4-BE49-F238E27FC236}">
                  <a16:creationId xmlns:a16="http://schemas.microsoft.com/office/drawing/2014/main" id="{00000000-0008-0000-0100-00002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24</xdr:row>
          <xdr:rowOff>428625</xdr:rowOff>
        </xdr:from>
        <xdr:to>
          <xdr:col>6</xdr:col>
          <xdr:colOff>9525</xdr:colOff>
          <xdr:row>26</xdr:row>
          <xdr:rowOff>9525</xdr:rowOff>
        </xdr:to>
        <xdr:sp macro="" textlink="">
          <xdr:nvSpPr>
            <xdr:cNvPr id="8225" name="ComboBox30" hidden="1">
              <a:extLst>
                <a:ext uri="{63B3BB69-23CF-44E3-9099-C40C66FF867C}">
                  <a14:compatExt spid="_x0000_s8225"/>
                </a:ext>
                <a:ext uri="{FF2B5EF4-FFF2-40B4-BE49-F238E27FC236}">
                  <a16:creationId xmlns:a16="http://schemas.microsoft.com/office/drawing/2014/main" id="{00000000-0008-0000-0100-00002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26</xdr:row>
          <xdr:rowOff>0</xdr:rowOff>
        </xdr:from>
        <xdr:to>
          <xdr:col>6</xdr:col>
          <xdr:colOff>9525</xdr:colOff>
          <xdr:row>27</xdr:row>
          <xdr:rowOff>28575</xdr:rowOff>
        </xdr:to>
        <xdr:sp macro="" textlink="">
          <xdr:nvSpPr>
            <xdr:cNvPr id="8226" name="ComboBox31" hidden="1">
              <a:extLst>
                <a:ext uri="{63B3BB69-23CF-44E3-9099-C40C66FF867C}">
                  <a14:compatExt spid="_x0000_s8226"/>
                </a:ext>
                <a:ext uri="{FF2B5EF4-FFF2-40B4-BE49-F238E27FC236}">
                  <a16:creationId xmlns:a16="http://schemas.microsoft.com/office/drawing/2014/main" id="{00000000-0008-0000-0100-00002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27</xdr:row>
          <xdr:rowOff>0</xdr:rowOff>
        </xdr:from>
        <xdr:to>
          <xdr:col>6</xdr:col>
          <xdr:colOff>9525</xdr:colOff>
          <xdr:row>28</xdr:row>
          <xdr:rowOff>19050</xdr:rowOff>
        </xdr:to>
        <xdr:sp macro="" textlink="">
          <xdr:nvSpPr>
            <xdr:cNvPr id="8227" name="ComboBox32" hidden="1">
              <a:extLst>
                <a:ext uri="{63B3BB69-23CF-44E3-9099-C40C66FF867C}">
                  <a14:compatExt spid="_x0000_s8227"/>
                </a:ext>
                <a:ext uri="{FF2B5EF4-FFF2-40B4-BE49-F238E27FC236}">
                  <a16:creationId xmlns:a16="http://schemas.microsoft.com/office/drawing/2014/main" id="{00000000-0008-0000-0100-00002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28</xdr:row>
          <xdr:rowOff>0</xdr:rowOff>
        </xdr:from>
        <xdr:to>
          <xdr:col>6</xdr:col>
          <xdr:colOff>9525</xdr:colOff>
          <xdr:row>29</xdr:row>
          <xdr:rowOff>19050</xdr:rowOff>
        </xdr:to>
        <xdr:sp macro="" textlink="">
          <xdr:nvSpPr>
            <xdr:cNvPr id="8228" name="ComboBox33" hidden="1">
              <a:extLst>
                <a:ext uri="{63B3BB69-23CF-44E3-9099-C40C66FF867C}">
                  <a14:compatExt spid="_x0000_s8228"/>
                </a:ext>
                <a:ext uri="{FF2B5EF4-FFF2-40B4-BE49-F238E27FC236}">
                  <a16:creationId xmlns:a16="http://schemas.microsoft.com/office/drawing/2014/main" id="{00000000-0008-0000-01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28</xdr:row>
          <xdr:rowOff>428625</xdr:rowOff>
        </xdr:from>
        <xdr:to>
          <xdr:col>6</xdr:col>
          <xdr:colOff>9525</xdr:colOff>
          <xdr:row>30</xdr:row>
          <xdr:rowOff>9525</xdr:rowOff>
        </xdr:to>
        <xdr:sp macro="" textlink="">
          <xdr:nvSpPr>
            <xdr:cNvPr id="8229" name="ComboBox34" hidden="1">
              <a:extLst>
                <a:ext uri="{63B3BB69-23CF-44E3-9099-C40C66FF867C}">
                  <a14:compatExt spid="_x0000_s8229"/>
                </a:ext>
                <a:ext uri="{FF2B5EF4-FFF2-40B4-BE49-F238E27FC236}">
                  <a16:creationId xmlns:a16="http://schemas.microsoft.com/office/drawing/2014/main" id="{00000000-0008-0000-01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29</xdr:row>
          <xdr:rowOff>428625</xdr:rowOff>
        </xdr:from>
        <xdr:to>
          <xdr:col>6</xdr:col>
          <xdr:colOff>9525</xdr:colOff>
          <xdr:row>31</xdr:row>
          <xdr:rowOff>9525</xdr:rowOff>
        </xdr:to>
        <xdr:sp macro="" textlink="">
          <xdr:nvSpPr>
            <xdr:cNvPr id="8230" name="ComboBox35" hidden="1">
              <a:extLst>
                <a:ext uri="{63B3BB69-23CF-44E3-9099-C40C66FF867C}">
                  <a14:compatExt spid="_x0000_s8230"/>
                </a:ext>
                <a:ext uri="{FF2B5EF4-FFF2-40B4-BE49-F238E27FC236}">
                  <a16:creationId xmlns:a16="http://schemas.microsoft.com/office/drawing/2014/main" id="{00000000-0008-0000-0100-00002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30</xdr:row>
          <xdr:rowOff>419100</xdr:rowOff>
        </xdr:from>
        <xdr:to>
          <xdr:col>6</xdr:col>
          <xdr:colOff>9525</xdr:colOff>
          <xdr:row>32</xdr:row>
          <xdr:rowOff>0</xdr:rowOff>
        </xdr:to>
        <xdr:sp macro="" textlink="">
          <xdr:nvSpPr>
            <xdr:cNvPr id="8231" name="ComboBox36" hidden="1">
              <a:extLst>
                <a:ext uri="{63B3BB69-23CF-44E3-9099-C40C66FF867C}">
                  <a14:compatExt spid="_x0000_s8231"/>
                </a:ext>
                <a:ext uri="{FF2B5EF4-FFF2-40B4-BE49-F238E27FC236}">
                  <a16:creationId xmlns:a16="http://schemas.microsoft.com/office/drawing/2014/main" id="{00000000-0008-0000-0100-00002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31</xdr:row>
          <xdr:rowOff>419100</xdr:rowOff>
        </xdr:from>
        <xdr:to>
          <xdr:col>6</xdr:col>
          <xdr:colOff>9525</xdr:colOff>
          <xdr:row>33</xdr:row>
          <xdr:rowOff>0</xdr:rowOff>
        </xdr:to>
        <xdr:sp macro="" textlink="">
          <xdr:nvSpPr>
            <xdr:cNvPr id="8232" name="ComboBox37" hidden="1">
              <a:extLst>
                <a:ext uri="{63B3BB69-23CF-44E3-9099-C40C66FF867C}">
                  <a14:compatExt spid="_x0000_s8232"/>
                </a:ext>
                <a:ext uri="{FF2B5EF4-FFF2-40B4-BE49-F238E27FC236}">
                  <a16:creationId xmlns:a16="http://schemas.microsoft.com/office/drawing/2014/main" id="{00000000-0008-0000-0100-00002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32</xdr:row>
          <xdr:rowOff>419100</xdr:rowOff>
        </xdr:from>
        <xdr:to>
          <xdr:col>6</xdr:col>
          <xdr:colOff>9525</xdr:colOff>
          <xdr:row>34</xdr:row>
          <xdr:rowOff>9525</xdr:rowOff>
        </xdr:to>
        <xdr:sp macro="" textlink="">
          <xdr:nvSpPr>
            <xdr:cNvPr id="8233" name="ComboBox38" hidden="1">
              <a:extLst>
                <a:ext uri="{63B3BB69-23CF-44E3-9099-C40C66FF867C}">
                  <a14:compatExt spid="_x0000_s8233"/>
                </a:ext>
                <a:ext uri="{FF2B5EF4-FFF2-40B4-BE49-F238E27FC236}">
                  <a16:creationId xmlns:a16="http://schemas.microsoft.com/office/drawing/2014/main" id="{00000000-0008-0000-0100-00002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33</xdr:row>
          <xdr:rowOff>428625</xdr:rowOff>
        </xdr:from>
        <xdr:to>
          <xdr:col>6</xdr:col>
          <xdr:colOff>9525</xdr:colOff>
          <xdr:row>34</xdr:row>
          <xdr:rowOff>428625</xdr:rowOff>
        </xdr:to>
        <xdr:sp macro="" textlink="">
          <xdr:nvSpPr>
            <xdr:cNvPr id="8234" name="ComboBox39" hidden="1">
              <a:extLst>
                <a:ext uri="{63B3BB69-23CF-44E3-9099-C40C66FF867C}">
                  <a14:compatExt spid="_x0000_s8234"/>
                </a:ext>
                <a:ext uri="{FF2B5EF4-FFF2-40B4-BE49-F238E27FC236}">
                  <a16:creationId xmlns:a16="http://schemas.microsoft.com/office/drawing/2014/main" id="{00000000-0008-0000-0100-00002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34</xdr:row>
          <xdr:rowOff>428625</xdr:rowOff>
        </xdr:from>
        <xdr:to>
          <xdr:col>6</xdr:col>
          <xdr:colOff>9525</xdr:colOff>
          <xdr:row>36</xdr:row>
          <xdr:rowOff>19050</xdr:rowOff>
        </xdr:to>
        <xdr:sp macro="" textlink="">
          <xdr:nvSpPr>
            <xdr:cNvPr id="8236" name="ComboBox41" hidden="1">
              <a:extLst>
                <a:ext uri="{63B3BB69-23CF-44E3-9099-C40C66FF867C}">
                  <a14:compatExt spid="_x0000_s8236"/>
                </a:ext>
                <a:ext uri="{FF2B5EF4-FFF2-40B4-BE49-F238E27FC236}">
                  <a16:creationId xmlns:a16="http://schemas.microsoft.com/office/drawing/2014/main" id="{00000000-0008-0000-0100-00002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35</xdr:row>
          <xdr:rowOff>419100</xdr:rowOff>
        </xdr:from>
        <xdr:to>
          <xdr:col>6</xdr:col>
          <xdr:colOff>9525</xdr:colOff>
          <xdr:row>37</xdr:row>
          <xdr:rowOff>9525</xdr:rowOff>
        </xdr:to>
        <xdr:sp macro="" textlink="">
          <xdr:nvSpPr>
            <xdr:cNvPr id="8237" name="ComboBox42" hidden="1">
              <a:extLst>
                <a:ext uri="{63B3BB69-23CF-44E3-9099-C40C66FF867C}">
                  <a14:compatExt spid="_x0000_s8237"/>
                </a:ext>
                <a:ext uri="{FF2B5EF4-FFF2-40B4-BE49-F238E27FC236}">
                  <a16:creationId xmlns:a16="http://schemas.microsoft.com/office/drawing/2014/main" id="{00000000-0008-0000-0100-00002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36</xdr:row>
          <xdr:rowOff>419100</xdr:rowOff>
        </xdr:from>
        <xdr:to>
          <xdr:col>6</xdr:col>
          <xdr:colOff>9525</xdr:colOff>
          <xdr:row>38</xdr:row>
          <xdr:rowOff>9525</xdr:rowOff>
        </xdr:to>
        <xdr:sp macro="" textlink="">
          <xdr:nvSpPr>
            <xdr:cNvPr id="8238" name="ComboBox43" hidden="1">
              <a:extLst>
                <a:ext uri="{63B3BB69-23CF-44E3-9099-C40C66FF867C}">
                  <a14:compatExt spid="_x0000_s8238"/>
                </a:ext>
                <a:ext uri="{FF2B5EF4-FFF2-40B4-BE49-F238E27FC236}">
                  <a16:creationId xmlns:a16="http://schemas.microsoft.com/office/drawing/2014/main" id="{00000000-0008-0000-0100-00002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37</xdr:row>
          <xdr:rowOff>419100</xdr:rowOff>
        </xdr:from>
        <xdr:to>
          <xdr:col>6</xdr:col>
          <xdr:colOff>9525</xdr:colOff>
          <xdr:row>39</xdr:row>
          <xdr:rowOff>9525</xdr:rowOff>
        </xdr:to>
        <xdr:sp macro="" textlink="">
          <xdr:nvSpPr>
            <xdr:cNvPr id="8239" name="ComboBox44" hidden="1">
              <a:extLst>
                <a:ext uri="{63B3BB69-23CF-44E3-9099-C40C66FF867C}">
                  <a14:compatExt spid="_x0000_s8239"/>
                </a:ext>
                <a:ext uri="{FF2B5EF4-FFF2-40B4-BE49-F238E27FC236}">
                  <a16:creationId xmlns:a16="http://schemas.microsoft.com/office/drawing/2014/main" id="{00000000-0008-0000-0100-00002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38</xdr:row>
          <xdr:rowOff>419100</xdr:rowOff>
        </xdr:from>
        <xdr:to>
          <xdr:col>6</xdr:col>
          <xdr:colOff>9525</xdr:colOff>
          <xdr:row>40</xdr:row>
          <xdr:rowOff>9525</xdr:rowOff>
        </xdr:to>
        <xdr:sp macro="" textlink="">
          <xdr:nvSpPr>
            <xdr:cNvPr id="8240" name="ComboBox45" hidden="1">
              <a:extLst>
                <a:ext uri="{63B3BB69-23CF-44E3-9099-C40C66FF867C}">
                  <a14:compatExt spid="_x0000_s8240"/>
                </a:ext>
                <a:ext uri="{FF2B5EF4-FFF2-40B4-BE49-F238E27FC236}">
                  <a16:creationId xmlns:a16="http://schemas.microsoft.com/office/drawing/2014/main" id="{00000000-0008-0000-0100-00003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40</xdr:row>
          <xdr:rowOff>0</xdr:rowOff>
        </xdr:from>
        <xdr:to>
          <xdr:col>6</xdr:col>
          <xdr:colOff>9525</xdr:colOff>
          <xdr:row>41</xdr:row>
          <xdr:rowOff>0</xdr:rowOff>
        </xdr:to>
        <xdr:sp macro="" textlink="">
          <xdr:nvSpPr>
            <xdr:cNvPr id="8241" name="ComboBox46" hidden="1">
              <a:extLst>
                <a:ext uri="{63B3BB69-23CF-44E3-9099-C40C66FF867C}">
                  <a14:compatExt spid="_x0000_s8241"/>
                </a:ext>
                <a:ext uri="{FF2B5EF4-FFF2-40B4-BE49-F238E27FC236}">
                  <a16:creationId xmlns:a16="http://schemas.microsoft.com/office/drawing/2014/main" id="{00000000-0008-0000-0100-00003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40</xdr:row>
          <xdr:rowOff>419100</xdr:rowOff>
        </xdr:from>
        <xdr:to>
          <xdr:col>6</xdr:col>
          <xdr:colOff>9525</xdr:colOff>
          <xdr:row>42</xdr:row>
          <xdr:rowOff>9525</xdr:rowOff>
        </xdr:to>
        <xdr:sp macro="" textlink="">
          <xdr:nvSpPr>
            <xdr:cNvPr id="8243" name="ComboBox48" hidden="1">
              <a:extLst>
                <a:ext uri="{63B3BB69-23CF-44E3-9099-C40C66FF867C}">
                  <a14:compatExt spid="_x0000_s8243"/>
                </a:ext>
                <a:ext uri="{FF2B5EF4-FFF2-40B4-BE49-F238E27FC236}">
                  <a16:creationId xmlns:a16="http://schemas.microsoft.com/office/drawing/2014/main" id="{00000000-0008-0000-0100-00003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41</xdr:row>
          <xdr:rowOff>428625</xdr:rowOff>
        </xdr:from>
        <xdr:to>
          <xdr:col>6</xdr:col>
          <xdr:colOff>9525</xdr:colOff>
          <xdr:row>43</xdr:row>
          <xdr:rowOff>9525</xdr:rowOff>
        </xdr:to>
        <xdr:sp macro="" textlink="">
          <xdr:nvSpPr>
            <xdr:cNvPr id="8244" name="ComboBox49" hidden="1">
              <a:extLst>
                <a:ext uri="{63B3BB69-23CF-44E3-9099-C40C66FF867C}">
                  <a14:compatExt spid="_x0000_s8244"/>
                </a:ext>
                <a:ext uri="{FF2B5EF4-FFF2-40B4-BE49-F238E27FC236}">
                  <a16:creationId xmlns:a16="http://schemas.microsoft.com/office/drawing/2014/main" id="{00000000-0008-0000-0100-00003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42</xdr:row>
          <xdr:rowOff>428625</xdr:rowOff>
        </xdr:from>
        <xdr:to>
          <xdr:col>6</xdr:col>
          <xdr:colOff>9525</xdr:colOff>
          <xdr:row>44</xdr:row>
          <xdr:rowOff>9525</xdr:rowOff>
        </xdr:to>
        <xdr:sp macro="" textlink="">
          <xdr:nvSpPr>
            <xdr:cNvPr id="8245" name="ComboBox50" hidden="1">
              <a:extLst>
                <a:ext uri="{63B3BB69-23CF-44E3-9099-C40C66FF867C}">
                  <a14:compatExt spid="_x0000_s8245"/>
                </a:ext>
                <a:ext uri="{FF2B5EF4-FFF2-40B4-BE49-F238E27FC236}">
                  <a16:creationId xmlns:a16="http://schemas.microsoft.com/office/drawing/2014/main" id="{00000000-0008-0000-0100-00003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44</xdr:row>
          <xdr:rowOff>0</xdr:rowOff>
        </xdr:from>
        <xdr:to>
          <xdr:col>6</xdr:col>
          <xdr:colOff>9525</xdr:colOff>
          <xdr:row>45</xdr:row>
          <xdr:rowOff>28575</xdr:rowOff>
        </xdr:to>
        <xdr:sp macro="" textlink="">
          <xdr:nvSpPr>
            <xdr:cNvPr id="8246" name="ComboBox51" hidden="1">
              <a:extLst>
                <a:ext uri="{63B3BB69-23CF-44E3-9099-C40C66FF867C}">
                  <a14:compatExt spid="_x0000_s8246"/>
                </a:ext>
                <a:ext uri="{FF2B5EF4-FFF2-40B4-BE49-F238E27FC236}">
                  <a16:creationId xmlns:a16="http://schemas.microsoft.com/office/drawing/2014/main" id="{00000000-0008-0000-0100-00003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45</xdr:row>
          <xdr:rowOff>0</xdr:rowOff>
        </xdr:from>
        <xdr:to>
          <xdr:col>6</xdr:col>
          <xdr:colOff>9525</xdr:colOff>
          <xdr:row>46</xdr:row>
          <xdr:rowOff>19050</xdr:rowOff>
        </xdr:to>
        <xdr:sp macro="" textlink="">
          <xdr:nvSpPr>
            <xdr:cNvPr id="8247" name="ComboBox52" hidden="1">
              <a:extLst>
                <a:ext uri="{63B3BB69-23CF-44E3-9099-C40C66FF867C}">
                  <a14:compatExt spid="_x0000_s8247"/>
                </a:ext>
                <a:ext uri="{FF2B5EF4-FFF2-40B4-BE49-F238E27FC236}">
                  <a16:creationId xmlns:a16="http://schemas.microsoft.com/office/drawing/2014/main" id="{00000000-0008-0000-0100-00003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46</xdr:row>
          <xdr:rowOff>0</xdr:rowOff>
        </xdr:from>
        <xdr:to>
          <xdr:col>6</xdr:col>
          <xdr:colOff>9525</xdr:colOff>
          <xdr:row>47</xdr:row>
          <xdr:rowOff>19050</xdr:rowOff>
        </xdr:to>
        <xdr:sp macro="" textlink="">
          <xdr:nvSpPr>
            <xdr:cNvPr id="8248" name="ComboBox53" hidden="1">
              <a:extLst>
                <a:ext uri="{63B3BB69-23CF-44E3-9099-C40C66FF867C}">
                  <a14:compatExt spid="_x0000_s8248"/>
                </a:ext>
                <a:ext uri="{FF2B5EF4-FFF2-40B4-BE49-F238E27FC236}">
                  <a16:creationId xmlns:a16="http://schemas.microsoft.com/office/drawing/2014/main" id="{00000000-0008-0000-0100-00003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46</xdr:row>
          <xdr:rowOff>428625</xdr:rowOff>
        </xdr:from>
        <xdr:to>
          <xdr:col>6</xdr:col>
          <xdr:colOff>9525</xdr:colOff>
          <xdr:row>48</xdr:row>
          <xdr:rowOff>9525</xdr:rowOff>
        </xdr:to>
        <xdr:sp macro="" textlink="">
          <xdr:nvSpPr>
            <xdr:cNvPr id="8249" name="ComboBox54" hidden="1">
              <a:extLst>
                <a:ext uri="{63B3BB69-23CF-44E3-9099-C40C66FF867C}">
                  <a14:compatExt spid="_x0000_s8249"/>
                </a:ext>
                <a:ext uri="{FF2B5EF4-FFF2-40B4-BE49-F238E27FC236}">
                  <a16:creationId xmlns:a16="http://schemas.microsoft.com/office/drawing/2014/main" id="{00000000-0008-0000-0100-00003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47</xdr:row>
          <xdr:rowOff>428625</xdr:rowOff>
        </xdr:from>
        <xdr:to>
          <xdr:col>6</xdr:col>
          <xdr:colOff>9525</xdr:colOff>
          <xdr:row>49</xdr:row>
          <xdr:rowOff>9525</xdr:rowOff>
        </xdr:to>
        <xdr:sp macro="" textlink="">
          <xdr:nvSpPr>
            <xdr:cNvPr id="8250" name="ComboBox55" hidden="1">
              <a:extLst>
                <a:ext uri="{63B3BB69-23CF-44E3-9099-C40C66FF867C}">
                  <a14:compatExt spid="_x0000_s8250"/>
                </a:ext>
                <a:ext uri="{FF2B5EF4-FFF2-40B4-BE49-F238E27FC236}">
                  <a16:creationId xmlns:a16="http://schemas.microsoft.com/office/drawing/2014/main" id="{00000000-0008-0000-0100-00003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49</xdr:row>
          <xdr:rowOff>0</xdr:rowOff>
        </xdr:from>
        <xdr:to>
          <xdr:col>6</xdr:col>
          <xdr:colOff>9525</xdr:colOff>
          <xdr:row>50</xdr:row>
          <xdr:rowOff>19050</xdr:rowOff>
        </xdr:to>
        <xdr:sp macro="" textlink="">
          <xdr:nvSpPr>
            <xdr:cNvPr id="8251" name="ComboBox56" hidden="1">
              <a:extLst>
                <a:ext uri="{63B3BB69-23CF-44E3-9099-C40C66FF867C}">
                  <a14:compatExt spid="_x0000_s8251"/>
                </a:ext>
                <a:ext uri="{FF2B5EF4-FFF2-40B4-BE49-F238E27FC236}">
                  <a16:creationId xmlns:a16="http://schemas.microsoft.com/office/drawing/2014/main" id="{00000000-0008-0000-0100-00003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50</xdr:row>
          <xdr:rowOff>0</xdr:rowOff>
        </xdr:from>
        <xdr:to>
          <xdr:col>6</xdr:col>
          <xdr:colOff>9525</xdr:colOff>
          <xdr:row>51</xdr:row>
          <xdr:rowOff>19050</xdr:rowOff>
        </xdr:to>
        <xdr:sp macro="" textlink="">
          <xdr:nvSpPr>
            <xdr:cNvPr id="8252" name="ComboBox57" hidden="1">
              <a:extLst>
                <a:ext uri="{63B3BB69-23CF-44E3-9099-C40C66FF867C}">
                  <a14:compatExt spid="_x0000_s8252"/>
                </a:ext>
                <a:ext uri="{FF2B5EF4-FFF2-40B4-BE49-F238E27FC236}">
                  <a16:creationId xmlns:a16="http://schemas.microsoft.com/office/drawing/2014/main" id="{00000000-0008-0000-0100-00003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50</xdr:row>
          <xdr:rowOff>419100</xdr:rowOff>
        </xdr:from>
        <xdr:to>
          <xdr:col>6</xdr:col>
          <xdr:colOff>9525</xdr:colOff>
          <xdr:row>52</xdr:row>
          <xdr:rowOff>0</xdr:rowOff>
        </xdr:to>
        <xdr:sp macro="" textlink="">
          <xdr:nvSpPr>
            <xdr:cNvPr id="8253" name="ComboBox58" hidden="1">
              <a:extLst>
                <a:ext uri="{63B3BB69-23CF-44E3-9099-C40C66FF867C}">
                  <a14:compatExt spid="_x0000_s8253"/>
                </a:ext>
                <a:ext uri="{FF2B5EF4-FFF2-40B4-BE49-F238E27FC236}">
                  <a16:creationId xmlns:a16="http://schemas.microsoft.com/office/drawing/2014/main" id="{00000000-0008-0000-0100-00003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52</xdr:row>
          <xdr:rowOff>9525</xdr:rowOff>
        </xdr:from>
        <xdr:to>
          <xdr:col>6</xdr:col>
          <xdr:colOff>9525</xdr:colOff>
          <xdr:row>53</xdr:row>
          <xdr:rowOff>28575</xdr:rowOff>
        </xdr:to>
        <xdr:sp macro="" textlink="">
          <xdr:nvSpPr>
            <xdr:cNvPr id="8254" name="ComboBox59" hidden="1">
              <a:extLst>
                <a:ext uri="{63B3BB69-23CF-44E3-9099-C40C66FF867C}">
                  <a14:compatExt spid="_x0000_s8254"/>
                </a:ext>
                <a:ext uri="{FF2B5EF4-FFF2-40B4-BE49-F238E27FC236}">
                  <a16:creationId xmlns:a16="http://schemas.microsoft.com/office/drawing/2014/main" id="{00000000-0008-0000-0100-00003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52</xdr:row>
          <xdr:rowOff>428625</xdr:rowOff>
        </xdr:from>
        <xdr:to>
          <xdr:col>6</xdr:col>
          <xdr:colOff>9525</xdr:colOff>
          <xdr:row>54</xdr:row>
          <xdr:rowOff>28575</xdr:rowOff>
        </xdr:to>
        <xdr:sp macro="" textlink="">
          <xdr:nvSpPr>
            <xdr:cNvPr id="8255" name="ComboBox60" hidden="1">
              <a:extLst>
                <a:ext uri="{63B3BB69-23CF-44E3-9099-C40C66FF867C}">
                  <a14:compatExt spid="_x0000_s8255"/>
                </a:ext>
                <a:ext uri="{FF2B5EF4-FFF2-40B4-BE49-F238E27FC236}">
                  <a16:creationId xmlns:a16="http://schemas.microsoft.com/office/drawing/2014/main" id="{00000000-0008-0000-0100-00003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53</xdr:row>
          <xdr:rowOff>428625</xdr:rowOff>
        </xdr:from>
        <xdr:to>
          <xdr:col>6</xdr:col>
          <xdr:colOff>9525</xdr:colOff>
          <xdr:row>55</xdr:row>
          <xdr:rowOff>19050</xdr:rowOff>
        </xdr:to>
        <xdr:sp macro="" textlink="">
          <xdr:nvSpPr>
            <xdr:cNvPr id="8256" name="ComboBox61" hidden="1">
              <a:extLst>
                <a:ext uri="{63B3BB69-23CF-44E3-9099-C40C66FF867C}">
                  <a14:compatExt spid="_x0000_s8256"/>
                </a:ext>
                <a:ext uri="{FF2B5EF4-FFF2-40B4-BE49-F238E27FC236}">
                  <a16:creationId xmlns:a16="http://schemas.microsoft.com/office/drawing/2014/main" id="{00000000-0008-0000-0100-00004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54</xdr:row>
          <xdr:rowOff>428625</xdr:rowOff>
        </xdr:from>
        <xdr:to>
          <xdr:col>6</xdr:col>
          <xdr:colOff>9525</xdr:colOff>
          <xdr:row>56</xdr:row>
          <xdr:rowOff>19050</xdr:rowOff>
        </xdr:to>
        <xdr:sp macro="" textlink="">
          <xdr:nvSpPr>
            <xdr:cNvPr id="8257" name="ComboBox62" hidden="1">
              <a:extLst>
                <a:ext uri="{63B3BB69-23CF-44E3-9099-C40C66FF867C}">
                  <a14:compatExt spid="_x0000_s8257"/>
                </a:ext>
                <a:ext uri="{FF2B5EF4-FFF2-40B4-BE49-F238E27FC236}">
                  <a16:creationId xmlns:a16="http://schemas.microsoft.com/office/drawing/2014/main" id="{00000000-0008-0000-0100-00004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55</xdr:row>
          <xdr:rowOff>419100</xdr:rowOff>
        </xdr:from>
        <xdr:to>
          <xdr:col>6</xdr:col>
          <xdr:colOff>9525</xdr:colOff>
          <xdr:row>57</xdr:row>
          <xdr:rowOff>9525</xdr:rowOff>
        </xdr:to>
        <xdr:sp macro="" textlink="">
          <xdr:nvSpPr>
            <xdr:cNvPr id="8258" name="ComboBox63" hidden="1">
              <a:extLst>
                <a:ext uri="{63B3BB69-23CF-44E3-9099-C40C66FF867C}">
                  <a14:compatExt spid="_x0000_s8258"/>
                </a:ext>
                <a:ext uri="{FF2B5EF4-FFF2-40B4-BE49-F238E27FC236}">
                  <a16:creationId xmlns:a16="http://schemas.microsoft.com/office/drawing/2014/main" id="{00000000-0008-0000-0100-00004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56</xdr:row>
          <xdr:rowOff>419100</xdr:rowOff>
        </xdr:from>
        <xdr:to>
          <xdr:col>6</xdr:col>
          <xdr:colOff>9525</xdr:colOff>
          <xdr:row>58</xdr:row>
          <xdr:rowOff>9525</xdr:rowOff>
        </xdr:to>
        <xdr:sp macro="" textlink="">
          <xdr:nvSpPr>
            <xdr:cNvPr id="8259" name="ComboBox64" hidden="1">
              <a:extLst>
                <a:ext uri="{63B3BB69-23CF-44E3-9099-C40C66FF867C}">
                  <a14:compatExt spid="_x0000_s8259"/>
                </a:ext>
                <a:ext uri="{FF2B5EF4-FFF2-40B4-BE49-F238E27FC236}">
                  <a16:creationId xmlns:a16="http://schemas.microsoft.com/office/drawing/2014/main" id="{00000000-0008-0000-0100-00004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57</xdr:row>
          <xdr:rowOff>419100</xdr:rowOff>
        </xdr:from>
        <xdr:to>
          <xdr:col>6</xdr:col>
          <xdr:colOff>9525</xdr:colOff>
          <xdr:row>59</xdr:row>
          <xdr:rowOff>9525</xdr:rowOff>
        </xdr:to>
        <xdr:sp macro="" textlink="">
          <xdr:nvSpPr>
            <xdr:cNvPr id="8260" name="ComboBox65" hidden="1">
              <a:extLst>
                <a:ext uri="{63B3BB69-23CF-44E3-9099-C40C66FF867C}">
                  <a14:compatExt spid="_x0000_s8260"/>
                </a:ext>
                <a:ext uri="{FF2B5EF4-FFF2-40B4-BE49-F238E27FC236}">
                  <a16:creationId xmlns:a16="http://schemas.microsoft.com/office/drawing/2014/main" id="{00000000-0008-0000-0100-00004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58</xdr:row>
          <xdr:rowOff>419100</xdr:rowOff>
        </xdr:from>
        <xdr:to>
          <xdr:col>6</xdr:col>
          <xdr:colOff>9525</xdr:colOff>
          <xdr:row>60</xdr:row>
          <xdr:rowOff>9525</xdr:rowOff>
        </xdr:to>
        <xdr:sp macro="" textlink="">
          <xdr:nvSpPr>
            <xdr:cNvPr id="8261" name="ComboBox66" hidden="1">
              <a:extLst>
                <a:ext uri="{63B3BB69-23CF-44E3-9099-C40C66FF867C}">
                  <a14:compatExt spid="_x0000_s8261"/>
                </a:ext>
                <a:ext uri="{FF2B5EF4-FFF2-40B4-BE49-F238E27FC236}">
                  <a16:creationId xmlns:a16="http://schemas.microsoft.com/office/drawing/2014/main" id="{00000000-0008-0000-0100-00004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59</xdr:row>
          <xdr:rowOff>419100</xdr:rowOff>
        </xdr:from>
        <xdr:to>
          <xdr:col>6</xdr:col>
          <xdr:colOff>9525</xdr:colOff>
          <xdr:row>61</xdr:row>
          <xdr:rowOff>9525</xdr:rowOff>
        </xdr:to>
        <xdr:sp macro="" textlink="">
          <xdr:nvSpPr>
            <xdr:cNvPr id="8262" name="ComboBox67" hidden="1">
              <a:extLst>
                <a:ext uri="{63B3BB69-23CF-44E3-9099-C40C66FF867C}">
                  <a14:compatExt spid="_x0000_s8262"/>
                </a:ext>
                <a:ext uri="{FF2B5EF4-FFF2-40B4-BE49-F238E27FC236}">
                  <a16:creationId xmlns:a16="http://schemas.microsoft.com/office/drawing/2014/main" id="{00000000-0008-0000-0100-00004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60</xdr:row>
          <xdr:rowOff>419100</xdr:rowOff>
        </xdr:from>
        <xdr:to>
          <xdr:col>6</xdr:col>
          <xdr:colOff>9525</xdr:colOff>
          <xdr:row>62</xdr:row>
          <xdr:rowOff>9525</xdr:rowOff>
        </xdr:to>
        <xdr:sp macro="" textlink="">
          <xdr:nvSpPr>
            <xdr:cNvPr id="8263" name="ComboBox68" hidden="1">
              <a:extLst>
                <a:ext uri="{63B3BB69-23CF-44E3-9099-C40C66FF867C}">
                  <a14:compatExt spid="_x0000_s8263"/>
                </a:ext>
                <a:ext uri="{FF2B5EF4-FFF2-40B4-BE49-F238E27FC236}">
                  <a16:creationId xmlns:a16="http://schemas.microsoft.com/office/drawing/2014/main" id="{00000000-0008-0000-0100-00004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61</xdr:row>
          <xdr:rowOff>419100</xdr:rowOff>
        </xdr:from>
        <xdr:to>
          <xdr:col>6</xdr:col>
          <xdr:colOff>9525</xdr:colOff>
          <xdr:row>63</xdr:row>
          <xdr:rowOff>19050</xdr:rowOff>
        </xdr:to>
        <xdr:sp macro="" textlink="">
          <xdr:nvSpPr>
            <xdr:cNvPr id="8264" name="ComboBox69"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62</xdr:row>
          <xdr:rowOff>419100</xdr:rowOff>
        </xdr:from>
        <xdr:to>
          <xdr:col>6</xdr:col>
          <xdr:colOff>9525</xdr:colOff>
          <xdr:row>64</xdr:row>
          <xdr:rowOff>9525</xdr:rowOff>
        </xdr:to>
        <xdr:sp macro="" textlink="">
          <xdr:nvSpPr>
            <xdr:cNvPr id="8265" name="ComboBox70" hidden="1">
              <a:extLst>
                <a:ext uri="{63B3BB69-23CF-44E3-9099-C40C66FF867C}">
                  <a14:compatExt spid="_x0000_s8265"/>
                </a:ext>
                <a:ext uri="{FF2B5EF4-FFF2-40B4-BE49-F238E27FC236}">
                  <a16:creationId xmlns:a16="http://schemas.microsoft.com/office/drawing/2014/main" id="{00000000-0008-0000-0100-00004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63</xdr:row>
          <xdr:rowOff>419100</xdr:rowOff>
        </xdr:from>
        <xdr:to>
          <xdr:col>6</xdr:col>
          <xdr:colOff>9525</xdr:colOff>
          <xdr:row>65</xdr:row>
          <xdr:rowOff>9525</xdr:rowOff>
        </xdr:to>
        <xdr:sp macro="" textlink="">
          <xdr:nvSpPr>
            <xdr:cNvPr id="8266" name="ComboBox71" hidden="1">
              <a:extLst>
                <a:ext uri="{63B3BB69-23CF-44E3-9099-C40C66FF867C}">
                  <a14:compatExt spid="_x0000_s8266"/>
                </a:ext>
                <a:ext uri="{FF2B5EF4-FFF2-40B4-BE49-F238E27FC236}">
                  <a16:creationId xmlns:a16="http://schemas.microsoft.com/office/drawing/2014/main" id="{00000000-0008-0000-0100-00004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64</xdr:row>
          <xdr:rowOff>409575</xdr:rowOff>
        </xdr:from>
        <xdr:to>
          <xdr:col>6</xdr:col>
          <xdr:colOff>9525</xdr:colOff>
          <xdr:row>65</xdr:row>
          <xdr:rowOff>428625</xdr:rowOff>
        </xdr:to>
        <xdr:sp macro="" textlink="">
          <xdr:nvSpPr>
            <xdr:cNvPr id="8267" name="ComboBox72" hidden="1">
              <a:extLst>
                <a:ext uri="{63B3BB69-23CF-44E3-9099-C40C66FF867C}">
                  <a14:compatExt spid="_x0000_s8267"/>
                </a:ext>
                <a:ext uri="{FF2B5EF4-FFF2-40B4-BE49-F238E27FC236}">
                  <a16:creationId xmlns:a16="http://schemas.microsoft.com/office/drawing/2014/main" id="{00000000-0008-0000-0100-00004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65</xdr:row>
          <xdr:rowOff>428625</xdr:rowOff>
        </xdr:from>
        <xdr:to>
          <xdr:col>6</xdr:col>
          <xdr:colOff>9525</xdr:colOff>
          <xdr:row>67</xdr:row>
          <xdr:rowOff>9525</xdr:rowOff>
        </xdr:to>
        <xdr:sp macro="" textlink="">
          <xdr:nvSpPr>
            <xdr:cNvPr id="8268" name="ComboBox73" hidden="1">
              <a:extLst>
                <a:ext uri="{63B3BB69-23CF-44E3-9099-C40C66FF867C}">
                  <a14:compatExt spid="_x0000_s8268"/>
                </a:ext>
                <a:ext uri="{FF2B5EF4-FFF2-40B4-BE49-F238E27FC236}">
                  <a16:creationId xmlns:a16="http://schemas.microsoft.com/office/drawing/2014/main" id="{00000000-0008-0000-0100-00004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66</xdr:row>
          <xdr:rowOff>428625</xdr:rowOff>
        </xdr:from>
        <xdr:to>
          <xdr:col>6</xdr:col>
          <xdr:colOff>9525</xdr:colOff>
          <xdr:row>68</xdr:row>
          <xdr:rowOff>9525</xdr:rowOff>
        </xdr:to>
        <xdr:sp macro="" textlink="">
          <xdr:nvSpPr>
            <xdr:cNvPr id="8269" name="ComboBox74" hidden="1">
              <a:extLst>
                <a:ext uri="{63B3BB69-23CF-44E3-9099-C40C66FF867C}">
                  <a14:compatExt spid="_x0000_s8269"/>
                </a:ext>
                <a:ext uri="{FF2B5EF4-FFF2-40B4-BE49-F238E27FC236}">
                  <a16:creationId xmlns:a16="http://schemas.microsoft.com/office/drawing/2014/main" id="{00000000-0008-0000-0100-00004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67</xdr:row>
          <xdr:rowOff>428625</xdr:rowOff>
        </xdr:from>
        <xdr:to>
          <xdr:col>6</xdr:col>
          <xdr:colOff>9525</xdr:colOff>
          <xdr:row>69</xdr:row>
          <xdr:rowOff>9525</xdr:rowOff>
        </xdr:to>
        <xdr:sp macro="" textlink="">
          <xdr:nvSpPr>
            <xdr:cNvPr id="8270" name="ComboBox75" hidden="1">
              <a:extLst>
                <a:ext uri="{63B3BB69-23CF-44E3-9099-C40C66FF867C}">
                  <a14:compatExt spid="_x0000_s8270"/>
                </a:ext>
                <a:ext uri="{FF2B5EF4-FFF2-40B4-BE49-F238E27FC236}">
                  <a16:creationId xmlns:a16="http://schemas.microsoft.com/office/drawing/2014/main" id="{00000000-0008-0000-0100-00004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69</xdr:row>
          <xdr:rowOff>0</xdr:rowOff>
        </xdr:from>
        <xdr:to>
          <xdr:col>6</xdr:col>
          <xdr:colOff>9525</xdr:colOff>
          <xdr:row>70</xdr:row>
          <xdr:rowOff>19050</xdr:rowOff>
        </xdr:to>
        <xdr:sp macro="" textlink="">
          <xdr:nvSpPr>
            <xdr:cNvPr id="8271" name="ComboBox76" hidden="1">
              <a:extLst>
                <a:ext uri="{63B3BB69-23CF-44E3-9099-C40C66FF867C}">
                  <a14:compatExt spid="_x0000_s8271"/>
                </a:ext>
                <a:ext uri="{FF2B5EF4-FFF2-40B4-BE49-F238E27FC236}">
                  <a16:creationId xmlns:a16="http://schemas.microsoft.com/office/drawing/2014/main" id="{00000000-0008-0000-0100-00004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69</xdr:row>
          <xdr:rowOff>428625</xdr:rowOff>
        </xdr:from>
        <xdr:to>
          <xdr:col>6</xdr:col>
          <xdr:colOff>9525</xdr:colOff>
          <xdr:row>71</xdr:row>
          <xdr:rowOff>9525</xdr:rowOff>
        </xdr:to>
        <xdr:sp macro="" textlink="">
          <xdr:nvSpPr>
            <xdr:cNvPr id="8272" name="ComboBox77" hidden="1">
              <a:extLst>
                <a:ext uri="{63B3BB69-23CF-44E3-9099-C40C66FF867C}">
                  <a14:compatExt spid="_x0000_s8272"/>
                </a:ext>
                <a:ext uri="{FF2B5EF4-FFF2-40B4-BE49-F238E27FC236}">
                  <a16:creationId xmlns:a16="http://schemas.microsoft.com/office/drawing/2014/main" id="{00000000-0008-0000-0100-00005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71</xdr:row>
          <xdr:rowOff>0</xdr:rowOff>
        </xdr:from>
        <xdr:to>
          <xdr:col>6</xdr:col>
          <xdr:colOff>9525</xdr:colOff>
          <xdr:row>72</xdr:row>
          <xdr:rowOff>28575</xdr:rowOff>
        </xdr:to>
        <xdr:sp macro="" textlink="">
          <xdr:nvSpPr>
            <xdr:cNvPr id="8273" name="ComboBox78" hidden="1">
              <a:extLst>
                <a:ext uri="{63B3BB69-23CF-44E3-9099-C40C66FF867C}">
                  <a14:compatExt spid="_x0000_s8273"/>
                </a:ext>
                <a:ext uri="{FF2B5EF4-FFF2-40B4-BE49-F238E27FC236}">
                  <a16:creationId xmlns:a16="http://schemas.microsoft.com/office/drawing/2014/main" id="{00000000-0008-0000-0100-00005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75</xdr:row>
          <xdr:rowOff>0</xdr:rowOff>
        </xdr:from>
        <xdr:to>
          <xdr:col>6</xdr:col>
          <xdr:colOff>9525</xdr:colOff>
          <xdr:row>76</xdr:row>
          <xdr:rowOff>19050</xdr:rowOff>
        </xdr:to>
        <xdr:sp macro="" textlink="">
          <xdr:nvSpPr>
            <xdr:cNvPr id="8275" name="ComboBox80" hidden="1">
              <a:extLst>
                <a:ext uri="{63B3BB69-23CF-44E3-9099-C40C66FF867C}">
                  <a14:compatExt spid="_x0000_s8275"/>
                </a:ext>
                <a:ext uri="{FF2B5EF4-FFF2-40B4-BE49-F238E27FC236}">
                  <a16:creationId xmlns:a16="http://schemas.microsoft.com/office/drawing/2014/main" id="{00000000-0008-0000-0100-00005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76</xdr:row>
          <xdr:rowOff>0</xdr:rowOff>
        </xdr:from>
        <xdr:to>
          <xdr:col>6</xdr:col>
          <xdr:colOff>9525</xdr:colOff>
          <xdr:row>77</xdr:row>
          <xdr:rowOff>19050</xdr:rowOff>
        </xdr:to>
        <xdr:sp macro="" textlink="">
          <xdr:nvSpPr>
            <xdr:cNvPr id="8276" name="ComboBox81" hidden="1">
              <a:extLst>
                <a:ext uri="{63B3BB69-23CF-44E3-9099-C40C66FF867C}">
                  <a14:compatExt spid="_x0000_s8276"/>
                </a:ext>
                <a:ext uri="{FF2B5EF4-FFF2-40B4-BE49-F238E27FC236}">
                  <a16:creationId xmlns:a16="http://schemas.microsoft.com/office/drawing/2014/main" id="{00000000-0008-0000-0100-00005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77</xdr:row>
          <xdr:rowOff>0</xdr:rowOff>
        </xdr:from>
        <xdr:to>
          <xdr:col>6</xdr:col>
          <xdr:colOff>9525</xdr:colOff>
          <xdr:row>78</xdr:row>
          <xdr:rowOff>19050</xdr:rowOff>
        </xdr:to>
        <xdr:sp macro="" textlink="">
          <xdr:nvSpPr>
            <xdr:cNvPr id="8277" name="ComboBox82" hidden="1">
              <a:extLst>
                <a:ext uri="{63B3BB69-23CF-44E3-9099-C40C66FF867C}">
                  <a14:compatExt spid="_x0000_s8277"/>
                </a:ext>
                <a:ext uri="{FF2B5EF4-FFF2-40B4-BE49-F238E27FC236}">
                  <a16:creationId xmlns:a16="http://schemas.microsoft.com/office/drawing/2014/main" id="{00000000-0008-0000-0100-00005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77</xdr:row>
          <xdr:rowOff>428625</xdr:rowOff>
        </xdr:from>
        <xdr:to>
          <xdr:col>6</xdr:col>
          <xdr:colOff>9525</xdr:colOff>
          <xdr:row>79</xdr:row>
          <xdr:rowOff>19050</xdr:rowOff>
        </xdr:to>
        <xdr:sp macro="" textlink="">
          <xdr:nvSpPr>
            <xdr:cNvPr id="8278" name="ComboBox83" hidden="1">
              <a:extLst>
                <a:ext uri="{63B3BB69-23CF-44E3-9099-C40C66FF867C}">
                  <a14:compatExt spid="_x0000_s8278"/>
                </a:ext>
                <a:ext uri="{FF2B5EF4-FFF2-40B4-BE49-F238E27FC236}">
                  <a16:creationId xmlns:a16="http://schemas.microsoft.com/office/drawing/2014/main" id="{00000000-0008-0000-0100-00005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79</xdr:row>
          <xdr:rowOff>0</xdr:rowOff>
        </xdr:from>
        <xdr:to>
          <xdr:col>6</xdr:col>
          <xdr:colOff>9525</xdr:colOff>
          <xdr:row>80</xdr:row>
          <xdr:rowOff>19050</xdr:rowOff>
        </xdr:to>
        <xdr:sp macro="" textlink="">
          <xdr:nvSpPr>
            <xdr:cNvPr id="8279" name="ComboBox84" hidden="1">
              <a:extLst>
                <a:ext uri="{63B3BB69-23CF-44E3-9099-C40C66FF867C}">
                  <a14:compatExt spid="_x0000_s8279"/>
                </a:ext>
                <a:ext uri="{FF2B5EF4-FFF2-40B4-BE49-F238E27FC236}">
                  <a16:creationId xmlns:a16="http://schemas.microsoft.com/office/drawing/2014/main" id="{00000000-0008-0000-0100-00005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80</xdr:row>
          <xdr:rowOff>0</xdr:rowOff>
        </xdr:from>
        <xdr:to>
          <xdr:col>6</xdr:col>
          <xdr:colOff>9525</xdr:colOff>
          <xdr:row>81</xdr:row>
          <xdr:rowOff>38100</xdr:rowOff>
        </xdr:to>
        <xdr:sp macro="" textlink="">
          <xdr:nvSpPr>
            <xdr:cNvPr id="8280" name="ComboBox85" hidden="1">
              <a:extLst>
                <a:ext uri="{63B3BB69-23CF-44E3-9099-C40C66FF867C}">
                  <a14:compatExt spid="_x0000_s8280"/>
                </a:ext>
                <a:ext uri="{FF2B5EF4-FFF2-40B4-BE49-F238E27FC236}">
                  <a16:creationId xmlns:a16="http://schemas.microsoft.com/office/drawing/2014/main" id="{00000000-0008-0000-0100-00005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80</xdr:row>
          <xdr:rowOff>419100</xdr:rowOff>
        </xdr:from>
        <xdr:to>
          <xdr:col>6</xdr:col>
          <xdr:colOff>9525</xdr:colOff>
          <xdr:row>82</xdr:row>
          <xdr:rowOff>9525</xdr:rowOff>
        </xdr:to>
        <xdr:sp macro="" textlink="">
          <xdr:nvSpPr>
            <xdr:cNvPr id="8281" name="ComboBox86" hidden="1">
              <a:extLst>
                <a:ext uri="{63B3BB69-23CF-44E3-9099-C40C66FF867C}">
                  <a14:compatExt spid="_x0000_s8281"/>
                </a:ext>
                <a:ext uri="{FF2B5EF4-FFF2-40B4-BE49-F238E27FC236}">
                  <a16:creationId xmlns:a16="http://schemas.microsoft.com/office/drawing/2014/main" id="{00000000-0008-0000-0100-00005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81</xdr:row>
          <xdr:rowOff>428625</xdr:rowOff>
        </xdr:from>
        <xdr:to>
          <xdr:col>6</xdr:col>
          <xdr:colOff>9525</xdr:colOff>
          <xdr:row>83</xdr:row>
          <xdr:rowOff>19050</xdr:rowOff>
        </xdr:to>
        <xdr:sp macro="" textlink="">
          <xdr:nvSpPr>
            <xdr:cNvPr id="8282" name="ComboBox87" hidden="1">
              <a:extLst>
                <a:ext uri="{63B3BB69-23CF-44E3-9099-C40C66FF867C}">
                  <a14:compatExt spid="_x0000_s8282"/>
                </a:ext>
                <a:ext uri="{FF2B5EF4-FFF2-40B4-BE49-F238E27FC236}">
                  <a16:creationId xmlns:a16="http://schemas.microsoft.com/office/drawing/2014/main" id="{00000000-0008-0000-0100-00005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82</xdr:row>
          <xdr:rowOff>428625</xdr:rowOff>
        </xdr:from>
        <xdr:to>
          <xdr:col>6</xdr:col>
          <xdr:colOff>9525</xdr:colOff>
          <xdr:row>84</xdr:row>
          <xdr:rowOff>9525</xdr:rowOff>
        </xdr:to>
        <xdr:sp macro="" textlink="">
          <xdr:nvSpPr>
            <xdr:cNvPr id="8283" name="ComboBox88" hidden="1">
              <a:extLst>
                <a:ext uri="{63B3BB69-23CF-44E3-9099-C40C66FF867C}">
                  <a14:compatExt spid="_x0000_s8283"/>
                </a:ext>
                <a:ext uri="{FF2B5EF4-FFF2-40B4-BE49-F238E27FC236}">
                  <a16:creationId xmlns:a16="http://schemas.microsoft.com/office/drawing/2014/main" id="{00000000-0008-0000-0100-00005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84</xdr:row>
          <xdr:rowOff>9525</xdr:rowOff>
        </xdr:from>
        <xdr:to>
          <xdr:col>6</xdr:col>
          <xdr:colOff>9525</xdr:colOff>
          <xdr:row>85</xdr:row>
          <xdr:rowOff>28575</xdr:rowOff>
        </xdr:to>
        <xdr:sp macro="" textlink="">
          <xdr:nvSpPr>
            <xdr:cNvPr id="8284" name="ComboBox89" hidden="1">
              <a:extLst>
                <a:ext uri="{63B3BB69-23CF-44E3-9099-C40C66FF867C}">
                  <a14:compatExt spid="_x0000_s8284"/>
                </a:ext>
                <a:ext uri="{FF2B5EF4-FFF2-40B4-BE49-F238E27FC236}">
                  <a16:creationId xmlns:a16="http://schemas.microsoft.com/office/drawing/2014/main" id="{00000000-0008-0000-0100-00005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84</xdr:row>
          <xdr:rowOff>419100</xdr:rowOff>
        </xdr:from>
        <xdr:to>
          <xdr:col>6</xdr:col>
          <xdr:colOff>9525</xdr:colOff>
          <xdr:row>86</xdr:row>
          <xdr:rowOff>9525</xdr:rowOff>
        </xdr:to>
        <xdr:sp macro="" textlink="">
          <xdr:nvSpPr>
            <xdr:cNvPr id="8285" name="ComboBox90" hidden="1">
              <a:extLst>
                <a:ext uri="{63B3BB69-23CF-44E3-9099-C40C66FF867C}">
                  <a14:compatExt spid="_x0000_s8285"/>
                </a:ext>
                <a:ext uri="{FF2B5EF4-FFF2-40B4-BE49-F238E27FC236}">
                  <a16:creationId xmlns:a16="http://schemas.microsoft.com/office/drawing/2014/main" id="{00000000-0008-0000-0100-00005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86</xdr:row>
          <xdr:rowOff>9525</xdr:rowOff>
        </xdr:from>
        <xdr:to>
          <xdr:col>6</xdr:col>
          <xdr:colOff>9525</xdr:colOff>
          <xdr:row>87</xdr:row>
          <xdr:rowOff>28575</xdr:rowOff>
        </xdr:to>
        <xdr:sp macro="" textlink="">
          <xdr:nvSpPr>
            <xdr:cNvPr id="8286" name="ComboBox91" hidden="1">
              <a:extLst>
                <a:ext uri="{63B3BB69-23CF-44E3-9099-C40C66FF867C}">
                  <a14:compatExt spid="_x0000_s8286"/>
                </a:ext>
                <a:ext uri="{FF2B5EF4-FFF2-40B4-BE49-F238E27FC236}">
                  <a16:creationId xmlns:a16="http://schemas.microsoft.com/office/drawing/2014/main" id="{00000000-0008-0000-0100-00005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98</xdr:row>
          <xdr:rowOff>419100</xdr:rowOff>
        </xdr:from>
        <xdr:to>
          <xdr:col>6</xdr:col>
          <xdr:colOff>9525</xdr:colOff>
          <xdr:row>100</xdr:row>
          <xdr:rowOff>0</xdr:rowOff>
        </xdr:to>
        <xdr:sp macro="" textlink="">
          <xdr:nvSpPr>
            <xdr:cNvPr id="8310" name="ComboBox115" hidden="1">
              <a:extLst>
                <a:ext uri="{63B3BB69-23CF-44E3-9099-C40C66FF867C}">
                  <a14:compatExt spid="_x0000_s8310"/>
                </a:ext>
                <a:ext uri="{FF2B5EF4-FFF2-40B4-BE49-F238E27FC236}">
                  <a16:creationId xmlns:a16="http://schemas.microsoft.com/office/drawing/2014/main" id="{00000000-0008-0000-0100-00007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4905375</xdr:colOff>
          <xdr:row>1</xdr:row>
          <xdr:rowOff>104775</xdr:rowOff>
        </xdr:from>
        <xdr:to>
          <xdr:col>5</xdr:col>
          <xdr:colOff>342900</xdr:colOff>
          <xdr:row>1</xdr:row>
          <xdr:rowOff>514350</xdr:rowOff>
        </xdr:to>
        <xdr:sp macro="" textlink="">
          <xdr:nvSpPr>
            <xdr:cNvPr id="8311" name="Button 119" hidden="1">
              <a:extLst>
                <a:ext uri="{63B3BB69-23CF-44E3-9099-C40C66FF867C}">
                  <a14:compatExt spid="_x0000_s8311"/>
                </a:ext>
                <a:ext uri="{FF2B5EF4-FFF2-40B4-BE49-F238E27FC236}">
                  <a16:creationId xmlns:a16="http://schemas.microsoft.com/office/drawing/2014/main" id="{00000000-0008-0000-0100-000077200000}"/>
                </a:ext>
              </a:extLst>
            </xdr:cNvPr>
            <xdr:cNvSpPr/>
          </xdr:nvSpPr>
          <xdr:spPr bwMode="auto">
            <a:xfrm>
              <a:off x="0" y="0"/>
              <a:ext cx="0" cy="0"/>
            </a:xfrm>
            <a:prstGeom prst="rect">
              <a:avLst/>
            </a:prstGeom>
            <a:noFill/>
            <a:ln w="9525">
              <a:miter lim="800000"/>
              <a:headEnd/>
              <a:tailEnd/>
            </a:ln>
          </xdr:spPr>
          <xdr:txBody>
            <a:bodyPr vertOverflow="clip" wrap="square" lIns="73152" tIns="41148" rIns="73152" bIns="41148" anchor="ctr" upright="1"/>
            <a:lstStyle/>
            <a:p>
              <a:pPr algn="ctr" rtl="0">
                <a:defRPr sz="1000"/>
              </a:pPr>
              <a:r>
                <a:rPr lang="ja-JP" altLang="en-US" sz="2000" b="1" i="0" u="none" strike="noStrike" baseline="0">
                  <a:solidFill>
                    <a:srgbClr val="0000FF"/>
                  </a:solidFill>
                  <a:latin typeface="ＭＳ Ｐゴシック"/>
                  <a:ea typeface="ＭＳ Ｐゴシック"/>
                </a:rPr>
                <a:t>④確認及び印刷</a:t>
              </a:r>
              <a:r>
                <a:rPr lang="ja-JP" altLang="en-US" sz="2000" b="1" i="0" u="none" strike="noStrike" baseline="0">
                  <a:solidFill>
                    <a:srgbClr val="FF0000"/>
                  </a:solidFill>
                  <a:latin typeface="ＭＳ Ｐゴシック"/>
                  <a:ea typeface="ＭＳ Ｐゴシック"/>
                </a:rPr>
                <a:t>(必ず押す事)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1952625</xdr:colOff>
          <xdr:row>0</xdr:row>
          <xdr:rowOff>0</xdr:rowOff>
        </xdr:from>
        <xdr:to>
          <xdr:col>4</xdr:col>
          <xdr:colOff>3657600</xdr:colOff>
          <xdr:row>1</xdr:row>
          <xdr:rowOff>19050</xdr:rowOff>
        </xdr:to>
        <xdr:sp macro="" textlink="">
          <xdr:nvSpPr>
            <xdr:cNvPr id="8314" name="ComboBox116" hidden="1">
              <a:extLst>
                <a:ext uri="{63B3BB69-23CF-44E3-9099-C40C66FF867C}">
                  <a14:compatExt spid="_x0000_s8314"/>
                </a:ext>
                <a:ext uri="{FF2B5EF4-FFF2-40B4-BE49-F238E27FC236}">
                  <a16:creationId xmlns:a16="http://schemas.microsoft.com/office/drawing/2014/main" id="{00000000-0008-0000-0100-00007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99</xdr:row>
          <xdr:rowOff>419100</xdr:rowOff>
        </xdr:from>
        <xdr:to>
          <xdr:col>6</xdr:col>
          <xdr:colOff>9525</xdr:colOff>
          <xdr:row>101</xdr:row>
          <xdr:rowOff>9525</xdr:rowOff>
        </xdr:to>
        <xdr:sp macro="" textlink="">
          <xdr:nvSpPr>
            <xdr:cNvPr id="8209" name="ComboBox14" hidden="1">
              <a:extLst>
                <a:ext uri="{63B3BB69-23CF-44E3-9099-C40C66FF867C}">
                  <a14:compatExt spid="_x0000_s8209"/>
                </a:ext>
                <a:ext uri="{FF2B5EF4-FFF2-40B4-BE49-F238E27FC236}">
                  <a16:creationId xmlns:a16="http://schemas.microsoft.com/office/drawing/2014/main" id="{00000000-0008-0000-01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105</xdr:row>
          <xdr:rowOff>409575</xdr:rowOff>
        </xdr:from>
        <xdr:to>
          <xdr:col>6</xdr:col>
          <xdr:colOff>9525</xdr:colOff>
          <xdr:row>106</xdr:row>
          <xdr:rowOff>409575</xdr:rowOff>
        </xdr:to>
        <xdr:sp macro="" textlink="">
          <xdr:nvSpPr>
            <xdr:cNvPr id="8328" name="ComboBox98" hidden="1">
              <a:extLst>
                <a:ext uri="{63B3BB69-23CF-44E3-9099-C40C66FF867C}">
                  <a14:compatExt spid="_x0000_s8328"/>
                </a:ext>
                <a:ext uri="{FF2B5EF4-FFF2-40B4-BE49-F238E27FC236}">
                  <a16:creationId xmlns:a16="http://schemas.microsoft.com/office/drawing/2014/main" id="{00000000-0008-0000-0100-00008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106</xdr:row>
          <xdr:rowOff>419100</xdr:rowOff>
        </xdr:from>
        <xdr:to>
          <xdr:col>6</xdr:col>
          <xdr:colOff>9525</xdr:colOff>
          <xdr:row>107</xdr:row>
          <xdr:rowOff>428625</xdr:rowOff>
        </xdr:to>
        <xdr:sp macro="" textlink="">
          <xdr:nvSpPr>
            <xdr:cNvPr id="8331" name="ComboBox99" hidden="1">
              <a:extLst>
                <a:ext uri="{63B3BB69-23CF-44E3-9099-C40C66FF867C}">
                  <a14:compatExt spid="_x0000_s8331"/>
                </a:ext>
                <a:ext uri="{FF2B5EF4-FFF2-40B4-BE49-F238E27FC236}">
                  <a16:creationId xmlns:a16="http://schemas.microsoft.com/office/drawing/2014/main" id="{00000000-0008-0000-0100-00008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107</xdr:row>
          <xdr:rowOff>409575</xdr:rowOff>
        </xdr:from>
        <xdr:to>
          <xdr:col>6</xdr:col>
          <xdr:colOff>9525</xdr:colOff>
          <xdr:row>108</xdr:row>
          <xdr:rowOff>409575</xdr:rowOff>
        </xdr:to>
        <xdr:sp macro="" textlink="">
          <xdr:nvSpPr>
            <xdr:cNvPr id="8332" name="ComboBox100" hidden="1">
              <a:extLst>
                <a:ext uri="{63B3BB69-23CF-44E3-9099-C40C66FF867C}">
                  <a14:compatExt spid="_x0000_s8332"/>
                </a:ext>
                <a:ext uri="{FF2B5EF4-FFF2-40B4-BE49-F238E27FC236}">
                  <a16:creationId xmlns:a16="http://schemas.microsoft.com/office/drawing/2014/main" id="{00000000-0008-0000-0100-00008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108</xdr:row>
          <xdr:rowOff>428625</xdr:rowOff>
        </xdr:from>
        <xdr:to>
          <xdr:col>6</xdr:col>
          <xdr:colOff>9525</xdr:colOff>
          <xdr:row>110</xdr:row>
          <xdr:rowOff>0</xdr:rowOff>
        </xdr:to>
        <xdr:sp macro="" textlink="">
          <xdr:nvSpPr>
            <xdr:cNvPr id="8333" name="ComboBox101" hidden="1">
              <a:extLst>
                <a:ext uri="{63B3BB69-23CF-44E3-9099-C40C66FF867C}">
                  <a14:compatExt spid="_x0000_s8333"/>
                </a:ext>
                <a:ext uri="{FF2B5EF4-FFF2-40B4-BE49-F238E27FC236}">
                  <a16:creationId xmlns:a16="http://schemas.microsoft.com/office/drawing/2014/main" id="{00000000-0008-0000-0100-00008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110</xdr:row>
          <xdr:rowOff>0</xdr:rowOff>
        </xdr:from>
        <xdr:to>
          <xdr:col>6</xdr:col>
          <xdr:colOff>9525</xdr:colOff>
          <xdr:row>111</xdr:row>
          <xdr:rowOff>0</xdr:rowOff>
        </xdr:to>
        <xdr:sp macro="" textlink="">
          <xdr:nvSpPr>
            <xdr:cNvPr id="8334" name="ComboBox102" hidden="1">
              <a:extLst>
                <a:ext uri="{63B3BB69-23CF-44E3-9099-C40C66FF867C}">
                  <a14:compatExt spid="_x0000_s8334"/>
                </a:ext>
                <a:ext uri="{FF2B5EF4-FFF2-40B4-BE49-F238E27FC236}">
                  <a16:creationId xmlns:a16="http://schemas.microsoft.com/office/drawing/2014/main" id="{00000000-0008-0000-0100-00008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110</xdr:row>
          <xdr:rowOff>428625</xdr:rowOff>
        </xdr:from>
        <xdr:to>
          <xdr:col>6</xdr:col>
          <xdr:colOff>9525</xdr:colOff>
          <xdr:row>112</xdr:row>
          <xdr:rowOff>0</xdr:rowOff>
        </xdr:to>
        <xdr:sp macro="" textlink="">
          <xdr:nvSpPr>
            <xdr:cNvPr id="8335" name="ComboBox103" hidden="1">
              <a:extLst>
                <a:ext uri="{63B3BB69-23CF-44E3-9099-C40C66FF867C}">
                  <a14:compatExt spid="_x0000_s8335"/>
                </a:ext>
                <a:ext uri="{FF2B5EF4-FFF2-40B4-BE49-F238E27FC236}">
                  <a16:creationId xmlns:a16="http://schemas.microsoft.com/office/drawing/2014/main" id="{00000000-0008-0000-0100-00008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112</xdr:row>
          <xdr:rowOff>9525</xdr:rowOff>
        </xdr:from>
        <xdr:to>
          <xdr:col>6</xdr:col>
          <xdr:colOff>9525</xdr:colOff>
          <xdr:row>113</xdr:row>
          <xdr:rowOff>9525</xdr:rowOff>
        </xdr:to>
        <xdr:sp macro="" textlink="">
          <xdr:nvSpPr>
            <xdr:cNvPr id="8336" name="ComboBox104" hidden="1">
              <a:extLst>
                <a:ext uri="{63B3BB69-23CF-44E3-9099-C40C66FF867C}">
                  <a14:compatExt spid="_x0000_s8336"/>
                </a:ext>
                <a:ext uri="{FF2B5EF4-FFF2-40B4-BE49-F238E27FC236}">
                  <a16:creationId xmlns:a16="http://schemas.microsoft.com/office/drawing/2014/main" id="{00000000-0008-0000-0100-00009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112</xdr:row>
          <xdr:rowOff>428625</xdr:rowOff>
        </xdr:from>
        <xdr:to>
          <xdr:col>6</xdr:col>
          <xdr:colOff>9525</xdr:colOff>
          <xdr:row>114</xdr:row>
          <xdr:rowOff>9525</xdr:rowOff>
        </xdr:to>
        <xdr:sp macro="" textlink="">
          <xdr:nvSpPr>
            <xdr:cNvPr id="8337" name="ComboBox105" hidden="1">
              <a:extLst>
                <a:ext uri="{63B3BB69-23CF-44E3-9099-C40C66FF867C}">
                  <a14:compatExt spid="_x0000_s8337"/>
                </a:ext>
                <a:ext uri="{FF2B5EF4-FFF2-40B4-BE49-F238E27FC236}">
                  <a16:creationId xmlns:a16="http://schemas.microsoft.com/office/drawing/2014/main" id="{00000000-0008-0000-0100-00009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113</xdr:row>
          <xdr:rowOff>419100</xdr:rowOff>
        </xdr:from>
        <xdr:to>
          <xdr:col>6</xdr:col>
          <xdr:colOff>9525</xdr:colOff>
          <xdr:row>114</xdr:row>
          <xdr:rowOff>419100</xdr:rowOff>
        </xdr:to>
        <xdr:sp macro="" textlink="">
          <xdr:nvSpPr>
            <xdr:cNvPr id="8338" name="ComboBox106" hidden="1">
              <a:extLst>
                <a:ext uri="{63B3BB69-23CF-44E3-9099-C40C66FF867C}">
                  <a14:compatExt spid="_x0000_s8338"/>
                </a:ext>
                <a:ext uri="{FF2B5EF4-FFF2-40B4-BE49-F238E27FC236}">
                  <a16:creationId xmlns:a16="http://schemas.microsoft.com/office/drawing/2014/main" id="{00000000-0008-0000-0100-00009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114</xdr:row>
          <xdr:rowOff>419100</xdr:rowOff>
        </xdr:from>
        <xdr:to>
          <xdr:col>6</xdr:col>
          <xdr:colOff>9525</xdr:colOff>
          <xdr:row>115</xdr:row>
          <xdr:rowOff>428625</xdr:rowOff>
        </xdr:to>
        <xdr:sp macro="" textlink="">
          <xdr:nvSpPr>
            <xdr:cNvPr id="8339" name="ComboBox107" hidden="1">
              <a:extLst>
                <a:ext uri="{63B3BB69-23CF-44E3-9099-C40C66FF867C}">
                  <a14:compatExt spid="_x0000_s8339"/>
                </a:ext>
                <a:ext uri="{FF2B5EF4-FFF2-40B4-BE49-F238E27FC236}">
                  <a16:creationId xmlns:a16="http://schemas.microsoft.com/office/drawing/2014/main" id="{00000000-0008-0000-0100-00009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115</xdr:row>
          <xdr:rowOff>419100</xdr:rowOff>
        </xdr:from>
        <xdr:to>
          <xdr:col>6</xdr:col>
          <xdr:colOff>9525</xdr:colOff>
          <xdr:row>116</xdr:row>
          <xdr:rowOff>428625</xdr:rowOff>
        </xdr:to>
        <xdr:sp macro="" textlink="">
          <xdr:nvSpPr>
            <xdr:cNvPr id="8340" name="ComboBox108" hidden="1">
              <a:extLst>
                <a:ext uri="{63B3BB69-23CF-44E3-9099-C40C66FF867C}">
                  <a14:compatExt spid="_x0000_s8340"/>
                </a:ext>
                <a:ext uri="{FF2B5EF4-FFF2-40B4-BE49-F238E27FC236}">
                  <a16:creationId xmlns:a16="http://schemas.microsoft.com/office/drawing/2014/main" id="{00000000-0008-0000-0100-00009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104</xdr:row>
          <xdr:rowOff>409575</xdr:rowOff>
        </xdr:from>
        <xdr:to>
          <xdr:col>7</xdr:col>
          <xdr:colOff>28575</xdr:colOff>
          <xdr:row>105</xdr:row>
          <xdr:rowOff>409575</xdr:rowOff>
        </xdr:to>
        <xdr:sp macro="" textlink="">
          <xdr:nvSpPr>
            <xdr:cNvPr id="8354" name="ComboBox119" hidden="1">
              <a:extLst>
                <a:ext uri="{63B3BB69-23CF-44E3-9099-C40C66FF867C}">
                  <a14:compatExt spid="_x0000_s8354"/>
                </a:ext>
                <a:ext uri="{FF2B5EF4-FFF2-40B4-BE49-F238E27FC236}">
                  <a16:creationId xmlns:a16="http://schemas.microsoft.com/office/drawing/2014/main" id="{00000000-0008-0000-0100-0000A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105</xdr:row>
          <xdr:rowOff>409575</xdr:rowOff>
        </xdr:from>
        <xdr:to>
          <xdr:col>7</xdr:col>
          <xdr:colOff>28575</xdr:colOff>
          <xdr:row>106</xdr:row>
          <xdr:rowOff>419100</xdr:rowOff>
        </xdr:to>
        <xdr:sp macro="" textlink="">
          <xdr:nvSpPr>
            <xdr:cNvPr id="8355" name="ComboBox120" hidden="1">
              <a:extLst>
                <a:ext uri="{63B3BB69-23CF-44E3-9099-C40C66FF867C}">
                  <a14:compatExt spid="_x0000_s8355"/>
                </a:ext>
                <a:ext uri="{FF2B5EF4-FFF2-40B4-BE49-F238E27FC236}">
                  <a16:creationId xmlns:a16="http://schemas.microsoft.com/office/drawing/2014/main" id="{00000000-0008-0000-0100-0000A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106</xdr:row>
          <xdr:rowOff>419100</xdr:rowOff>
        </xdr:from>
        <xdr:to>
          <xdr:col>7</xdr:col>
          <xdr:colOff>28575</xdr:colOff>
          <xdr:row>107</xdr:row>
          <xdr:rowOff>428625</xdr:rowOff>
        </xdr:to>
        <xdr:sp macro="" textlink="">
          <xdr:nvSpPr>
            <xdr:cNvPr id="8356" name="ComboBox121" hidden="1">
              <a:extLst>
                <a:ext uri="{63B3BB69-23CF-44E3-9099-C40C66FF867C}">
                  <a14:compatExt spid="_x0000_s8356"/>
                </a:ext>
                <a:ext uri="{FF2B5EF4-FFF2-40B4-BE49-F238E27FC236}">
                  <a16:creationId xmlns:a16="http://schemas.microsoft.com/office/drawing/2014/main" id="{00000000-0008-0000-0100-0000A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107</xdr:row>
          <xdr:rowOff>409575</xdr:rowOff>
        </xdr:from>
        <xdr:to>
          <xdr:col>7</xdr:col>
          <xdr:colOff>28575</xdr:colOff>
          <xdr:row>108</xdr:row>
          <xdr:rowOff>409575</xdr:rowOff>
        </xdr:to>
        <xdr:sp macro="" textlink="">
          <xdr:nvSpPr>
            <xdr:cNvPr id="8357" name="ComboBox122" hidden="1">
              <a:extLst>
                <a:ext uri="{63B3BB69-23CF-44E3-9099-C40C66FF867C}">
                  <a14:compatExt spid="_x0000_s8357"/>
                </a:ext>
                <a:ext uri="{FF2B5EF4-FFF2-40B4-BE49-F238E27FC236}">
                  <a16:creationId xmlns:a16="http://schemas.microsoft.com/office/drawing/2014/main" id="{00000000-0008-0000-0100-0000A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108</xdr:row>
          <xdr:rowOff>409575</xdr:rowOff>
        </xdr:from>
        <xdr:to>
          <xdr:col>7</xdr:col>
          <xdr:colOff>28575</xdr:colOff>
          <xdr:row>109</xdr:row>
          <xdr:rowOff>419100</xdr:rowOff>
        </xdr:to>
        <xdr:sp macro="" textlink="">
          <xdr:nvSpPr>
            <xdr:cNvPr id="8358" name="ComboBox123" hidden="1">
              <a:extLst>
                <a:ext uri="{63B3BB69-23CF-44E3-9099-C40C66FF867C}">
                  <a14:compatExt spid="_x0000_s8358"/>
                </a:ext>
                <a:ext uri="{FF2B5EF4-FFF2-40B4-BE49-F238E27FC236}">
                  <a16:creationId xmlns:a16="http://schemas.microsoft.com/office/drawing/2014/main" id="{00000000-0008-0000-0100-0000A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110</xdr:row>
          <xdr:rowOff>0</xdr:rowOff>
        </xdr:from>
        <xdr:to>
          <xdr:col>7</xdr:col>
          <xdr:colOff>28575</xdr:colOff>
          <xdr:row>111</xdr:row>
          <xdr:rowOff>0</xdr:rowOff>
        </xdr:to>
        <xdr:sp macro="" textlink="">
          <xdr:nvSpPr>
            <xdr:cNvPr id="8359" name="ComboBox124" hidden="1">
              <a:extLst>
                <a:ext uri="{63B3BB69-23CF-44E3-9099-C40C66FF867C}">
                  <a14:compatExt spid="_x0000_s8359"/>
                </a:ext>
                <a:ext uri="{FF2B5EF4-FFF2-40B4-BE49-F238E27FC236}">
                  <a16:creationId xmlns:a16="http://schemas.microsoft.com/office/drawing/2014/main" id="{00000000-0008-0000-0100-0000A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110</xdr:row>
          <xdr:rowOff>428625</xdr:rowOff>
        </xdr:from>
        <xdr:to>
          <xdr:col>7</xdr:col>
          <xdr:colOff>28575</xdr:colOff>
          <xdr:row>112</xdr:row>
          <xdr:rowOff>0</xdr:rowOff>
        </xdr:to>
        <xdr:sp macro="" textlink="">
          <xdr:nvSpPr>
            <xdr:cNvPr id="8360" name="ComboBox125" hidden="1">
              <a:extLst>
                <a:ext uri="{63B3BB69-23CF-44E3-9099-C40C66FF867C}">
                  <a14:compatExt spid="_x0000_s8360"/>
                </a:ext>
                <a:ext uri="{FF2B5EF4-FFF2-40B4-BE49-F238E27FC236}">
                  <a16:creationId xmlns:a16="http://schemas.microsoft.com/office/drawing/2014/main" id="{00000000-0008-0000-0100-0000A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112</xdr:row>
          <xdr:rowOff>9525</xdr:rowOff>
        </xdr:from>
        <xdr:to>
          <xdr:col>7</xdr:col>
          <xdr:colOff>28575</xdr:colOff>
          <xdr:row>113</xdr:row>
          <xdr:rowOff>9525</xdr:rowOff>
        </xdr:to>
        <xdr:sp macro="" textlink="">
          <xdr:nvSpPr>
            <xdr:cNvPr id="8361" name="ComboBox126" hidden="1">
              <a:extLst>
                <a:ext uri="{63B3BB69-23CF-44E3-9099-C40C66FF867C}">
                  <a14:compatExt spid="_x0000_s8361"/>
                </a:ext>
                <a:ext uri="{FF2B5EF4-FFF2-40B4-BE49-F238E27FC236}">
                  <a16:creationId xmlns:a16="http://schemas.microsoft.com/office/drawing/2014/main" id="{00000000-0008-0000-0100-0000A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112</xdr:row>
          <xdr:rowOff>428625</xdr:rowOff>
        </xdr:from>
        <xdr:to>
          <xdr:col>7</xdr:col>
          <xdr:colOff>28575</xdr:colOff>
          <xdr:row>114</xdr:row>
          <xdr:rowOff>9525</xdr:rowOff>
        </xdr:to>
        <xdr:sp macro="" textlink="">
          <xdr:nvSpPr>
            <xdr:cNvPr id="8362" name="ComboBox127" hidden="1">
              <a:extLst>
                <a:ext uri="{63B3BB69-23CF-44E3-9099-C40C66FF867C}">
                  <a14:compatExt spid="_x0000_s8362"/>
                </a:ext>
                <a:ext uri="{FF2B5EF4-FFF2-40B4-BE49-F238E27FC236}">
                  <a16:creationId xmlns:a16="http://schemas.microsoft.com/office/drawing/2014/main" id="{00000000-0008-0000-0100-0000A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113</xdr:row>
          <xdr:rowOff>419100</xdr:rowOff>
        </xdr:from>
        <xdr:to>
          <xdr:col>7</xdr:col>
          <xdr:colOff>28575</xdr:colOff>
          <xdr:row>114</xdr:row>
          <xdr:rowOff>419100</xdr:rowOff>
        </xdr:to>
        <xdr:sp macro="" textlink="">
          <xdr:nvSpPr>
            <xdr:cNvPr id="8363" name="ComboBox128" hidden="1">
              <a:extLst>
                <a:ext uri="{63B3BB69-23CF-44E3-9099-C40C66FF867C}">
                  <a14:compatExt spid="_x0000_s8363"/>
                </a:ext>
                <a:ext uri="{FF2B5EF4-FFF2-40B4-BE49-F238E27FC236}">
                  <a16:creationId xmlns:a16="http://schemas.microsoft.com/office/drawing/2014/main" id="{00000000-0008-0000-0100-0000A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114</xdr:row>
          <xdr:rowOff>419100</xdr:rowOff>
        </xdr:from>
        <xdr:to>
          <xdr:col>7</xdr:col>
          <xdr:colOff>28575</xdr:colOff>
          <xdr:row>115</xdr:row>
          <xdr:rowOff>428625</xdr:rowOff>
        </xdr:to>
        <xdr:sp macro="" textlink="">
          <xdr:nvSpPr>
            <xdr:cNvPr id="8364" name="ComboBox129" hidden="1">
              <a:extLst>
                <a:ext uri="{63B3BB69-23CF-44E3-9099-C40C66FF867C}">
                  <a14:compatExt spid="_x0000_s8364"/>
                </a:ext>
                <a:ext uri="{FF2B5EF4-FFF2-40B4-BE49-F238E27FC236}">
                  <a16:creationId xmlns:a16="http://schemas.microsoft.com/office/drawing/2014/main" id="{00000000-0008-0000-0100-0000A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115</xdr:row>
          <xdr:rowOff>419100</xdr:rowOff>
        </xdr:from>
        <xdr:to>
          <xdr:col>7</xdr:col>
          <xdr:colOff>28575</xdr:colOff>
          <xdr:row>116</xdr:row>
          <xdr:rowOff>419100</xdr:rowOff>
        </xdr:to>
        <xdr:sp macro="" textlink="">
          <xdr:nvSpPr>
            <xdr:cNvPr id="8365" name="ComboBox130" hidden="1">
              <a:extLst>
                <a:ext uri="{63B3BB69-23CF-44E3-9099-C40C66FF867C}">
                  <a14:compatExt spid="_x0000_s8365"/>
                </a:ext>
                <a:ext uri="{FF2B5EF4-FFF2-40B4-BE49-F238E27FC236}">
                  <a16:creationId xmlns:a16="http://schemas.microsoft.com/office/drawing/2014/main" id="{00000000-0008-0000-0100-0000A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98</xdr:row>
          <xdr:rowOff>419100</xdr:rowOff>
        </xdr:from>
        <xdr:to>
          <xdr:col>7</xdr:col>
          <xdr:colOff>28575</xdr:colOff>
          <xdr:row>99</xdr:row>
          <xdr:rowOff>419100</xdr:rowOff>
        </xdr:to>
        <xdr:sp macro="" textlink="">
          <xdr:nvSpPr>
            <xdr:cNvPr id="8366" name="ComboBox131" hidden="1">
              <a:extLst>
                <a:ext uri="{63B3BB69-23CF-44E3-9099-C40C66FF867C}">
                  <a14:compatExt spid="_x0000_s8366"/>
                </a:ext>
                <a:ext uri="{FF2B5EF4-FFF2-40B4-BE49-F238E27FC236}">
                  <a16:creationId xmlns:a16="http://schemas.microsoft.com/office/drawing/2014/main" id="{00000000-0008-0000-0100-0000A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99</xdr:row>
          <xdr:rowOff>419100</xdr:rowOff>
        </xdr:from>
        <xdr:to>
          <xdr:col>7</xdr:col>
          <xdr:colOff>28575</xdr:colOff>
          <xdr:row>100</xdr:row>
          <xdr:rowOff>428625</xdr:rowOff>
        </xdr:to>
        <xdr:sp macro="" textlink="">
          <xdr:nvSpPr>
            <xdr:cNvPr id="8367" name="ComboBox132" hidden="1">
              <a:extLst>
                <a:ext uri="{63B3BB69-23CF-44E3-9099-C40C66FF867C}">
                  <a14:compatExt spid="_x0000_s8367"/>
                </a:ext>
                <a:ext uri="{FF2B5EF4-FFF2-40B4-BE49-F238E27FC236}">
                  <a16:creationId xmlns:a16="http://schemas.microsoft.com/office/drawing/2014/main" id="{00000000-0008-0000-0100-0000A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100</xdr:row>
          <xdr:rowOff>428625</xdr:rowOff>
        </xdr:from>
        <xdr:to>
          <xdr:col>7</xdr:col>
          <xdr:colOff>28575</xdr:colOff>
          <xdr:row>101</xdr:row>
          <xdr:rowOff>428625</xdr:rowOff>
        </xdr:to>
        <xdr:sp macro="" textlink="">
          <xdr:nvSpPr>
            <xdr:cNvPr id="8368" name="ComboBox133" hidden="1">
              <a:extLst>
                <a:ext uri="{63B3BB69-23CF-44E3-9099-C40C66FF867C}">
                  <a14:compatExt spid="_x0000_s8368"/>
                </a:ext>
                <a:ext uri="{FF2B5EF4-FFF2-40B4-BE49-F238E27FC236}">
                  <a16:creationId xmlns:a16="http://schemas.microsoft.com/office/drawing/2014/main" id="{00000000-0008-0000-0100-0000B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101</xdr:row>
          <xdr:rowOff>428625</xdr:rowOff>
        </xdr:from>
        <xdr:to>
          <xdr:col>7</xdr:col>
          <xdr:colOff>28575</xdr:colOff>
          <xdr:row>103</xdr:row>
          <xdr:rowOff>9525</xdr:rowOff>
        </xdr:to>
        <xdr:sp macro="" textlink="">
          <xdr:nvSpPr>
            <xdr:cNvPr id="8369" name="ComboBox134" hidden="1">
              <a:extLst>
                <a:ext uri="{63B3BB69-23CF-44E3-9099-C40C66FF867C}">
                  <a14:compatExt spid="_x0000_s8369"/>
                </a:ext>
                <a:ext uri="{FF2B5EF4-FFF2-40B4-BE49-F238E27FC236}">
                  <a16:creationId xmlns:a16="http://schemas.microsoft.com/office/drawing/2014/main" id="{00000000-0008-0000-0100-0000B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102</xdr:row>
          <xdr:rowOff>419100</xdr:rowOff>
        </xdr:from>
        <xdr:to>
          <xdr:col>7</xdr:col>
          <xdr:colOff>28575</xdr:colOff>
          <xdr:row>103</xdr:row>
          <xdr:rowOff>419100</xdr:rowOff>
        </xdr:to>
        <xdr:sp macro="" textlink="">
          <xdr:nvSpPr>
            <xdr:cNvPr id="8370" name="ComboBox135" hidden="1">
              <a:extLst>
                <a:ext uri="{63B3BB69-23CF-44E3-9099-C40C66FF867C}">
                  <a14:compatExt spid="_x0000_s8370"/>
                </a:ext>
                <a:ext uri="{FF2B5EF4-FFF2-40B4-BE49-F238E27FC236}">
                  <a16:creationId xmlns:a16="http://schemas.microsoft.com/office/drawing/2014/main" id="{00000000-0008-0000-0100-0000B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103</xdr:row>
          <xdr:rowOff>419100</xdr:rowOff>
        </xdr:from>
        <xdr:to>
          <xdr:col>7</xdr:col>
          <xdr:colOff>28575</xdr:colOff>
          <xdr:row>104</xdr:row>
          <xdr:rowOff>428625</xdr:rowOff>
        </xdr:to>
        <xdr:sp macro="" textlink="">
          <xdr:nvSpPr>
            <xdr:cNvPr id="8371" name="ComboBox136" hidden="1">
              <a:extLst>
                <a:ext uri="{63B3BB69-23CF-44E3-9099-C40C66FF867C}">
                  <a14:compatExt spid="_x0000_s8371"/>
                </a:ext>
                <a:ext uri="{FF2B5EF4-FFF2-40B4-BE49-F238E27FC236}">
                  <a16:creationId xmlns:a16="http://schemas.microsoft.com/office/drawing/2014/main" id="{00000000-0008-0000-0100-0000B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87</xdr:row>
          <xdr:rowOff>0</xdr:rowOff>
        </xdr:from>
        <xdr:to>
          <xdr:col>6</xdr:col>
          <xdr:colOff>9525</xdr:colOff>
          <xdr:row>88</xdr:row>
          <xdr:rowOff>28575</xdr:rowOff>
        </xdr:to>
        <xdr:sp macro="" textlink="">
          <xdr:nvSpPr>
            <xdr:cNvPr id="8372" name="ComboBox137" hidden="1">
              <a:extLst>
                <a:ext uri="{63B3BB69-23CF-44E3-9099-C40C66FF867C}">
                  <a14:compatExt spid="_x0000_s8372"/>
                </a:ext>
                <a:ext uri="{FF2B5EF4-FFF2-40B4-BE49-F238E27FC236}">
                  <a16:creationId xmlns:a16="http://schemas.microsoft.com/office/drawing/2014/main" id="{00000000-0008-0000-0100-0000B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100</xdr:row>
          <xdr:rowOff>428625</xdr:rowOff>
        </xdr:from>
        <xdr:to>
          <xdr:col>6</xdr:col>
          <xdr:colOff>9525</xdr:colOff>
          <xdr:row>102</xdr:row>
          <xdr:rowOff>19050</xdr:rowOff>
        </xdr:to>
        <xdr:sp macro="" textlink="">
          <xdr:nvSpPr>
            <xdr:cNvPr id="8375" name="ComboBox139" hidden="1">
              <a:extLst>
                <a:ext uri="{63B3BB69-23CF-44E3-9099-C40C66FF867C}">
                  <a14:compatExt spid="_x0000_s8375"/>
                </a:ext>
                <a:ext uri="{FF2B5EF4-FFF2-40B4-BE49-F238E27FC236}">
                  <a16:creationId xmlns:a16="http://schemas.microsoft.com/office/drawing/2014/main" id="{00000000-0008-0000-0100-0000B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101</xdr:row>
          <xdr:rowOff>428625</xdr:rowOff>
        </xdr:from>
        <xdr:to>
          <xdr:col>6</xdr:col>
          <xdr:colOff>9525</xdr:colOff>
          <xdr:row>102</xdr:row>
          <xdr:rowOff>428625</xdr:rowOff>
        </xdr:to>
        <xdr:sp macro="" textlink="">
          <xdr:nvSpPr>
            <xdr:cNvPr id="8376" name="ComboBox140" hidden="1">
              <a:extLst>
                <a:ext uri="{63B3BB69-23CF-44E3-9099-C40C66FF867C}">
                  <a14:compatExt spid="_x0000_s8376"/>
                </a:ext>
                <a:ext uri="{FF2B5EF4-FFF2-40B4-BE49-F238E27FC236}">
                  <a16:creationId xmlns:a16="http://schemas.microsoft.com/office/drawing/2014/main" id="{00000000-0008-0000-0100-0000B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88</xdr:row>
          <xdr:rowOff>0</xdr:rowOff>
        </xdr:from>
        <xdr:to>
          <xdr:col>6</xdr:col>
          <xdr:colOff>9525</xdr:colOff>
          <xdr:row>89</xdr:row>
          <xdr:rowOff>28575</xdr:rowOff>
        </xdr:to>
        <xdr:sp macro="" textlink="">
          <xdr:nvSpPr>
            <xdr:cNvPr id="8287" name="ComboBox92" hidden="1">
              <a:extLst>
                <a:ext uri="{63B3BB69-23CF-44E3-9099-C40C66FF867C}">
                  <a14:compatExt spid="_x0000_s8287"/>
                </a:ext>
                <a:ext uri="{FF2B5EF4-FFF2-40B4-BE49-F238E27FC236}">
                  <a16:creationId xmlns:a16="http://schemas.microsoft.com/office/drawing/2014/main" id="{00000000-0008-0000-0100-00005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89</xdr:row>
          <xdr:rowOff>0</xdr:rowOff>
        </xdr:from>
        <xdr:to>
          <xdr:col>6</xdr:col>
          <xdr:colOff>9525</xdr:colOff>
          <xdr:row>90</xdr:row>
          <xdr:rowOff>28575</xdr:rowOff>
        </xdr:to>
        <xdr:sp macro="" textlink="">
          <xdr:nvSpPr>
            <xdr:cNvPr id="8288" name="ComboBox93" hidden="1">
              <a:extLst>
                <a:ext uri="{63B3BB69-23CF-44E3-9099-C40C66FF867C}">
                  <a14:compatExt spid="_x0000_s8288"/>
                </a:ext>
                <a:ext uri="{FF2B5EF4-FFF2-40B4-BE49-F238E27FC236}">
                  <a16:creationId xmlns:a16="http://schemas.microsoft.com/office/drawing/2014/main" id="{00000000-0008-0000-0100-00006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90</xdr:row>
          <xdr:rowOff>0</xdr:rowOff>
        </xdr:from>
        <xdr:to>
          <xdr:col>6</xdr:col>
          <xdr:colOff>9525</xdr:colOff>
          <xdr:row>91</xdr:row>
          <xdr:rowOff>19050</xdr:rowOff>
        </xdr:to>
        <xdr:sp macro="" textlink="">
          <xdr:nvSpPr>
            <xdr:cNvPr id="8324" name="ComboBox96" hidden="1">
              <a:extLst>
                <a:ext uri="{63B3BB69-23CF-44E3-9099-C40C66FF867C}">
                  <a14:compatExt spid="_x0000_s8324"/>
                </a:ext>
                <a:ext uri="{FF2B5EF4-FFF2-40B4-BE49-F238E27FC236}">
                  <a16:creationId xmlns:a16="http://schemas.microsoft.com/office/drawing/2014/main" id="{00000000-0008-0000-0100-00008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90</xdr:row>
          <xdr:rowOff>428625</xdr:rowOff>
        </xdr:from>
        <xdr:to>
          <xdr:col>6</xdr:col>
          <xdr:colOff>9525</xdr:colOff>
          <xdr:row>92</xdr:row>
          <xdr:rowOff>9525</xdr:rowOff>
        </xdr:to>
        <xdr:sp macro="" textlink="">
          <xdr:nvSpPr>
            <xdr:cNvPr id="8203" name="ComboBox9" hidden="1">
              <a:extLst>
                <a:ext uri="{63B3BB69-23CF-44E3-9099-C40C66FF867C}">
                  <a14:compatExt spid="_x0000_s8203"/>
                </a:ext>
                <a:ext uri="{FF2B5EF4-FFF2-40B4-BE49-F238E27FC236}">
                  <a16:creationId xmlns:a16="http://schemas.microsoft.com/office/drawing/2014/main" id="{00000000-0008-0000-01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91</xdr:row>
          <xdr:rowOff>428625</xdr:rowOff>
        </xdr:from>
        <xdr:to>
          <xdr:col>6</xdr:col>
          <xdr:colOff>9525</xdr:colOff>
          <xdr:row>93</xdr:row>
          <xdr:rowOff>9525</xdr:rowOff>
        </xdr:to>
        <xdr:sp macro="" textlink="">
          <xdr:nvSpPr>
            <xdr:cNvPr id="8204" name="ComboBox8"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93</xdr:row>
          <xdr:rowOff>0</xdr:rowOff>
        </xdr:from>
        <xdr:to>
          <xdr:col>6</xdr:col>
          <xdr:colOff>9525</xdr:colOff>
          <xdr:row>94</xdr:row>
          <xdr:rowOff>19050</xdr:rowOff>
        </xdr:to>
        <xdr:sp macro="" textlink="">
          <xdr:nvSpPr>
            <xdr:cNvPr id="8205" name="ComboBox10"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93</xdr:row>
          <xdr:rowOff>428625</xdr:rowOff>
        </xdr:from>
        <xdr:to>
          <xdr:col>6</xdr:col>
          <xdr:colOff>9525</xdr:colOff>
          <xdr:row>95</xdr:row>
          <xdr:rowOff>9525</xdr:rowOff>
        </xdr:to>
        <xdr:sp macro="" textlink="">
          <xdr:nvSpPr>
            <xdr:cNvPr id="8206" name="ComboBox11"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94</xdr:row>
          <xdr:rowOff>428625</xdr:rowOff>
        </xdr:from>
        <xdr:to>
          <xdr:col>6</xdr:col>
          <xdr:colOff>9525</xdr:colOff>
          <xdr:row>96</xdr:row>
          <xdr:rowOff>9525</xdr:rowOff>
        </xdr:to>
        <xdr:sp macro="" textlink="">
          <xdr:nvSpPr>
            <xdr:cNvPr id="8207" name="ComboBox12" hidden="1">
              <a:extLst>
                <a:ext uri="{63B3BB69-23CF-44E3-9099-C40C66FF867C}">
                  <a14:compatExt spid="_x0000_s8207"/>
                </a:ext>
                <a:ext uri="{FF2B5EF4-FFF2-40B4-BE49-F238E27FC236}">
                  <a16:creationId xmlns:a16="http://schemas.microsoft.com/office/drawing/2014/main" id="{00000000-0008-0000-01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95</xdr:row>
          <xdr:rowOff>419100</xdr:rowOff>
        </xdr:from>
        <xdr:to>
          <xdr:col>6</xdr:col>
          <xdr:colOff>9525</xdr:colOff>
          <xdr:row>97</xdr:row>
          <xdr:rowOff>0</xdr:rowOff>
        </xdr:to>
        <xdr:sp macro="" textlink="">
          <xdr:nvSpPr>
            <xdr:cNvPr id="8208" name="ComboBox13" hidden="1">
              <a:extLst>
                <a:ext uri="{63B3BB69-23CF-44E3-9099-C40C66FF867C}">
                  <a14:compatExt spid="_x0000_s8208"/>
                </a:ext>
                <a:ext uri="{FF2B5EF4-FFF2-40B4-BE49-F238E27FC236}">
                  <a16:creationId xmlns:a16="http://schemas.microsoft.com/office/drawing/2014/main" id="{00000000-0008-0000-01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96</xdr:row>
          <xdr:rowOff>419100</xdr:rowOff>
        </xdr:from>
        <xdr:to>
          <xdr:col>6</xdr:col>
          <xdr:colOff>9525</xdr:colOff>
          <xdr:row>98</xdr:row>
          <xdr:rowOff>0</xdr:rowOff>
        </xdr:to>
        <xdr:sp macro="" textlink="">
          <xdr:nvSpPr>
            <xdr:cNvPr id="8309" name="ComboBox114" hidden="1">
              <a:extLst>
                <a:ext uri="{63B3BB69-23CF-44E3-9099-C40C66FF867C}">
                  <a14:compatExt spid="_x0000_s8309"/>
                </a:ext>
                <a:ext uri="{FF2B5EF4-FFF2-40B4-BE49-F238E27FC236}">
                  <a16:creationId xmlns:a16="http://schemas.microsoft.com/office/drawing/2014/main" id="{00000000-0008-0000-0100-00007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102</xdr:row>
          <xdr:rowOff>419100</xdr:rowOff>
        </xdr:from>
        <xdr:to>
          <xdr:col>6</xdr:col>
          <xdr:colOff>9525</xdr:colOff>
          <xdr:row>104</xdr:row>
          <xdr:rowOff>9525</xdr:rowOff>
        </xdr:to>
        <xdr:sp macro="" textlink="">
          <xdr:nvSpPr>
            <xdr:cNvPr id="8325" name="ComboBox97" hidden="1">
              <a:extLst>
                <a:ext uri="{63B3BB69-23CF-44E3-9099-C40C66FF867C}">
                  <a14:compatExt spid="_x0000_s8325"/>
                </a:ext>
                <a:ext uri="{FF2B5EF4-FFF2-40B4-BE49-F238E27FC236}">
                  <a16:creationId xmlns:a16="http://schemas.microsoft.com/office/drawing/2014/main" id="{00000000-0008-0000-0100-00008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103</xdr:row>
          <xdr:rowOff>419100</xdr:rowOff>
        </xdr:from>
        <xdr:to>
          <xdr:col>6</xdr:col>
          <xdr:colOff>9525</xdr:colOff>
          <xdr:row>105</xdr:row>
          <xdr:rowOff>9525</xdr:rowOff>
        </xdr:to>
        <xdr:sp macro="" textlink="">
          <xdr:nvSpPr>
            <xdr:cNvPr id="8289" name="ComboBox94" hidden="1">
              <a:extLst>
                <a:ext uri="{63B3BB69-23CF-44E3-9099-C40C66FF867C}">
                  <a14:compatExt spid="_x0000_s8289"/>
                </a:ext>
                <a:ext uri="{FF2B5EF4-FFF2-40B4-BE49-F238E27FC236}">
                  <a16:creationId xmlns:a16="http://schemas.microsoft.com/office/drawing/2014/main" id="{00000000-0008-0000-0100-00006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104</xdr:row>
          <xdr:rowOff>409575</xdr:rowOff>
        </xdr:from>
        <xdr:to>
          <xdr:col>6</xdr:col>
          <xdr:colOff>9525</xdr:colOff>
          <xdr:row>105</xdr:row>
          <xdr:rowOff>409575</xdr:rowOff>
        </xdr:to>
        <xdr:sp macro="" textlink="">
          <xdr:nvSpPr>
            <xdr:cNvPr id="8290" name="ComboBox95" hidden="1">
              <a:extLst>
                <a:ext uri="{63B3BB69-23CF-44E3-9099-C40C66FF867C}">
                  <a14:compatExt spid="_x0000_s8290"/>
                </a:ext>
                <a:ext uri="{FF2B5EF4-FFF2-40B4-BE49-F238E27FC236}">
                  <a16:creationId xmlns:a16="http://schemas.microsoft.com/office/drawing/2014/main" id="{00000000-0008-0000-0100-00006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97</xdr:row>
          <xdr:rowOff>428625</xdr:rowOff>
        </xdr:from>
        <xdr:to>
          <xdr:col>6</xdr:col>
          <xdr:colOff>9525</xdr:colOff>
          <xdr:row>99</xdr:row>
          <xdr:rowOff>19050</xdr:rowOff>
        </xdr:to>
        <xdr:sp macro="" textlink="">
          <xdr:nvSpPr>
            <xdr:cNvPr id="8391" name="ComboBox40" hidden="1">
              <a:extLst>
                <a:ext uri="{63B3BB69-23CF-44E3-9099-C40C66FF867C}">
                  <a14:compatExt spid="_x0000_s8391"/>
                </a:ext>
                <a:ext uri="{FF2B5EF4-FFF2-40B4-BE49-F238E27FC236}">
                  <a16:creationId xmlns:a16="http://schemas.microsoft.com/office/drawing/2014/main" id="{00000000-0008-0000-0100-0000C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19050</xdr:colOff>
      <xdr:row>12</xdr:row>
      <xdr:rowOff>114300</xdr:rowOff>
    </xdr:from>
    <xdr:to>
      <xdr:col>1</xdr:col>
      <xdr:colOff>1143000</xdr:colOff>
      <xdr:row>13</xdr:row>
      <xdr:rowOff>200025</xdr:rowOff>
    </xdr:to>
    <xdr:sp macro="" textlink="">
      <xdr:nvSpPr>
        <xdr:cNvPr id="155" name="AutoShape 193">
          <a:extLst>
            <a:ext uri="{FF2B5EF4-FFF2-40B4-BE49-F238E27FC236}">
              <a16:creationId xmlns:a16="http://schemas.microsoft.com/office/drawing/2014/main" id="{00000000-0008-0000-0100-00009B000000}"/>
            </a:ext>
          </a:extLst>
        </xdr:cNvPr>
        <xdr:cNvSpPr>
          <a:spLocks noChangeArrowheads="1"/>
        </xdr:cNvSpPr>
      </xdr:nvSpPr>
      <xdr:spPr bwMode="auto">
        <a:xfrm>
          <a:off x="19050" y="5591175"/>
          <a:ext cx="1123950" cy="523875"/>
        </a:xfrm>
        <a:prstGeom prst="wedgeRectCallout">
          <a:avLst>
            <a:gd name="adj1" fmla="val 154236"/>
            <a:gd name="adj2" fmla="val 29806"/>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FF0000"/>
              </a:solidFill>
              <a:latin typeface="ＭＳ Ｐゴシック"/>
              <a:ea typeface="+mn-ea"/>
            </a:rPr>
            <a:t>PA747</a:t>
          </a:r>
          <a:r>
            <a:rPr lang="ja-JP" altLang="en-US" sz="1100" b="0" i="0" u="none" strike="noStrike" baseline="0">
              <a:solidFill>
                <a:srgbClr val="FF0000"/>
              </a:solidFill>
              <a:latin typeface="ＭＳ Ｐゴシック"/>
              <a:ea typeface="+mn-ea"/>
            </a:rPr>
            <a:t>は無しが標準となります</a:t>
          </a:r>
        </a:p>
      </xdr:txBody>
    </xdr:sp>
    <xdr:clientData/>
  </xdr:twoCellAnchor>
  <xdr:twoCellAnchor>
    <xdr:from>
      <xdr:col>7</xdr:col>
      <xdr:colOff>161925</xdr:colOff>
      <xdr:row>51</xdr:row>
      <xdr:rowOff>371475</xdr:rowOff>
    </xdr:from>
    <xdr:to>
      <xdr:col>13</xdr:col>
      <xdr:colOff>333374</xdr:colOff>
      <xdr:row>53</xdr:row>
      <xdr:rowOff>266699</xdr:rowOff>
    </xdr:to>
    <xdr:sp macro="" textlink="">
      <xdr:nvSpPr>
        <xdr:cNvPr id="157" name="AutoShape 189">
          <a:extLst>
            <a:ext uri="{FF2B5EF4-FFF2-40B4-BE49-F238E27FC236}">
              <a16:creationId xmlns:a16="http://schemas.microsoft.com/office/drawing/2014/main" id="{00000000-0008-0000-0100-00009D000000}"/>
            </a:ext>
          </a:extLst>
        </xdr:cNvPr>
        <xdr:cNvSpPr>
          <a:spLocks noChangeArrowheads="1"/>
        </xdr:cNvSpPr>
      </xdr:nvSpPr>
      <xdr:spPr bwMode="auto">
        <a:xfrm>
          <a:off x="14582775" y="22936200"/>
          <a:ext cx="3009899" cy="771524"/>
        </a:xfrm>
        <a:prstGeom prst="wedgeRectCallout">
          <a:avLst>
            <a:gd name="adj1" fmla="val -82034"/>
            <a:gd name="adj2" fmla="val 29839"/>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200" b="1" i="0" u="none" strike="noStrike" baseline="0">
              <a:solidFill>
                <a:srgbClr val="FF0000"/>
              </a:solidFill>
              <a:latin typeface="ＭＳ Ｐゴシック"/>
              <a:ea typeface="ＭＳ Ｐゴシック"/>
            </a:rPr>
            <a:t>三菱 小型車</a:t>
          </a:r>
          <a:r>
            <a:rPr lang="ja-JP" altLang="en-US" sz="1200" b="1" i="0" u="none" strike="noStrike" baseline="0">
              <a:solidFill>
                <a:srgbClr val="0000FF"/>
              </a:solidFill>
              <a:latin typeface="ＭＳ Ｐゴシック"/>
              <a:ea typeface="ＭＳ Ｐゴシック"/>
            </a:rPr>
            <a:t>で</a:t>
          </a:r>
          <a:endParaRPr lang="en-US" altLang="ja-JP" sz="1200" b="1" i="0" u="none" strike="noStrike" baseline="0">
            <a:solidFill>
              <a:srgbClr val="0000FF"/>
            </a:solidFill>
            <a:latin typeface="ＭＳ Ｐゴシック"/>
            <a:ea typeface="ＭＳ Ｐゴシック"/>
          </a:endParaRPr>
        </a:p>
        <a:p>
          <a:pPr algn="l" rtl="0">
            <a:lnSpc>
              <a:spcPts val="1300"/>
            </a:lnSpc>
            <a:defRPr sz="1000"/>
          </a:pPr>
          <a:r>
            <a:rPr lang="en-US" altLang="ja-JP" sz="1200" b="1" i="0" u="none" strike="noStrike" baseline="0">
              <a:solidFill>
                <a:srgbClr val="0000FF"/>
              </a:solidFill>
              <a:latin typeface="ＭＳ Ｐゴシック"/>
              <a:ea typeface="ＭＳ Ｐゴシック"/>
            </a:rPr>
            <a:t>『</a:t>
          </a:r>
          <a:r>
            <a:rPr lang="ja-JP" altLang="en-US" sz="1200" b="1" i="0" u="none" strike="noStrike" baseline="0">
              <a:solidFill>
                <a:srgbClr val="0000FF"/>
              </a:solidFill>
              <a:latin typeface="ＭＳ Ｐゴシック"/>
              <a:ea typeface="+mn-ea"/>
            </a:rPr>
            <a:t>ﾊｲﾏｳﾝﾄﾘｱﾊﾟﾈﾙに取付</a:t>
          </a:r>
          <a:r>
            <a:rPr lang="ja-JP" altLang="en-US" sz="1050" b="1" i="0" u="none" strike="noStrike" baseline="0">
              <a:solidFill>
                <a:srgbClr val="0000FF"/>
              </a:solidFill>
              <a:latin typeface="ＭＳ Ｐゴシック"/>
              <a:ea typeface="+mn-ea"/>
            </a:rPr>
            <a:t>（電球、</a:t>
          </a:r>
          <a:r>
            <a:rPr lang="en-US" altLang="ja-JP" sz="1050" b="1" i="0" u="none" strike="noStrike" baseline="0">
              <a:solidFill>
                <a:srgbClr val="0000FF"/>
              </a:solidFill>
              <a:latin typeface="ＭＳ Ｐゴシック"/>
              <a:ea typeface="+mn-ea"/>
            </a:rPr>
            <a:t>LED</a:t>
          </a:r>
          <a:r>
            <a:rPr lang="ja-JP" altLang="en-US" sz="1050" b="1" i="0" u="none" strike="noStrike" baseline="0">
              <a:solidFill>
                <a:srgbClr val="0000FF"/>
              </a:solidFill>
              <a:latin typeface="ＭＳ Ｐゴシック"/>
              <a:ea typeface="+mn-ea"/>
            </a:rPr>
            <a:t>問わず）</a:t>
          </a:r>
          <a:r>
            <a:rPr lang="ja-JP" altLang="en-US" sz="1200" b="1" i="0" u="none" strike="noStrike" baseline="0">
              <a:solidFill>
                <a:srgbClr val="0000FF"/>
              </a:solidFill>
              <a:latin typeface="ＭＳ Ｐゴシック"/>
              <a:ea typeface="+mn-ea"/>
            </a:rPr>
            <a:t> </a:t>
          </a:r>
          <a:endParaRPr lang="en-US" altLang="ja-JP" sz="1200" b="1" i="0" u="none" strike="noStrike" baseline="0">
            <a:solidFill>
              <a:srgbClr val="0000FF"/>
            </a:solidFill>
            <a:latin typeface="ＭＳ Ｐゴシック"/>
            <a:ea typeface="+mn-ea"/>
          </a:endParaRPr>
        </a:p>
        <a:p>
          <a:pPr algn="l" rtl="0">
            <a:lnSpc>
              <a:spcPts val="1300"/>
            </a:lnSpc>
            <a:defRPr sz="1000"/>
          </a:pPr>
          <a:r>
            <a:rPr lang="ja-JP" altLang="en-US" sz="1200" b="1" i="0" u="none" strike="noStrike" baseline="0">
              <a:solidFill>
                <a:srgbClr val="FF0000"/>
              </a:solidFill>
              <a:latin typeface="ＭＳ Ｐゴシック"/>
              <a:ea typeface="+mn-ea"/>
            </a:rPr>
            <a:t>＋投入口下に３連灯</a:t>
          </a:r>
          <a:r>
            <a:rPr lang="en-US" altLang="ja-JP" sz="1200" b="1" i="0" u="none" strike="noStrike" baseline="0">
              <a:solidFill>
                <a:srgbClr val="0000FF"/>
              </a:solidFill>
              <a:latin typeface="ＭＳ Ｐゴシック"/>
              <a:ea typeface="+mn-ea"/>
            </a:rPr>
            <a:t>』</a:t>
          </a:r>
          <a:r>
            <a:rPr lang="ja-JP" altLang="en-US" sz="1200" b="1" i="0" u="none" strike="noStrike" baseline="0">
              <a:solidFill>
                <a:srgbClr val="0000FF"/>
              </a:solidFill>
              <a:latin typeface="ＭＳ Ｐゴシック"/>
              <a:ea typeface="+mn-ea"/>
            </a:rPr>
            <a:t>を選択される場合、</a:t>
          </a:r>
          <a:endParaRPr lang="en-US" altLang="ja-JP" sz="1200" b="1" i="0" u="none" strike="noStrike" baseline="0">
            <a:solidFill>
              <a:srgbClr val="0000FF"/>
            </a:solidFill>
            <a:latin typeface="ＭＳ Ｐゴシック"/>
            <a:ea typeface="+mn-ea"/>
          </a:endParaRPr>
        </a:p>
        <a:p>
          <a:pPr algn="l" rtl="0">
            <a:lnSpc>
              <a:spcPts val="1300"/>
            </a:lnSpc>
            <a:defRPr sz="1000"/>
          </a:pPr>
          <a:r>
            <a:rPr lang="en-US" altLang="ja-JP" sz="1200" b="1" i="0" u="none" strike="noStrike" baseline="0">
              <a:solidFill>
                <a:srgbClr val="FF0000"/>
              </a:solidFill>
              <a:latin typeface="ＭＳ Ｐゴシック"/>
              <a:ea typeface="+mn-ea"/>
            </a:rPr>
            <a:t>GR-17008</a:t>
          </a:r>
          <a:r>
            <a:rPr lang="ja-JP" altLang="en-US" sz="1200" b="1" i="0" u="none" strike="noStrike" baseline="0">
              <a:solidFill>
                <a:srgbClr val="FF0000"/>
              </a:solidFill>
              <a:latin typeface="ＭＳ Ｐゴシック"/>
              <a:ea typeface="+mn-ea"/>
            </a:rPr>
            <a:t>の改造を必ず実施してください</a:t>
          </a:r>
          <a:r>
            <a:rPr lang="ja-JP" altLang="en-US" sz="1200" b="1" i="0" u="none" strike="noStrike" baseline="0">
              <a:solidFill>
                <a:srgbClr val="0000FF"/>
              </a:solidFill>
              <a:latin typeface="ＭＳ Ｐゴシック"/>
              <a:ea typeface="+mn-ea"/>
            </a:rPr>
            <a:t>！</a:t>
          </a:r>
          <a:endParaRPr lang="en-US" altLang="ja-JP" sz="1200" b="1" i="0" u="none" strike="noStrike" baseline="0">
            <a:solidFill>
              <a:srgbClr val="0000FF"/>
            </a:solidFill>
            <a:latin typeface="ＭＳ Ｐゴシック"/>
            <a:ea typeface="+mn-ea"/>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438150</xdr:colOff>
      <xdr:row>0</xdr:row>
      <xdr:rowOff>0</xdr:rowOff>
    </xdr:from>
    <xdr:to>
      <xdr:col>5</xdr:col>
      <xdr:colOff>2333625</xdr:colOff>
      <xdr:row>1</xdr:row>
      <xdr:rowOff>0</xdr:rowOff>
    </xdr:to>
    <xdr:sp macro="" textlink="">
      <xdr:nvSpPr>
        <xdr:cNvPr id="9217" name="Rectangle 3">
          <a:extLst>
            <a:ext uri="{FF2B5EF4-FFF2-40B4-BE49-F238E27FC236}">
              <a16:creationId xmlns:a16="http://schemas.microsoft.com/office/drawing/2014/main" id="{00000000-0008-0000-0200-000001240000}"/>
            </a:ext>
          </a:extLst>
        </xdr:cNvPr>
        <xdr:cNvSpPr>
          <a:spLocks noChangeArrowheads="1"/>
        </xdr:cNvSpPr>
      </xdr:nvSpPr>
      <xdr:spPr bwMode="auto">
        <a:xfrm>
          <a:off x="9429750" y="0"/>
          <a:ext cx="1895475" cy="2952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受注番号</a:t>
          </a:r>
        </a:p>
      </xdr:txBody>
    </xdr:sp>
    <xdr:clientData/>
  </xdr:twoCellAnchor>
  <xdr:twoCellAnchor>
    <xdr:from>
      <xdr:col>3</xdr:col>
      <xdr:colOff>2876550</xdr:colOff>
      <xdr:row>0</xdr:row>
      <xdr:rowOff>0</xdr:rowOff>
    </xdr:from>
    <xdr:to>
      <xdr:col>4</xdr:col>
      <xdr:colOff>1914525</xdr:colOff>
      <xdr:row>1</xdr:row>
      <xdr:rowOff>0</xdr:rowOff>
    </xdr:to>
    <xdr:sp macro="" textlink="">
      <xdr:nvSpPr>
        <xdr:cNvPr id="9218" name="Rectangle 3">
          <a:extLst>
            <a:ext uri="{FF2B5EF4-FFF2-40B4-BE49-F238E27FC236}">
              <a16:creationId xmlns:a16="http://schemas.microsoft.com/office/drawing/2014/main" id="{00000000-0008-0000-0200-000002240000}"/>
            </a:ext>
          </a:extLst>
        </xdr:cNvPr>
        <xdr:cNvSpPr>
          <a:spLocks noChangeArrowheads="1"/>
        </xdr:cNvSpPr>
      </xdr:nvSpPr>
      <xdr:spPr bwMode="auto">
        <a:xfrm>
          <a:off x="5095875" y="0"/>
          <a:ext cx="1943100" cy="2952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a:ea typeface="ＭＳ Ｐゴシック"/>
            </a:rPr>
            <a:t>架装タイプ</a:t>
          </a:r>
        </a:p>
      </xdr:txBody>
    </xdr:sp>
    <xdr:clientData/>
  </xdr:twoCellAnchor>
  <xdr:twoCellAnchor>
    <xdr:from>
      <xdr:col>5</xdr:col>
      <xdr:colOff>2333625</xdr:colOff>
      <xdr:row>0</xdr:row>
      <xdr:rowOff>0</xdr:rowOff>
    </xdr:from>
    <xdr:to>
      <xdr:col>7</xdr:col>
      <xdr:colOff>0</xdr:colOff>
      <xdr:row>1</xdr:row>
      <xdr:rowOff>0</xdr:rowOff>
    </xdr:to>
    <xdr:sp macro="" textlink="">
      <xdr:nvSpPr>
        <xdr:cNvPr id="9560" name="Rectangle 3">
          <a:extLst>
            <a:ext uri="{FF2B5EF4-FFF2-40B4-BE49-F238E27FC236}">
              <a16:creationId xmlns:a16="http://schemas.microsoft.com/office/drawing/2014/main" id="{00000000-0008-0000-0200-000058250000}"/>
            </a:ext>
          </a:extLst>
        </xdr:cNvPr>
        <xdr:cNvSpPr>
          <a:spLocks noChangeArrowheads="1"/>
        </xdr:cNvSpPr>
      </xdr:nvSpPr>
      <xdr:spPr bwMode="auto">
        <a:xfrm>
          <a:off x="11325225" y="0"/>
          <a:ext cx="1600200" cy="2952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38100</xdr:colOff>
      <xdr:row>0</xdr:row>
      <xdr:rowOff>0</xdr:rowOff>
    </xdr:from>
    <xdr:to>
      <xdr:col>3</xdr:col>
      <xdr:colOff>1562100</xdr:colOff>
      <xdr:row>1</xdr:row>
      <xdr:rowOff>9525</xdr:rowOff>
    </xdr:to>
    <xdr:sp macro="" textlink="">
      <xdr:nvSpPr>
        <xdr:cNvPr id="9220" name="Text Box 4">
          <a:extLst>
            <a:ext uri="{FF2B5EF4-FFF2-40B4-BE49-F238E27FC236}">
              <a16:creationId xmlns:a16="http://schemas.microsoft.com/office/drawing/2014/main" id="{00000000-0008-0000-0200-000004240000}"/>
            </a:ext>
          </a:extLst>
        </xdr:cNvPr>
        <xdr:cNvSpPr txBox="1">
          <a:spLocks noChangeArrowheads="1"/>
        </xdr:cNvSpPr>
      </xdr:nvSpPr>
      <xdr:spPr bwMode="auto">
        <a:xfrm>
          <a:off x="38100" y="0"/>
          <a:ext cx="3743325" cy="304800"/>
        </a:xfrm>
        <a:prstGeom prst="rect">
          <a:avLst/>
        </a:prstGeom>
        <a:noFill/>
        <a:ln w="9525">
          <a:noFill/>
          <a:miter lim="800000"/>
          <a:headEnd/>
          <a:tailEnd/>
        </a:ln>
      </xdr:spPr>
      <xdr:txBody>
        <a:bodyPr vertOverflow="clip" wrap="square" lIns="45720" tIns="22860" rIns="0" bIns="0" anchor="t" upright="1"/>
        <a:lstStyle/>
        <a:p>
          <a:pPr algn="l" rtl="0">
            <a:defRPr sz="1000"/>
          </a:pPr>
          <a:r>
            <a:rPr lang="ja-JP" altLang="en-US" sz="2000" b="1" i="0" u="none" strike="noStrike" baseline="0">
              <a:solidFill>
                <a:srgbClr val="000000"/>
              </a:solidFill>
              <a:latin typeface="ＭＳ Ｐゴシック"/>
              <a:ea typeface="ＭＳ Ｐゴシック"/>
            </a:rPr>
            <a:t>仕様指示書（プレスマスター）</a:t>
          </a:r>
        </a:p>
      </xdr:txBody>
    </xdr:sp>
    <xdr:clientData/>
  </xdr:twoCellAnchor>
  <xdr:twoCellAnchor>
    <xdr:from>
      <xdr:col>1</xdr:col>
      <xdr:colOff>9525</xdr:colOff>
      <xdr:row>79</xdr:row>
      <xdr:rowOff>238125</xdr:rowOff>
    </xdr:from>
    <xdr:to>
      <xdr:col>1</xdr:col>
      <xdr:colOff>1247775</xdr:colOff>
      <xdr:row>81</xdr:row>
      <xdr:rowOff>66675</xdr:rowOff>
    </xdr:to>
    <xdr:sp macro="" textlink="">
      <xdr:nvSpPr>
        <xdr:cNvPr id="9222" name="AutoShape 6">
          <a:extLst>
            <a:ext uri="{FF2B5EF4-FFF2-40B4-BE49-F238E27FC236}">
              <a16:creationId xmlns:a16="http://schemas.microsoft.com/office/drawing/2014/main" id="{00000000-0008-0000-0200-000006240000}"/>
            </a:ext>
          </a:extLst>
        </xdr:cNvPr>
        <xdr:cNvSpPr>
          <a:spLocks noChangeArrowheads="1"/>
        </xdr:cNvSpPr>
      </xdr:nvSpPr>
      <xdr:spPr bwMode="auto">
        <a:xfrm>
          <a:off x="333375" y="34680525"/>
          <a:ext cx="1238250" cy="704850"/>
        </a:xfrm>
        <a:prstGeom prst="wedgeRectCallout">
          <a:avLst>
            <a:gd name="adj1" fmla="val 147694"/>
            <a:gd name="adj2" fmla="val -33782"/>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車型及び架装型式により取付できない場合があります</a:t>
          </a:r>
        </a:p>
      </xdr:txBody>
    </xdr:sp>
    <xdr:clientData/>
  </xdr:twoCellAnchor>
  <xdr:twoCellAnchor>
    <xdr:from>
      <xdr:col>1</xdr:col>
      <xdr:colOff>66675</xdr:colOff>
      <xdr:row>31</xdr:row>
      <xdr:rowOff>180975</xdr:rowOff>
    </xdr:from>
    <xdr:to>
      <xdr:col>1</xdr:col>
      <xdr:colOff>1285875</xdr:colOff>
      <xdr:row>33</xdr:row>
      <xdr:rowOff>295275</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390525" y="13592175"/>
          <a:ext cx="1219200" cy="990600"/>
        </a:xfrm>
        <a:prstGeom prst="wedgeRectCallout">
          <a:avLst>
            <a:gd name="adj1" fmla="val 159375"/>
            <a:gd name="adj2" fmla="val -3653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オーバーハング保安基準値内であれば取付 </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車種別標準架装一覧表</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で確認のこと</a:t>
          </a:r>
        </a:p>
      </xdr:txBody>
    </xdr:sp>
    <xdr:clientData/>
  </xdr:twoCellAnchor>
  <xdr:twoCellAnchor>
    <xdr:from>
      <xdr:col>1</xdr:col>
      <xdr:colOff>57150</xdr:colOff>
      <xdr:row>24</xdr:row>
      <xdr:rowOff>133350</xdr:rowOff>
    </xdr:from>
    <xdr:to>
      <xdr:col>1</xdr:col>
      <xdr:colOff>1295400</xdr:colOff>
      <xdr:row>26</xdr:row>
      <xdr:rowOff>247650</xdr:rowOff>
    </xdr:to>
    <xdr:sp macro="" textlink="">
      <xdr:nvSpPr>
        <xdr:cNvPr id="9252" name="AutoShape 36">
          <a:extLst>
            <a:ext uri="{FF2B5EF4-FFF2-40B4-BE49-F238E27FC236}">
              <a16:creationId xmlns:a16="http://schemas.microsoft.com/office/drawing/2014/main" id="{00000000-0008-0000-0200-000024240000}"/>
            </a:ext>
          </a:extLst>
        </xdr:cNvPr>
        <xdr:cNvSpPr>
          <a:spLocks noChangeArrowheads="1"/>
        </xdr:cNvSpPr>
      </xdr:nvSpPr>
      <xdr:spPr bwMode="auto">
        <a:xfrm>
          <a:off x="381000" y="10477500"/>
          <a:ext cx="1238250" cy="990600"/>
        </a:xfrm>
        <a:prstGeom prst="wedgeRectCallout">
          <a:avLst>
            <a:gd name="adj1" fmla="val 136921"/>
            <a:gd name="adj2" fmla="val 31731"/>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ＰＡ５４Ｈ－Ｔ１区直営の場合、プレスプレート先端ゴム二重式が標準となります</a:t>
          </a:r>
        </a:p>
      </xdr:txBody>
    </xdr:sp>
    <xdr:clientData/>
  </xdr:twoCellAnchor>
  <xdr:twoCellAnchor>
    <xdr:from>
      <xdr:col>1</xdr:col>
      <xdr:colOff>66675</xdr:colOff>
      <xdr:row>28</xdr:row>
      <xdr:rowOff>104775</xdr:rowOff>
    </xdr:from>
    <xdr:to>
      <xdr:col>1</xdr:col>
      <xdr:colOff>1285875</xdr:colOff>
      <xdr:row>30</xdr:row>
      <xdr:rowOff>219075</xdr:rowOff>
    </xdr:to>
    <xdr:sp macro="" textlink="">
      <xdr:nvSpPr>
        <xdr:cNvPr id="9253" name="AutoShape 37">
          <a:extLst>
            <a:ext uri="{FF2B5EF4-FFF2-40B4-BE49-F238E27FC236}">
              <a16:creationId xmlns:a16="http://schemas.microsoft.com/office/drawing/2014/main" id="{00000000-0008-0000-0200-000025240000}"/>
            </a:ext>
          </a:extLst>
        </xdr:cNvPr>
        <xdr:cNvSpPr>
          <a:spLocks noChangeArrowheads="1"/>
        </xdr:cNvSpPr>
      </xdr:nvSpPr>
      <xdr:spPr bwMode="auto">
        <a:xfrm>
          <a:off x="390525" y="12201525"/>
          <a:ext cx="1219200" cy="990600"/>
        </a:xfrm>
        <a:prstGeom prst="wedgeRectCallout">
          <a:avLst>
            <a:gd name="adj1" fmla="val 130468"/>
            <a:gd name="adj2" fmla="val 3269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全高制限仕様は「無し」が標準</a:t>
          </a:r>
        </a:p>
        <a:p>
          <a:pPr algn="l" rtl="0">
            <a:defRPr sz="1000"/>
          </a:pPr>
          <a:r>
            <a:rPr lang="en-US" altLang="ja-JP" sz="1100" b="0" i="0" u="none" strike="noStrike" baseline="0">
              <a:solidFill>
                <a:srgbClr val="FF0000"/>
              </a:solidFill>
              <a:latin typeface="ＭＳ Ｐゴシック"/>
              <a:ea typeface="ＭＳ Ｐゴシック"/>
            </a:rPr>
            <a:t>PA56H-3</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PA56H-5</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PA57H-4</a:t>
          </a:r>
        </a:p>
      </xdr:txBody>
    </xdr:sp>
    <xdr:clientData/>
  </xdr:twoCellAnchor>
  <xdr:twoCellAnchor>
    <xdr:from>
      <xdr:col>1</xdr:col>
      <xdr:colOff>66675</xdr:colOff>
      <xdr:row>44</xdr:row>
      <xdr:rowOff>57150</xdr:rowOff>
    </xdr:from>
    <xdr:to>
      <xdr:col>1</xdr:col>
      <xdr:colOff>1247775</xdr:colOff>
      <xdr:row>46</xdr:row>
      <xdr:rowOff>114300</xdr:rowOff>
    </xdr:to>
    <xdr:sp macro="" textlink="">
      <xdr:nvSpPr>
        <xdr:cNvPr id="9254" name="AutoShape 38">
          <a:extLst>
            <a:ext uri="{FF2B5EF4-FFF2-40B4-BE49-F238E27FC236}">
              <a16:creationId xmlns:a16="http://schemas.microsoft.com/office/drawing/2014/main" id="{00000000-0008-0000-0200-000026240000}"/>
            </a:ext>
          </a:extLst>
        </xdr:cNvPr>
        <xdr:cNvSpPr>
          <a:spLocks noChangeArrowheads="1"/>
        </xdr:cNvSpPr>
      </xdr:nvSpPr>
      <xdr:spPr bwMode="auto">
        <a:xfrm>
          <a:off x="390525" y="19164300"/>
          <a:ext cx="1181100" cy="933450"/>
        </a:xfrm>
        <a:prstGeom prst="wedgeRectCallout">
          <a:avLst>
            <a:gd name="adj1" fmla="val 112856"/>
            <a:gd name="adj2" fmla="val 5000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ＰＡ５４Ｈ－Ｔ１区直営の場合、ＳＵＳ製角型（バフ有）が標準となります</a:t>
          </a:r>
        </a:p>
      </xdr:txBody>
    </xdr:sp>
    <xdr:clientData/>
  </xdr:twoCellAnchor>
  <xdr:twoCellAnchor>
    <xdr:from>
      <xdr:col>1</xdr:col>
      <xdr:colOff>66675</xdr:colOff>
      <xdr:row>46</xdr:row>
      <xdr:rowOff>219075</xdr:rowOff>
    </xdr:from>
    <xdr:to>
      <xdr:col>1</xdr:col>
      <xdr:colOff>1190625</xdr:colOff>
      <xdr:row>48</xdr:row>
      <xdr:rowOff>295275</xdr:rowOff>
    </xdr:to>
    <xdr:sp macro="" textlink="">
      <xdr:nvSpPr>
        <xdr:cNvPr id="9255" name="AutoShape 39">
          <a:extLst>
            <a:ext uri="{FF2B5EF4-FFF2-40B4-BE49-F238E27FC236}">
              <a16:creationId xmlns:a16="http://schemas.microsoft.com/office/drawing/2014/main" id="{00000000-0008-0000-0200-000027240000}"/>
            </a:ext>
          </a:extLst>
        </xdr:cNvPr>
        <xdr:cNvSpPr>
          <a:spLocks noChangeArrowheads="1"/>
        </xdr:cNvSpPr>
      </xdr:nvSpPr>
      <xdr:spPr bwMode="auto">
        <a:xfrm>
          <a:off x="390525" y="20202525"/>
          <a:ext cx="1123950" cy="952500"/>
        </a:xfrm>
        <a:prstGeom prst="wedgeRectCallout">
          <a:avLst>
            <a:gd name="adj1" fmla="val 142000"/>
            <a:gd name="adj2" fmla="val 476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排気管が後輪後方出しの場合は、右側のみ取付けすることがあります</a:t>
          </a:r>
        </a:p>
      </xdr:txBody>
    </xdr:sp>
    <xdr:clientData/>
  </xdr:twoCellAnchor>
  <xdr:twoCellAnchor>
    <xdr:from>
      <xdr:col>1</xdr:col>
      <xdr:colOff>66675</xdr:colOff>
      <xdr:row>48</xdr:row>
      <xdr:rowOff>400050</xdr:rowOff>
    </xdr:from>
    <xdr:to>
      <xdr:col>1</xdr:col>
      <xdr:colOff>1190625</xdr:colOff>
      <xdr:row>50</xdr:row>
      <xdr:rowOff>266700</xdr:rowOff>
    </xdr:to>
    <xdr:sp macro="" textlink="">
      <xdr:nvSpPr>
        <xdr:cNvPr id="9256" name="AutoShape 40">
          <a:extLst>
            <a:ext uri="{FF2B5EF4-FFF2-40B4-BE49-F238E27FC236}">
              <a16:creationId xmlns:a16="http://schemas.microsoft.com/office/drawing/2014/main" id="{00000000-0008-0000-0200-000028240000}"/>
            </a:ext>
          </a:extLst>
        </xdr:cNvPr>
        <xdr:cNvSpPr>
          <a:spLocks noChangeArrowheads="1"/>
        </xdr:cNvSpPr>
      </xdr:nvSpPr>
      <xdr:spPr bwMode="auto">
        <a:xfrm>
          <a:off x="390525" y="21259800"/>
          <a:ext cx="1123950" cy="742950"/>
        </a:xfrm>
        <a:prstGeom prst="wedgeRectCallout">
          <a:avLst>
            <a:gd name="adj1" fmla="val 131000"/>
            <a:gd name="adj2" fmla="val -6363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マフラ後輪後出しの場合は「有」は選択不可</a:t>
          </a:r>
        </a:p>
      </xdr:txBody>
    </xdr:sp>
    <xdr:clientData/>
  </xdr:twoCellAnchor>
  <xdr:twoCellAnchor>
    <xdr:from>
      <xdr:col>1</xdr:col>
      <xdr:colOff>57150</xdr:colOff>
      <xdr:row>61</xdr:row>
      <xdr:rowOff>257175</xdr:rowOff>
    </xdr:from>
    <xdr:to>
      <xdr:col>1</xdr:col>
      <xdr:colOff>1181100</xdr:colOff>
      <xdr:row>64</xdr:row>
      <xdr:rowOff>133350</xdr:rowOff>
    </xdr:to>
    <xdr:sp macro="" textlink="">
      <xdr:nvSpPr>
        <xdr:cNvPr id="9257" name="AutoShape 41">
          <a:extLst>
            <a:ext uri="{FF2B5EF4-FFF2-40B4-BE49-F238E27FC236}">
              <a16:creationId xmlns:a16="http://schemas.microsoft.com/office/drawing/2014/main" id="{00000000-0008-0000-0200-000029240000}"/>
            </a:ext>
          </a:extLst>
        </xdr:cNvPr>
        <xdr:cNvSpPr>
          <a:spLocks noChangeArrowheads="1"/>
        </xdr:cNvSpPr>
      </xdr:nvSpPr>
      <xdr:spPr bwMode="auto">
        <a:xfrm>
          <a:off x="381000" y="26812875"/>
          <a:ext cx="1123950" cy="1190625"/>
        </a:xfrm>
        <a:prstGeom prst="wedgeRectCallout">
          <a:avLst>
            <a:gd name="adj1" fmla="val 128815"/>
            <a:gd name="adj2" fmla="val -46801"/>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FF0000"/>
              </a:solidFill>
              <a:latin typeface="ＭＳ Ｐゴシック"/>
              <a:ea typeface="ＭＳ Ｐゴシック"/>
            </a:rPr>
            <a:t>「有」を選択する場合は、</a:t>
          </a:r>
          <a:r>
            <a:rPr lang="en-US" altLang="ja-JP" sz="1100" b="0" i="0" u="none" strike="noStrike" baseline="0">
              <a:solidFill>
                <a:srgbClr val="FF0000"/>
              </a:solidFill>
              <a:latin typeface="ＭＳ Ｐゴシック"/>
              <a:ea typeface="ＭＳ Ｐゴシック"/>
            </a:rPr>
            <a:t>7-10</a:t>
          </a:r>
          <a:r>
            <a:rPr lang="ja-JP" altLang="en-US" sz="1100" b="0" i="0" u="none" strike="noStrike" baseline="0">
              <a:solidFill>
                <a:srgbClr val="FF0000"/>
              </a:solidFill>
              <a:latin typeface="ＭＳ Ｐゴシック"/>
              <a:ea typeface="ＭＳ Ｐゴシック"/>
            </a:rPr>
            <a:t>．後方確認用テレビカメラ</a:t>
          </a:r>
          <a:r>
            <a:rPr lang="en-US" altLang="ja-JP" sz="1100" b="0" i="0" u="none" strike="noStrike" baseline="0">
              <a:solidFill>
                <a:srgbClr val="FF0000"/>
              </a:solidFill>
              <a:latin typeface="ＭＳ Ｐゴシック"/>
              <a:ea typeface="ＭＳ Ｐゴシック"/>
            </a:rPr>
            <a:t>BKT</a:t>
          </a:r>
          <a:r>
            <a:rPr lang="ja-JP" altLang="en-US" sz="1100" b="0" i="0" u="none" strike="noStrike" baseline="0">
              <a:solidFill>
                <a:srgbClr val="FF0000"/>
              </a:solidFill>
              <a:latin typeface="ＭＳ Ｐゴシック"/>
              <a:ea typeface="ＭＳ Ｐゴシック"/>
            </a:rPr>
            <a:t>も「有」を選択のこと。</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133350</xdr:colOff>
          <xdr:row>1</xdr:row>
          <xdr:rowOff>19050</xdr:rowOff>
        </xdr:from>
        <xdr:to>
          <xdr:col>36</xdr:col>
          <xdr:colOff>1238250</xdr:colOff>
          <xdr:row>3</xdr:row>
          <xdr:rowOff>19050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2</xdr:col>
      <xdr:colOff>28575</xdr:colOff>
      <xdr:row>20</xdr:row>
      <xdr:rowOff>19050</xdr:rowOff>
    </xdr:from>
    <xdr:to>
      <xdr:col>14</xdr:col>
      <xdr:colOff>81915</xdr:colOff>
      <xdr:row>32</xdr:row>
      <xdr:rowOff>9525</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66725" y="4410075"/>
          <a:ext cx="2682240" cy="3533775"/>
        </a:xfrm>
        <a:prstGeom prst="rect">
          <a:avLst/>
        </a:prstGeom>
      </xdr:spPr>
    </xdr:pic>
    <xdr:clientData/>
  </xdr:twoCellAnchor>
  <xdr:twoCellAnchor editAs="oneCell">
    <xdr:from>
      <xdr:col>2</xdr:col>
      <xdr:colOff>0</xdr:colOff>
      <xdr:row>34</xdr:row>
      <xdr:rowOff>0</xdr:rowOff>
    </xdr:from>
    <xdr:to>
      <xdr:col>18</xdr:col>
      <xdr:colOff>76200</xdr:colOff>
      <xdr:row>43</xdr:row>
      <xdr:rowOff>32385</xdr:rowOff>
    </xdr:to>
    <xdr:pic>
      <xdr:nvPicPr>
        <xdr:cNvPr id="3" name="図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38150" y="8524875"/>
          <a:ext cx="3581400" cy="2689860"/>
        </a:xfrm>
        <a:prstGeom prst="rect">
          <a:avLst/>
        </a:prstGeom>
      </xdr:spPr>
    </xdr:pic>
    <xdr:clientData/>
  </xdr:twoCellAnchor>
  <xdr:twoCellAnchor>
    <xdr:from>
      <xdr:col>3</xdr:col>
      <xdr:colOff>63384</xdr:colOff>
      <xdr:row>39</xdr:row>
      <xdr:rowOff>177743</xdr:rowOff>
    </xdr:from>
    <xdr:to>
      <xdr:col>4</xdr:col>
      <xdr:colOff>200681</xdr:colOff>
      <xdr:row>42</xdr:row>
      <xdr:rowOff>187268</xdr:rowOff>
    </xdr:to>
    <xdr:sp macro="" textlink="">
      <xdr:nvSpPr>
        <xdr:cNvPr id="4" name="円/楕円 3">
          <a:extLst>
            <a:ext uri="{FF2B5EF4-FFF2-40B4-BE49-F238E27FC236}">
              <a16:creationId xmlns:a16="http://schemas.microsoft.com/office/drawing/2014/main" id="{00000000-0008-0000-0300-000004000000}"/>
            </a:ext>
          </a:extLst>
        </xdr:cNvPr>
        <xdr:cNvSpPr/>
      </xdr:nvSpPr>
      <xdr:spPr>
        <a:xfrm rot="20886630">
          <a:off x="720609" y="10178993"/>
          <a:ext cx="356372" cy="895350"/>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133350</xdr:colOff>
          <xdr:row>1</xdr:row>
          <xdr:rowOff>19050</xdr:rowOff>
        </xdr:from>
        <xdr:to>
          <xdr:col>36</xdr:col>
          <xdr:colOff>1238250</xdr:colOff>
          <xdr:row>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2</xdr:col>
      <xdr:colOff>0</xdr:colOff>
      <xdr:row>25</xdr:row>
      <xdr:rowOff>0</xdr:rowOff>
    </xdr:from>
    <xdr:to>
      <xdr:col>16</xdr:col>
      <xdr:colOff>3810</xdr:colOff>
      <xdr:row>32</xdr:row>
      <xdr:rowOff>234315</xdr:rowOff>
    </xdr:to>
    <xdr:pic>
      <xdr:nvPicPr>
        <xdr:cNvPr id="2" name="図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438150" y="5867400"/>
          <a:ext cx="3070860" cy="2301240"/>
        </a:xfrm>
        <a:prstGeom prst="rect">
          <a:avLst/>
        </a:prstGeom>
      </xdr:spPr>
    </xdr:pic>
    <xdr:clientData/>
  </xdr:twoCellAnchor>
  <xdr:twoCellAnchor>
    <xdr:from>
      <xdr:col>4</xdr:col>
      <xdr:colOff>77810</xdr:colOff>
      <xdr:row>31</xdr:row>
      <xdr:rowOff>85026</xdr:rowOff>
    </xdr:from>
    <xdr:to>
      <xdr:col>10</xdr:col>
      <xdr:colOff>115910</xdr:colOff>
      <xdr:row>32</xdr:row>
      <xdr:rowOff>140909</xdr:rowOff>
    </xdr:to>
    <xdr:sp macro="" textlink="">
      <xdr:nvSpPr>
        <xdr:cNvPr id="6" name="円/楕円 5">
          <a:extLst>
            <a:ext uri="{FF2B5EF4-FFF2-40B4-BE49-F238E27FC236}">
              <a16:creationId xmlns:a16="http://schemas.microsoft.com/office/drawing/2014/main" id="{00000000-0008-0000-0400-000006000000}"/>
            </a:ext>
          </a:extLst>
        </xdr:cNvPr>
        <xdr:cNvSpPr/>
      </xdr:nvSpPr>
      <xdr:spPr>
        <a:xfrm rot="20932761">
          <a:off x="954110" y="7724076"/>
          <a:ext cx="1352550" cy="351158"/>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131892</xdr:colOff>
      <xdr:row>35</xdr:row>
      <xdr:rowOff>47625</xdr:rowOff>
    </xdr:from>
    <xdr:to>
      <xdr:col>18</xdr:col>
      <xdr:colOff>76199</xdr:colOff>
      <xdr:row>43</xdr:row>
      <xdr:rowOff>276225</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570042" y="8867775"/>
          <a:ext cx="3449507" cy="2590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180975</xdr:colOff>
          <xdr:row>0</xdr:row>
          <xdr:rowOff>228600</xdr:rowOff>
        </xdr:from>
        <xdr:to>
          <xdr:col>36</xdr:col>
          <xdr:colOff>285750</xdr:colOff>
          <xdr:row>2</xdr:row>
          <xdr:rowOff>209550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40</xdr:col>
      <xdr:colOff>38100</xdr:colOff>
      <xdr:row>10</xdr:row>
      <xdr:rowOff>238125</xdr:rowOff>
    </xdr:from>
    <xdr:to>
      <xdr:col>54</xdr:col>
      <xdr:colOff>123825</xdr:colOff>
      <xdr:row>13</xdr:row>
      <xdr:rowOff>123825</xdr:rowOff>
    </xdr:to>
    <xdr:grpSp>
      <xdr:nvGrpSpPr>
        <xdr:cNvPr id="5726" name="Group 1">
          <a:extLst>
            <a:ext uri="{FF2B5EF4-FFF2-40B4-BE49-F238E27FC236}">
              <a16:creationId xmlns:a16="http://schemas.microsoft.com/office/drawing/2014/main" id="{00000000-0008-0000-0600-00005E160000}"/>
            </a:ext>
          </a:extLst>
        </xdr:cNvPr>
        <xdr:cNvGrpSpPr>
          <a:grpSpLocks/>
        </xdr:cNvGrpSpPr>
      </xdr:nvGrpSpPr>
      <xdr:grpSpPr bwMode="auto">
        <a:xfrm>
          <a:off x="8267700" y="2647950"/>
          <a:ext cx="2886075" cy="581025"/>
          <a:chOff x="812" y="365"/>
          <a:chExt cx="303" cy="66"/>
        </a:xfrm>
      </xdr:grpSpPr>
      <xdr:grpSp>
        <xdr:nvGrpSpPr>
          <xdr:cNvPr id="5728" name="Group 2">
            <a:extLst>
              <a:ext uri="{FF2B5EF4-FFF2-40B4-BE49-F238E27FC236}">
                <a16:creationId xmlns:a16="http://schemas.microsoft.com/office/drawing/2014/main" id="{00000000-0008-0000-0600-000060160000}"/>
              </a:ext>
            </a:extLst>
          </xdr:cNvPr>
          <xdr:cNvGrpSpPr>
            <a:grpSpLocks/>
          </xdr:cNvGrpSpPr>
        </xdr:nvGrpSpPr>
        <xdr:grpSpPr bwMode="auto">
          <a:xfrm>
            <a:off x="812" y="372"/>
            <a:ext cx="303" cy="16"/>
            <a:chOff x="493" y="1184"/>
            <a:chExt cx="485" cy="25"/>
          </a:xfrm>
        </xdr:grpSpPr>
        <xdr:sp macro="" textlink="">
          <xdr:nvSpPr>
            <xdr:cNvPr id="5739" name="AutoShape 3">
              <a:extLst>
                <a:ext uri="{FF2B5EF4-FFF2-40B4-BE49-F238E27FC236}">
                  <a16:creationId xmlns:a16="http://schemas.microsoft.com/office/drawing/2014/main" id="{00000000-0008-0000-0600-00006B160000}"/>
                </a:ext>
              </a:extLst>
            </xdr:cNvPr>
            <xdr:cNvSpPr>
              <a:spLocks noChangeArrowheads="1"/>
            </xdr:cNvSpPr>
          </xdr:nvSpPr>
          <xdr:spPr bwMode="auto">
            <a:xfrm>
              <a:off x="493" y="1184"/>
              <a:ext cx="485" cy="25"/>
            </a:xfrm>
            <a:prstGeom prst="flowChartAlternateProcess">
              <a:avLst/>
            </a:prstGeom>
            <a:solidFill>
              <a:srgbClr val="FFFFFF"/>
            </a:solidFill>
            <a:ln w="9525">
              <a:solidFill>
                <a:srgbClr val="000000"/>
              </a:solidFill>
              <a:miter lim="800000"/>
              <a:headEnd/>
              <a:tailEnd/>
            </a:ln>
          </xdr:spPr>
        </xdr:sp>
        <xdr:sp macro="" textlink="">
          <xdr:nvSpPr>
            <xdr:cNvPr id="5740" name="AutoShape 4">
              <a:extLst>
                <a:ext uri="{FF2B5EF4-FFF2-40B4-BE49-F238E27FC236}">
                  <a16:creationId xmlns:a16="http://schemas.microsoft.com/office/drawing/2014/main" id="{00000000-0008-0000-0600-00006C160000}"/>
                </a:ext>
              </a:extLst>
            </xdr:cNvPr>
            <xdr:cNvSpPr>
              <a:spLocks noChangeArrowheads="1"/>
            </xdr:cNvSpPr>
          </xdr:nvSpPr>
          <xdr:spPr bwMode="auto">
            <a:xfrm rot="9614182">
              <a:off x="661" y="1184"/>
              <a:ext cx="75" cy="25"/>
            </a:xfrm>
            <a:prstGeom prst="flowChartDecision">
              <a:avLst/>
            </a:prstGeom>
            <a:solidFill>
              <a:srgbClr val="FF0000"/>
            </a:solidFill>
            <a:ln w="9525">
              <a:solidFill>
                <a:srgbClr val="000000"/>
              </a:solidFill>
              <a:miter lim="800000"/>
              <a:headEnd/>
              <a:tailEnd/>
            </a:ln>
          </xdr:spPr>
        </xdr:sp>
        <xdr:sp macro="" textlink="">
          <xdr:nvSpPr>
            <xdr:cNvPr id="5741" name="AutoShape 5">
              <a:extLst>
                <a:ext uri="{FF2B5EF4-FFF2-40B4-BE49-F238E27FC236}">
                  <a16:creationId xmlns:a16="http://schemas.microsoft.com/office/drawing/2014/main" id="{00000000-0008-0000-0600-00006D160000}"/>
                </a:ext>
              </a:extLst>
            </xdr:cNvPr>
            <xdr:cNvSpPr>
              <a:spLocks noChangeArrowheads="1"/>
            </xdr:cNvSpPr>
          </xdr:nvSpPr>
          <xdr:spPr bwMode="auto">
            <a:xfrm rot="9614182">
              <a:off x="584" y="1184"/>
              <a:ext cx="75" cy="25"/>
            </a:xfrm>
            <a:prstGeom prst="flowChartDecision">
              <a:avLst/>
            </a:prstGeom>
            <a:solidFill>
              <a:srgbClr val="FF0000"/>
            </a:solidFill>
            <a:ln w="9525">
              <a:solidFill>
                <a:srgbClr val="000000"/>
              </a:solidFill>
              <a:miter lim="800000"/>
              <a:headEnd/>
              <a:tailEnd/>
            </a:ln>
          </xdr:spPr>
        </xdr:sp>
        <xdr:sp macro="" textlink="">
          <xdr:nvSpPr>
            <xdr:cNvPr id="5742" name="AutoShape 6">
              <a:extLst>
                <a:ext uri="{FF2B5EF4-FFF2-40B4-BE49-F238E27FC236}">
                  <a16:creationId xmlns:a16="http://schemas.microsoft.com/office/drawing/2014/main" id="{00000000-0008-0000-0600-00006E160000}"/>
                </a:ext>
              </a:extLst>
            </xdr:cNvPr>
            <xdr:cNvSpPr>
              <a:spLocks noChangeArrowheads="1"/>
            </xdr:cNvSpPr>
          </xdr:nvSpPr>
          <xdr:spPr bwMode="auto">
            <a:xfrm rot="9614182">
              <a:off x="509" y="1184"/>
              <a:ext cx="75" cy="25"/>
            </a:xfrm>
            <a:prstGeom prst="flowChartDecision">
              <a:avLst/>
            </a:prstGeom>
            <a:solidFill>
              <a:srgbClr val="FF0000"/>
            </a:solidFill>
            <a:ln w="9525">
              <a:solidFill>
                <a:srgbClr val="000000"/>
              </a:solidFill>
              <a:miter lim="800000"/>
              <a:headEnd/>
              <a:tailEnd/>
            </a:ln>
          </xdr:spPr>
        </xdr:sp>
        <xdr:sp macro="" textlink="">
          <xdr:nvSpPr>
            <xdr:cNvPr id="5743" name="AutoShape 7">
              <a:extLst>
                <a:ext uri="{FF2B5EF4-FFF2-40B4-BE49-F238E27FC236}">
                  <a16:creationId xmlns:a16="http://schemas.microsoft.com/office/drawing/2014/main" id="{00000000-0008-0000-0600-00006F160000}"/>
                </a:ext>
              </a:extLst>
            </xdr:cNvPr>
            <xdr:cNvSpPr>
              <a:spLocks noChangeArrowheads="1"/>
            </xdr:cNvSpPr>
          </xdr:nvSpPr>
          <xdr:spPr bwMode="auto">
            <a:xfrm rot="1163923">
              <a:off x="734" y="1184"/>
              <a:ext cx="75" cy="25"/>
            </a:xfrm>
            <a:prstGeom prst="flowChartDecision">
              <a:avLst/>
            </a:prstGeom>
            <a:solidFill>
              <a:srgbClr val="FF0000"/>
            </a:solidFill>
            <a:ln w="9525">
              <a:solidFill>
                <a:srgbClr val="000000"/>
              </a:solidFill>
              <a:miter lim="800000"/>
              <a:headEnd/>
              <a:tailEnd/>
            </a:ln>
          </xdr:spPr>
        </xdr:sp>
        <xdr:sp macro="" textlink="">
          <xdr:nvSpPr>
            <xdr:cNvPr id="5744" name="AutoShape 8">
              <a:extLst>
                <a:ext uri="{FF2B5EF4-FFF2-40B4-BE49-F238E27FC236}">
                  <a16:creationId xmlns:a16="http://schemas.microsoft.com/office/drawing/2014/main" id="{00000000-0008-0000-0600-000070160000}"/>
                </a:ext>
              </a:extLst>
            </xdr:cNvPr>
            <xdr:cNvSpPr>
              <a:spLocks noChangeArrowheads="1"/>
            </xdr:cNvSpPr>
          </xdr:nvSpPr>
          <xdr:spPr bwMode="auto">
            <a:xfrm rot="1163923">
              <a:off x="813" y="1184"/>
              <a:ext cx="75" cy="25"/>
            </a:xfrm>
            <a:prstGeom prst="flowChartDecision">
              <a:avLst/>
            </a:prstGeom>
            <a:solidFill>
              <a:srgbClr val="FF0000"/>
            </a:solidFill>
            <a:ln w="9525">
              <a:solidFill>
                <a:srgbClr val="000000"/>
              </a:solidFill>
              <a:miter lim="800000"/>
              <a:headEnd/>
              <a:tailEnd/>
            </a:ln>
          </xdr:spPr>
        </xdr:sp>
        <xdr:sp macro="" textlink="">
          <xdr:nvSpPr>
            <xdr:cNvPr id="5745" name="AutoShape 9">
              <a:extLst>
                <a:ext uri="{FF2B5EF4-FFF2-40B4-BE49-F238E27FC236}">
                  <a16:creationId xmlns:a16="http://schemas.microsoft.com/office/drawing/2014/main" id="{00000000-0008-0000-0600-000071160000}"/>
                </a:ext>
              </a:extLst>
            </xdr:cNvPr>
            <xdr:cNvSpPr>
              <a:spLocks noChangeArrowheads="1"/>
            </xdr:cNvSpPr>
          </xdr:nvSpPr>
          <xdr:spPr bwMode="auto">
            <a:xfrm rot="1163923">
              <a:off x="889" y="1184"/>
              <a:ext cx="75" cy="25"/>
            </a:xfrm>
            <a:prstGeom prst="flowChartDecision">
              <a:avLst/>
            </a:prstGeom>
            <a:solidFill>
              <a:srgbClr val="FF0000"/>
            </a:solidFill>
            <a:ln w="9525">
              <a:solidFill>
                <a:srgbClr val="000000"/>
              </a:solidFill>
              <a:miter lim="800000"/>
              <a:headEnd/>
              <a:tailEnd/>
            </a:ln>
          </xdr:spPr>
        </xdr:sp>
      </xdr:grpSp>
      <xdr:sp macro="" textlink="">
        <xdr:nvSpPr>
          <xdr:cNvPr id="5729" name="Line 10">
            <a:extLst>
              <a:ext uri="{FF2B5EF4-FFF2-40B4-BE49-F238E27FC236}">
                <a16:creationId xmlns:a16="http://schemas.microsoft.com/office/drawing/2014/main" id="{00000000-0008-0000-0600-000061160000}"/>
              </a:ext>
            </a:extLst>
          </xdr:cNvPr>
          <xdr:cNvSpPr>
            <a:spLocks noChangeShapeType="1"/>
          </xdr:cNvSpPr>
        </xdr:nvSpPr>
        <xdr:spPr bwMode="auto">
          <a:xfrm>
            <a:off x="968" y="385"/>
            <a:ext cx="21" cy="38"/>
          </a:xfrm>
          <a:prstGeom prst="line">
            <a:avLst/>
          </a:prstGeom>
          <a:noFill/>
          <a:ln w="12700">
            <a:solidFill>
              <a:srgbClr val="000000"/>
            </a:solidFill>
            <a:round/>
            <a:headEnd type="oval" w="med" len="med"/>
            <a:tailEnd/>
          </a:ln>
          <a:extLst>
            <a:ext uri="{909E8E84-426E-40DD-AFC4-6F175D3DCCD1}">
              <a14:hiddenFill xmlns:a14="http://schemas.microsoft.com/office/drawing/2010/main">
                <a:noFill/>
              </a14:hiddenFill>
            </a:ext>
          </a:extLst>
        </xdr:spPr>
      </xdr:sp>
      <xdr:sp macro="" textlink="">
        <xdr:nvSpPr>
          <xdr:cNvPr id="5730" name="Line 11">
            <a:extLst>
              <a:ext uri="{FF2B5EF4-FFF2-40B4-BE49-F238E27FC236}">
                <a16:creationId xmlns:a16="http://schemas.microsoft.com/office/drawing/2014/main" id="{00000000-0008-0000-0600-000062160000}"/>
              </a:ext>
            </a:extLst>
          </xdr:cNvPr>
          <xdr:cNvSpPr>
            <a:spLocks noChangeShapeType="1"/>
          </xdr:cNvSpPr>
        </xdr:nvSpPr>
        <xdr:spPr bwMode="auto">
          <a:xfrm>
            <a:off x="988" y="423"/>
            <a:ext cx="89"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132" name="AutoShape 12">
            <a:extLst>
              <a:ext uri="{FF2B5EF4-FFF2-40B4-BE49-F238E27FC236}">
                <a16:creationId xmlns:a16="http://schemas.microsoft.com/office/drawing/2014/main" id="{00000000-0008-0000-0600-00000C140000}"/>
              </a:ext>
            </a:extLst>
          </xdr:cNvPr>
          <xdr:cNvSpPr>
            <a:spLocks noChangeArrowheads="1"/>
          </xdr:cNvSpPr>
        </xdr:nvSpPr>
        <xdr:spPr bwMode="auto">
          <a:xfrm>
            <a:off x="990" y="401"/>
            <a:ext cx="89" cy="24"/>
          </a:xfrm>
          <a:prstGeom prst="flowChartProcess">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中央：白色</a:t>
            </a:r>
          </a:p>
        </xdr:txBody>
      </xdr:sp>
      <xdr:sp macro="" textlink="">
        <xdr:nvSpPr>
          <xdr:cNvPr id="5732" name="Line 13">
            <a:extLst>
              <a:ext uri="{FF2B5EF4-FFF2-40B4-BE49-F238E27FC236}">
                <a16:creationId xmlns:a16="http://schemas.microsoft.com/office/drawing/2014/main" id="{00000000-0008-0000-0600-000064160000}"/>
              </a:ext>
            </a:extLst>
          </xdr:cNvPr>
          <xdr:cNvSpPr>
            <a:spLocks noChangeShapeType="1"/>
          </xdr:cNvSpPr>
        </xdr:nvSpPr>
        <xdr:spPr bwMode="auto">
          <a:xfrm flipH="1">
            <a:off x="852" y="389"/>
            <a:ext cx="18"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3" name="Line 14">
            <a:extLst>
              <a:ext uri="{FF2B5EF4-FFF2-40B4-BE49-F238E27FC236}">
                <a16:creationId xmlns:a16="http://schemas.microsoft.com/office/drawing/2014/main" id="{00000000-0008-0000-0600-000065160000}"/>
              </a:ext>
            </a:extLst>
          </xdr:cNvPr>
          <xdr:cNvSpPr>
            <a:spLocks noChangeShapeType="1"/>
          </xdr:cNvSpPr>
        </xdr:nvSpPr>
        <xdr:spPr bwMode="auto">
          <a:xfrm flipH="1">
            <a:off x="862" y="389"/>
            <a:ext cx="31" cy="2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4" name="Line 15">
            <a:extLst>
              <a:ext uri="{FF2B5EF4-FFF2-40B4-BE49-F238E27FC236}">
                <a16:creationId xmlns:a16="http://schemas.microsoft.com/office/drawing/2014/main" id="{00000000-0008-0000-0600-000066160000}"/>
              </a:ext>
            </a:extLst>
          </xdr:cNvPr>
          <xdr:cNvSpPr>
            <a:spLocks noChangeShapeType="1"/>
          </xdr:cNvSpPr>
        </xdr:nvSpPr>
        <xdr:spPr bwMode="auto">
          <a:xfrm>
            <a:off x="858" y="401"/>
            <a:ext cx="10" cy="1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5" name="Line 16">
            <a:extLst>
              <a:ext uri="{FF2B5EF4-FFF2-40B4-BE49-F238E27FC236}">
                <a16:creationId xmlns:a16="http://schemas.microsoft.com/office/drawing/2014/main" id="{00000000-0008-0000-0600-000067160000}"/>
              </a:ext>
            </a:extLst>
          </xdr:cNvPr>
          <xdr:cNvSpPr>
            <a:spLocks noChangeShapeType="1"/>
          </xdr:cNvSpPr>
        </xdr:nvSpPr>
        <xdr:spPr bwMode="auto">
          <a:xfrm>
            <a:off x="867" y="410"/>
            <a:ext cx="17" cy="21"/>
          </a:xfrm>
          <a:prstGeom prst="line">
            <a:avLst/>
          </a:prstGeom>
          <a:noFill/>
          <a:ln w="19050">
            <a:solidFill>
              <a:srgbClr val="000000"/>
            </a:solidFill>
            <a:round/>
            <a:headEnd type="arrow" w="med" len="med"/>
            <a:tailEnd/>
          </a:ln>
          <a:extLst>
            <a:ext uri="{909E8E84-426E-40DD-AFC4-6F175D3DCCD1}">
              <a14:hiddenFill xmlns:a14="http://schemas.microsoft.com/office/drawing/2010/main">
                <a:noFill/>
              </a14:hiddenFill>
            </a:ext>
          </a:extLst>
        </xdr:spPr>
      </xdr:sp>
      <xdr:sp macro="" textlink="">
        <xdr:nvSpPr>
          <xdr:cNvPr id="5736" name="Line 17">
            <a:extLst>
              <a:ext uri="{FF2B5EF4-FFF2-40B4-BE49-F238E27FC236}">
                <a16:creationId xmlns:a16="http://schemas.microsoft.com/office/drawing/2014/main" id="{00000000-0008-0000-0600-000068160000}"/>
              </a:ext>
            </a:extLst>
          </xdr:cNvPr>
          <xdr:cNvSpPr>
            <a:spLocks noChangeShapeType="1"/>
          </xdr:cNvSpPr>
        </xdr:nvSpPr>
        <xdr:spPr bwMode="auto">
          <a:xfrm>
            <a:off x="850" y="392"/>
            <a:ext cx="9" cy="10"/>
          </a:xfrm>
          <a:prstGeom prst="line">
            <a:avLst/>
          </a:prstGeom>
          <a:noFill/>
          <a:ln w="19050">
            <a:solidFill>
              <a:srgbClr val="000000"/>
            </a:solidFill>
            <a:round/>
            <a:headEnd/>
            <a:tailEnd type="arrow" w="med" len="med"/>
          </a:ln>
          <a:extLst>
            <a:ext uri="{909E8E84-426E-40DD-AFC4-6F175D3DCCD1}">
              <a14:hiddenFill xmlns:a14="http://schemas.microsoft.com/office/drawing/2010/main">
                <a:noFill/>
              </a14:hiddenFill>
            </a:ext>
          </a:extLst>
        </xdr:spPr>
      </xdr:sp>
      <xdr:sp macro="" textlink="">
        <xdr:nvSpPr>
          <xdr:cNvPr id="5138" name="AutoShape 18">
            <a:extLst>
              <a:ext uri="{FF2B5EF4-FFF2-40B4-BE49-F238E27FC236}">
                <a16:creationId xmlns:a16="http://schemas.microsoft.com/office/drawing/2014/main" id="{00000000-0008-0000-0600-000012140000}"/>
              </a:ext>
            </a:extLst>
          </xdr:cNvPr>
          <xdr:cNvSpPr>
            <a:spLocks noChangeArrowheads="1"/>
          </xdr:cNvSpPr>
        </xdr:nvSpPr>
        <xdr:spPr bwMode="auto">
          <a:xfrm rot="5400000">
            <a:off x="892" y="390"/>
            <a:ext cx="23" cy="51"/>
          </a:xfrm>
          <a:prstGeom prst="flowChartAlternateProcess">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１２０</a:t>
            </a:r>
          </a:p>
        </xdr:txBody>
      </xdr:sp>
      <xdr:sp macro="" textlink="">
        <xdr:nvSpPr>
          <xdr:cNvPr id="5738" name="Line 19">
            <a:extLst>
              <a:ext uri="{FF2B5EF4-FFF2-40B4-BE49-F238E27FC236}">
                <a16:creationId xmlns:a16="http://schemas.microsoft.com/office/drawing/2014/main" id="{00000000-0008-0000-0600-00006A160000}"/>
              </a:ext>
            </a:extLst>
          </xdr:cNvPr>
          <xdr:cNvSpPr>
            <a:spLocks noChangeShapeType="1"/>
          </xdr:cNvSpPr>
        </xdr:nvSpPr>
        <xdr:spPr bwMode="auto">
          <a:xfrm>
            <a:off x="963" y="365"/>
            <a:ext cx="0" cy="35"/>
          </a:xfrm>
          <a:prstGeom prst="line">
            <a:avLst/>
          </a:prstGeom>
          <a:noFill/>
          <a:ln w="19050">
            <a:solidFill>
              <a:srgbClr val="000000"/>
            </a:solidFill>
            <a:prstDash val="dashDot"/>
            <a:round/>
            <a:headEnd/>
            <a:tailEn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editAs="oneCell">
        <xdr:from>
          <xdr:col>4</xdr:col>
          <xdr:colOff>9525</xdr:colOff>
          <xdr:row>9</xdr:row>
          <xdr:rowOff>9525</xdr:rowOff>
        </xdr:from>
        <xdr:to>
          <xdr:col>5</xdr:col>
          <xdr:colOff>114300</xdr:colOff>
          <xdr:row>9</xdr:row>
          <xdr:rowOff>219075</xdr:rowOff>
        </xdr:to>
        <xdr:sp macro="" textlink="">
          <xdr:nvSpPr>
            <xdr:cNvPr id="5141" name="Option Button 21"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9525</xdr:rowOff>
        </xdr:from>
        <xdr:to>
          <xdr:col>9</xdr:col>
          <xdr:colOff>104775</xdr:colOff>
          <xdr:row>9</xdr:row>
          <xdr:rowOff>219075</xdr:rowOff>
        </xdr:to>
        <xdr:sp macro="" textlink="">
          <xdr:nvSpPr>
            <xdr:cNvPr id="5142" name="Option Button 22" hidden="1">
              <a:extLst>
                <a:ext uri="{63B3BB69-23CF-44E3-9099-C40C66FF867C}">
                  <a14:compatExt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19</xdr:col>
          <xdr:colOff>190500</xdr:colOff>
          <xdr:row>10</xdr:row>
          <xdr:rowOff>0</xdr:rowOff>
        </xdr:to>
        <xdr:sp macro="" textlink="">
          <xdr:nvSpPr>
            <xdr:cNvPr id="5143" name="Group Box 23" hidden="1">
              <a:extLst>
                <a:ext uri="{63B3BB69-23CF-44E3-9099-C40C66FF867C}">
                  <a14:compatExt spid="_x0000_s5143"/>
                </a:ext>
                <a:ext uri="{FF2B5EF4-FFF2-40B4-BE49-F238E27FC236}">
                  <a16:creationId xmlns:a16="http://schemas.microsoft.com/office/drawing/2014/main" id="{00000000-0008-0000-0600-00001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19</xdr:col>
          <xdr:colOff>190500</xdr:colOff>
          <xdr:row>12</xdr:row>
          <xdr:rowOff>0</xdr:rowOff>
        </xdr:to>
        <xdr:sp macro="" textlink="">
          <xdr:nvSpPr>
            <xdr:cNvPr id="5144" name="Group Box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xdr:row>
          <xdr:rowOff>9525</xdr:rowOff>
        </xdr:from>
        <xdr:to>
          <xdr:col>5</xdr:col>
          <xdr:colOff>114300</xdr:colOff>
          <xdr:row>10</xdr:row>
          <xdr:rowOff>219075</xdr:rowOff>
        </xdr:to>
        <xdr:sp macro="" textlink="">
          <xdr:nvSpPr>
            <xdr:cNvPr id="5145" name="Option Button 25" hidden="1">
              <a:extLst>
                <a:ext uri="{63B3BB69-23CF-44E3-9099-C40C66FF867C}">
                  <a14:compatExt spid="_x0000_s5145"/>
                </a:ext>
                <a:ext uri="{FF2B5EF4-FFF2-40B4-BE49-F238E27FC236}">
                  <a16:creationId xmlns:a16="http://schemas.microsoft.com/office/drawing/2014/main" id="{00000000-0008-0000-06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xdr:row>
          <xdr:rowOff>9525</xdr:rowOff>
        </xdr:from>
        <xdr:to>
          <xdr:col>5</xdr:col>
          <xdr:colOff>114300</xdr:colOff>
          <xdr:row>11</xdr:row>
          <xdr:rowOff>219075</xdr:rowOff>
        </xdr:to>
        <xdr:sp macro="" textlink="">
          <xdr:nvSpPr>
            <xdr:cNvPr id="5146" name="Option Button 26" hidden="1">
              <a:extLst>
                <a:ext uri="{63B3BB69-23CF-44E3-9099-C40C66FF867C}">
                  <a14:compatExt spid="_x0000_s5146"/>
                </a:ext>
                <a:ext uri="{FF2B5EF4-FFF2-40B4-BE49-F238E27FC236}">
                  <a16:creationId xmlns:a16="http://schemas.microsoft.com/office/drawing/2014/main" id="{00000000-0008-0000-06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19</xdr:col>
          <xdr:colOff>190500</xdr:colOff>
          <xdr:row>21</xdr:row>
          <xdr:rowOff>0</xdr:rowOff>
        </xdr:to>
        <xdr:sp macro="" textlink="">
          <xdr:nvSpPr>
            <xdr:cNvPr id="5147" name="Group Box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104775</xdr:colOff>
          <xdr:row>12</xdr:row>
          <xdr:rowOff>209550</xdr:rowOff>
        </xdr:to>
        <xdr:sp macro="" textlink="">
          <xdr:nvSpPr>
            <xdr:cNvPr id="5148" name="Option 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9525</xdr:rowOff>
        </xdr:from>
        <xdr:to>
          <xdr:col>5</xdr:col>
          <xdr:colOff>104775</xdr:colOff>
          <xdr:row>13</xdr:row>
          <xdr:rowOff>219075</xdr:rowOff>
        </xdr:to>
        <xdr:sp macro="" textlink="">
          <xdr:nvSpPr>
            <xdr:cNvPr id="5149" name="Option 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9525</xdr:rowOff>
        </xdr:from>
        <xdr:to>
          <xdr:col>5</xdr:col>
          <xdr:colOff>104775</xdr:colOff>
          <xdr:row>14</xdr:row>
          <xdr:rowOff>219075</xdr:rowOff>
        </xdr:to>
        <xdr:sp macro="" textlink="">
          <xdr:nvSpPr>
            <xdr:cNvPr id="5150" name="Option Button 30" hidden="1">
              <a:extLst>
                <a:ext uri="{63B3BB69-23CF-44E3-9099-C40C66FF867C}">
                  <a14:compatExt spid="_x0000_s5150"/>
                </a:ext>
                <a:ext uri="{FF2B5EF4-FFF2-40B4-BE49-F238E27FC236}">
                  <a16:creationId xmlns:a16="http://schemas.microsoft.com/office/drawing/2014/main" id="{00000000-0008-0000-06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19</xdr:col>
          <xdr:colOff>190500</xdr:colOff>
          <xdr:row>23</xdr:row>
          <xdr:rowOff>0</xdr:rowOff>
        </xdr:to>
        <xdr:sp macro="" textlink="">
          <xdr:nvSpPr>
            <xdr:cNvPr id="5154" name="Group Box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104775</xdr:colOff>
          <xdr:row>21</xdr:row>
          <xdr:rowOff>209550</xdr:rowOff>
        </xdr:to>
        <xdr:sp macro="" textlink="">
          <xdr:nvSpPr>
            <xdr:cNvPr id="5155" name="Option 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104775</xdr:colOff>
          <xdr:row>21</xdr:row>
          <xdr:rowOff>209550</xdr:rowOff>
        </xdr:to>
        <xdr:sp macro="" textlink="">
          <xdr:nvSpPr>
            <xdr:cNvPr id="5156" name="Option 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21</xdr:row>
          <xdr:rowOff>0</xdr:rowOff>
        </xdr:from>
        <xdr:to>
          <xdr:col>13</xdr:col>
          <xdr:colOff>104775</xdr:colOff>
          <xdr:row>21</xdr:row>
          <xdr:rowOff>209550</xdr:rowOff>
        </xdr:to>
        <xdr:sp macro="" textlink="">
          <xdr:nvSpPr>
            <xdr:cNvPr id="5157" name="Option 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21</xdr:row>
          <xdr:rowOff>0</xdr:rowOff>
        </xdr:from>
        <xdr:to>
          <xdr:col>17</xdr:col>
          <xdr:colOff>104775</xdr:colOff>
          <xdr:row>21</xdr:row>
          <xdr:rowOff>209550</xdr:rowOff>
        </xdr:to>
        <xdr:sp macro="" textlink="">
          <xdr:nvSpPr>
            <xdr:cNvPr id="5158" name="Option Button 38" hidden="1">
              <a:extLst>
                <a:ext uri="{63B3BB69-23CF-44E3-9099-C40C66FF867C}">
                  <a14:compatExt spid="_x0000_s5158"/>
                </a:ext>
                <a:ext uri="{FF2B5EF4-FFF2-40B4-BE49-F238E27FC236}">
                  <a16:creationId xmlns:a16="http://schemas.microsoft.com/office/drawing/2014/main" id="{00000000-0008-0000-06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19050</xdr:rowOff>
        </xdr:from>
        <xdr:to>
          <xdr:col>5</xdr:col>
          <xdr:colOff>104775</xdr:colOff>
          <xdr:row>23</xdr:row>
          <xdr:rowOff>0</xdr:rowOff>
        </xdr:to>
        <xdr:sp macro="" textlink="">
          <xdr:nvSpPr>
            <xdr:cNvPr id="5159" name="Option Button 39"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19</xdr:col>
          <xdr:colOff>190500</xdr:colOff>
          <xdr:row>26</xdr:row>
          <xdr:rowOff>0</xdr:rowOff>
        </xdr:to>
        <xdr:sp macro="" textlink="">
          <xdr:nvSpPr>
            <xdr:cNvPr id="5160" name="Group Box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104775</xdr:colOff>
          <xdr:row>23</xdr:row>
          <xdr:rowOff>209550</xdr:rowOff>
        </xdr:to>
        <xdr:sp macro="" textlink="">
          <xdr:nvSpPr>
            <xdr:cNvPr id="5161" name="Option 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9525</xdr:rowOff>
        </xdr:from>
        <xdr:to>
          <xdr:col>5</xdr:col>
          <xdr:colOff>104775</xdr:colOff>
          <xdr:row>24</xdr:row>
          <xdr:rowOff>219075</xdr:rowOff>
        </xdr:to>
        <xdr:sp macro="" textlink="">
          <xdr:nvSpPr>
            <xdr:cNvPr id="5162" name="Option Button 42" hidden="1">
              <a:extLst>
                <a:ext uri="{63B3BB69-23CF-44E3-9099-C40C66FF867C}">
                  <a14:compatExt spid="_x0000_s5162"/>
                </a:ext>
                <a:ext uri="{FF2B5EF4-FFF2-40B4-BE49-F238E27FC236}">
                  <a16:creationId xmlns:a16="http://schemas.microsoft.com/office/drawing/2014/main" id="{00000000-0008-0000-06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19</xdr:col>
          <xdr:colOff>190500</xdr:colOff>
          <xdr:row>28</xdr:row>
          <xdr:rowOff>0</xdr:rowOff>
        </xdr:to>
        <xdr:sp macro="" textlink="">
          <xdr:nvSpPr>
            <xdr:cNvPr id="5167" name="Group Box 47" hidden="1">
              <a:extLst>
                <a:ext uri="{63B3BB69-23CF-44E3-9099-C40C66FF867C}">
                  <a14:compatExt spid="_x0000_s5167"/>
                </a:ext>
                <a:ext uri="{FF2B5EF4-FFF2-40B4-BE49-F238E27FC236}">
                  <a16:creationId xmlns:a16="http://schemas.microsoft.com/office/drawing/2014/main" id="{00000000-0008-0000-0600-00002F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104775</xdr:colOff>
          <xdr:row>26</xdr:row>
          <xdr:rowOff>209550</xdr:rowOff>
        </xdr:to>
        <xdr:sp macro="" textlink="">
          <xdr:nvSpPr>
            <xdr:cNvPr id="5168" name="Option Button 48" hidden="1">
              <a:extLst>
                <a:ext uri="{63B3BB69-23CF-44E3-9099-C40C66FF867C}">
                  <a14:compatExt spid="_x0000_s5168"/>
                </a:ext>
                <a:ext uri="{FF2B5EF4-FFF2-40B4-BE49-F238E27FC236}">
                  <a16:creationId xmlns:a16="http://schemas.microsoft.com/office/drawing/2014/main" id="{00000000-0008-0000-0600-00003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104775</xdr:colOff>
          <xdr:row>26</xdr:row>
          <xdr:rowOff>209550</xdr:rowOff>
        </xdr:to>
        <xdr:sp macro="" textlink="">
          <xdr:nvSpPr>
            <xdr:cNvPr id="5169" name="Option Button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9525</xdr:rowOff>
        </xdr:from>
        <xdr:to>
          <xdr:col>5</xdr:col>
          <xdr:colOff>104775</xdr:colOff>
          <xdr:row>27</xdr:row>
          <xdr:rowOff>219075</xdr:rowOff>
        </xdr:to>
        <xdr:sp macro="" textlink="">
          <xdr:nvSpPr>
            <xdr:cNvPr id="5170" name="Option Button 50" hidden="1">
              <a:extLst>
                <a:ext uri="{63B3BB69-23CF-44E3-9099-C40C66FF867C}">
                  <a14:compatExt spid="_x0000_s5170"/>
                </a:ext>
                <a:ext uri="{FF2B5EF4-FFF2-40B4-BE49-F238E27FC236}">
                  <a16:creationId xmlns:a16="http://schemas.microsoft.com/office/drawing/2014/main" id="{00000000-0008-0000-06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xdr:row>
          <xdr:rowOff>219075</xdr:rowOff>
        </xdr:from>
        <xdr:to>
          <xdr:col>37</xdr:col>
          <xdr:colOff>190500</xdr:colOff>
          <xdr:row>7</xdr:row>
          <xdr:rowOff>0</xdr:rowOff>
        </xdr:to>
        <xdr:sp macro="" textlink="">
          <xdr:nvSpPr>
            <xdr:cNvPr id="5171" name="Group Box 51" hidden="1">
              <a:extLst>
                <a:ext uri="{63B3BB69-23CF-44E3-9099-C40C66FF867C}">
                  <a14:compatExt spid="_x0000_s5171"/>
                </a:ext>
                <a:ext uri="{FF2B5EF4-FFF2-40B4-BE49-F238E27FC236}">
                  <a16:creationId xmlns:a16="http://schemas.microsoft.com/office/drawing/2014/main" id="{00000000-0008-0000-0600-000033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xdr:row>
          <xdr:rowOff>0</xdr:rowOff>
        </xdr:from>
        <xdr:to>
          <xdr:col>22</xdr:col>
          <xdr:colOff>104775</xdr:colOff>
          <xdr:row>5</xdr:row>
          <xdr:rowOff>209550</xdr:rowOff>
        </xdr:to>
        <xdr:sp macro="" textlink="">
          <xdr:nvSpPr>
            <xdr:cNvPr id="5172" name="Option Button 52" hidden="1">
              <a:extLst>
                <a:ext uri="{63B3BB69-23CF-44E3-9099-C40C66FF867C}">
                  <a14:compatExt spid="_x0000_s5172"/>
                </a:ext>
                <a:ext uri="{FF2B5EF4-FFF2-40B4-BE49-F238E27FC236}">
                  <a16:creationId xmlns:a16="http://schemas.microsoft.com/office/drawing/2014/main" id="{00000000-0008-0000-06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xdr:row>
          <xdr:rowOff>0</xdr:rowOff>
        </xdr:from>
        <xdr:to>
          <xdr:col>25</xdr:col>
          <xdr:colOff>104775</xdr:colOff>
          <xdr:row>5</xdr:row>
          <xdr:rowOff>209550</xdr:rowOff>
        </xdr:to>
        <xdr:sp macro="" textlink="">
          <xdr:nvSpPr>
            <xdr:cNvPr id="5173" name="Option Button 53" hidden="1">
              <a:extLst>
                <a:ext uri="{63B3BB69-23CF-44E3-9099-C40C66FF867C}">
                  <a14:compatExt spid="_x0000_s5173"/>
                </a:ext>
                <a:ext uri="{FF2B5EF4-FFF2-40B4-BE49-F238E27FC236}">
                  <a16:creationId xmlns:a16="http://schemas.microsoft.com/office/drawing/2014/main" id="{00000000-0008-0000-06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6</xdr:row>
          <xdr:rowOff>9525</xdr:rowOff>
        </xdr:from>
        <xdr:to>
          <xdr:col>22</xdr:col>
          <xdr:colOff>114300</xdr:colOff>
          <xdr:row>6</xdr:row>
          <xdr:rowOff>219075</xdr:rowOff>
        </xdr:to>
        <xdr:sp macro="" textlink="">
          <xdr:nvSpPr>
            <xdr:cNvPr id="5174" name="Option Button 54" hidden="1">
              <a:extLst>
                <a:ext uri="{63B3BB69-23CF-44E3-9099-C40C66FF867C}">
                  <a14:compatExt spid="_x0000_s5174"/>
                </a:ext>
                <a:ext uri="{FF2B5EF4-FFF2-40B4-BE49-F238E27FC236}">
                  <a16:creationId xmlns:a16="http://schemas.microsoft.com/office/drawing/2014/main" id="{00000000-0008-0000-06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xdr:row>
          <xdr:rowOff>0</xdr:rowOff>
        </xdr:from>
        <xdr:to>
          <xdr:col>37</xdr:col>
          <xdr:colOff>190500</xdr:colOff>
          <xdr:row>8</xdr:row>
          <xdr:rowOff>0</xdr:rowOff>
        </xdr:to>
        <xdr:sp macro="" textlink="">
          <xdr:nvSpPr>
            <xdr:cNvPr id="5175" name="Group Box 55" hidden="1">
              <a:extLst>
                <a:ext uri="{63B3BB69-23CF-44E3-9099-C40C66FF867C}">
                  <a14:compatExt spid="_x0000_s5175"/>
                </a:ext>
                <a:ext uri="{FF2B5EF4-FFF2-40B4-BE49-F238E27FC236}">
                  <a16:creationId xmlns:a16="http://schemas.microsoft.com/office/drawing/2014/main" id="{00000000-0008-0000-0600-00003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7</xdr:row>
          <xdr:rowOff>0</xdr:rowOff>
        </xdr:from>
        <xdr:to>
          <xdr:col>30</xdr:col>
          <xdr:colOff>104775</xdr:colOff>
          <xdr:row>7</xdr:row>
          <xdr:rowOff>209550</xdr:rowOff>
        </xdr:to>
        <xdr:sp macro="" textlink="">
          <xdr:nvSpPr>
            <xdr:cNvPr id="5176" name="Option Button 56" hidden="1">
              <a:extLst>
                <a:ext uri="{63B3BB69-23CF-44E3-9099-C40C66FF867C}">
                  <a14:compatExt spid="_x0000_s5176"/>
                </a:ext>
                <a:ext uri="{FF2B5EF4-FFF2-40B4-BE49-F238E27FC236}">
                  <a16:creationId xmlns:a16="http://schemas.microsoft.com/office/drawing/2014/main" id="{00000000-0008-0000-06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7</xdr:row>
          <xdr:rowOff>0</xdr:rowOff>
        </xdr:from>
        <xdr:to>
          <xdr:col>36</xdr:col>
          <xdr:colOff>104775</xdr:colOff>
          <xdr:row>7</xdr:row>
          <xdr:rowOff>209550</xdr:rowOff>
        </xdr:to>
        <xdr:sp macro="" textlink="">
          <xdr:nvSpPr>
            <xdr:cNvPr id="5177" name="Option Button 57" hidden="1">
              <a:extLst>
                <a:ext uri="{63B3BB69-23CF-44E3-9099-C40C66FF867C}">
                  <a14:compatExt spid="_x0000_s5177"/>
                </a:ext>
                <a:ext uri="{FF2B5EF4-FFF2-40B4-BE49-F238E27FC236}">
                  <a16:creationId xmlns:a16="http://schemas.microsoft.com/office/drawing/2014/main" id="{00000000-0008-0000-06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8</xdr:row>
          <xdr:rowOff>0</xdr:rowOff>
        </xdr:from>
        <xdr:to>
          <xdr:col>37</xdr:col>
          <xdr:colOff>190500</xdr:colOff>
          <xdr:row>12</xdr:row>
          <xdr:rowOff>0</xdr:rowOff>
        </xdr:to>
        <xdr:sp macro="" textlink="">
          <xdr:nvSpPr>
            <xdr:cNvPr id="5178" name="Group Box 58" hidden="1">
              <a:extLst>
                <a:ext uri="{63B3BB69-23CF-44E3-9099-C40C66FF867C}">
                  <a14:compatExt spid="_x0000_s5178"/>
                </a:ext>
                <a:ext uri="{FF2B5EF4-FFF2-40B4-BE49-F238E27FC236}">
                  <a16:creationId xmlns:a16="http://schemas.microsoft.com/office/drawing/2014/main" id="{00000000-0008-0000-0600-00003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xdr:row>
          <xdr:rowOff>0</xdr:rowOff>
        </xdr:from>
        <xdr:to>
          <xdr:col>37</xdr:col>
          <xdr:colOff>190500</xdr:colOff>
          <xdr:row>20</xdr:row>
          <xdr:rowOff>0</xdr:rowOff>
        </xdr:to>
        <xdr:sp macro="" textlink="">
          <xdr:nvSpPr>
            <xdr:cNvPr id="5179" name="Group Box 59" hidden="1">
              <a:extLst>
                <a:ext uri="{63B3BB69-23CF-44E3-9099-C40C66FF867C}">
                  <a14:compatExt spid="_x0000_s5179"/>
                </a:ext>
                <a:ext uri="{FF2B5EF4-FFF2-40B4-BE49-F238E27FC236}">
                  <a16:creationId xmlns:a16="http://schemas.microsoft.com/office/drawing/2014/main" id="{00000000-0008-0000-0600-00003B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xdr:row>
          <xdr:rowOff>0</xdr:rowOff>
        </xdr:from>
        <xdr:to>
          <xdr:col>30</xdr:col>
          <xdr:colOff>104775</xdr:colOff>
          <xdr:row>19</xdr:row>
          <xdr:rowOff>209550</xdr:rowOff>
        </xdr:to>
        <xdr:sp macro="" textlink="">
          <xdr:nvSpPr>
            <xdr:cNvPr id="5180" name="Option Button 60" hidden="1">
              <a:extLst>
                <a:ext uri="{63B3BB69-23CF-44E3-9099-C40C66FF867C}">
                  <a14:compatExt spid="_x0000_s5180"/>
                </a:ext>
                <a:ext uri="{FF2B5EF4-FFF2-40B4-BE49-F238E27FC236}">
                  <a16:creationId xmlns:a16="http://schemas.microsoft.com/office/drawing/2014/main" id="{00000000-0008-0000-06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19</xdr:row>
          <xdr:rowOff>0</xdr:rowOff>
        </xdr:from>
        <xdr:to>
          <xdr:col>36</xdr:col>
          <xdr:colOff>104775</xdr:colOff>
          <xdr:row>19</xdr:row>
          <xdr:rowOff>209550</xdr:rowOff>
        </xdr:to>
        <xdr:sp macro="" textlink="">
          <xdr:nvSpPr>
            <xdr:cNvPr id="5181" name="Option Button 61" hidden="1">
              <a:extLst>
                <a:ext uri="{63B3BB69-23CF-44E3-9099-C40C66FF867C}">
                  <a14:compatExt spid="_x0000_s5181"/>
                </a:ext>
                <a:ext uri="{FF2B5EF4-FFF2-40B4-BE49-F238E27FC236}">
                  <a16:creationId xmlns:a16="http://schemas.microsoft.com/office/drawing/2014/main" id="{00000000-0008-0000-06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xdr:row>
          <xdr:rowOff>0</xdr:rowOff>
        </xdr:from>
        <xdr:to>
          <xdr:col>37</xdr:col>
          <xdr:colOff>190500</xdr:colOff>
          <xdr:row>19</xdr:row>
          <xdr:rowOff>0</xdr:rowOff>
        </xdr:to>
        <xdr:sp macro="" textlink="">
          <xdr:nvSpPr>
            <xdr:cNvPr id="5182" name="Group Box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xdr:row>
          <xdr:rowOff>0</xdr:rowOff>
        </xdr:from>
        <xdr:to>
          <xdr:col>22</xdr:col>
          <xdr:colOff>104775</xdr:colOff>
          <xdr:row>17</xdr:row>
          <xdr:rowOff>209550</xdr:rowOff>
        </xdr:to>
        <xdr:sp macro="" textlink="">
          <xdr:nvSpPr>
            <xdr:cNvPr id="5183" name="Option Button 63" hidden="1">
              <a:extLst>
                <a:ext uri="{63B3BB69-23CF-44E3-9099-C40C66FF867C}">
                  <a14:compatExt spid="_x0000_s5183"/>
                </a:ext>
                <a:ext uri="{FF2B5EF4-FFF2-40B4-BE49-F238E27FC236}">
                  <a16:creationId xmlns:a16="http://schemas.microsoft.com/office/drawing/2014/main" id="{00000000-0008-0000-06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18</xdr:row>
          <xdr:rowOff>9525</xdr:rowOff>
        </xdr:from>
        <xdr:to>
          <xdr:col>22</xdr:col>
          <xdr:colOff>104775</xdr:colOff>
          <xdr:row>18</xdr:row>
          <xdr:rowOff>219075</xdr:rowOff>
        </xdr:to>
        <xdr:sp macro="" textlink="">
          <xdr:nvSpPr>
            <xdr:cNvPr id="5184" name="Option Button 64" hidden="1">
              <a:extLst>
                <a:ext uri="{63B3BB69-23CF-44E3-9099-C40C66FF867C}">
                  <a14:compatExt spid="_x0000_s5184"/>
                </a:ext>
                <a:ext uri="{FF2B5EF4-FFF2-40B4-BE49-F238E27FC236}">
                  <a16:creationId xmlns:a16="http://schemas.microsoft.com/office/drawing/2014/main" id="{00000000-0008-0000-06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185" name="Group Box 65" hidden="1">
              <a:extLst>
                <a:ext uri="{63B3BB69-23CF-44E3-9099-C40C66FF867C}">
                  <a14:compatExt spid="_x0000_s5185"/>
                </a:ext>
                <a:ext uri="{FF2B5EF4-FFF2-40B4-BE49-F238E27FC236}">
                  <a16:creationId xmlns:a16="http://schemas.microsoft.com/office/drawing/2014/main" id="{00000000-0008-0000-0600-00004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20</xdr:row>
          <xdr:rowOff>19050</xdr:rowOff>
        </xdr:from>
        <xdr:to>
          <xdr:col>24</xdr:col>
          <xdr:colOff>104775</xdr:colOff>
          <xdr:row>21</xdr:row>
          <xdr:rowOff>0</xdr:rowOff>
        </xdr:to>
        <xdr:sp macro="" textlink="">
          <xdr:nvSpPr>
            <xdr:cNvPr id="5186" name="Option Button 66" hidden="1">
              <a:extLst>
                <a:ext uri="{63B3BB69-23CF-44E3-9099-C40C66FF867C}">
                  <a14:compatExt spid="_x0000_s5186"/>
                </a:ext>
                <a:ext uri="{FF2B5EF4-FFF2-40B4-BE49-F238E27FC236}">
                  <a16:creationId xmlns:a16="http://schemas.microsoft.com/office/drawing/2014/main" id="{00000000-0008-0000-06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20</xdr:row>
          <xdr:rowOff>19050</xdr:rowOff>
        </xdr:from>
        <xdr:to>
          <xdr:col>30</xdr:col>
          <xdr:colOff>104775</xdr:colOff>
          <xdr:row>21</xdr:row>
          <xdr:rowOff>0</xdr:rowOff>
        </xdr:to>
        <xdr:sp macro="" textlink="">
          <xdr:nvSpPr>
            <xdr:cNvPr id="5187" name="Option Button 67" hidden="1">
              <a:extLst>
                <a:ext uri="{63B3BB69-23CF-44E3-9099-C40C66FF867C}">
                  <a14:compatExt spid="_x0000_s5187"/>
                </a:ext>
                <a:ext uri="{FF2B5EF4-FFF2-40B4-BE49-F238E27FC236}">
                  <a16:creationId xmlns:a16="http://schemas.microsoft.com/office/drawing/2014/main" id="{00000000-0008-0000-06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21</xdr:row>
          <xdr:rowOff>9525</xdr:rowOff>
        </xdr:from>
        <xdr:to>
          <xdr:col>24</xdr:col>
          <xdr:colOff>104775</xdr:colOff>
          <xdr:row>21</xdr:row>
          <xdr:rowOff>219075</xdr:rowOff>
        </xdr:to>
        <xdr:sp macro="" textlink="">
          <xdr:nvSpPr>
            <xdr:cNvPr id="5188" name="Option Button 68" hidden="1">
              <a:extLst>
                <a:ext uri="{63B3BB69-23CF-44E3-9099-C40C66FF867C}">
                  <a14:compatExt spid="_x0000_s5188"/>
                </a:ext>
                <a:ext uri="{FF2B5EF4-FFF2-40B4-BE49-F238E27FC236}">
                  <a16:creationId xmlns:a16="http://schemas.microsoft.com/office/drawing/2014/main" id="{00000000-0008-0000-06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xdr:row>
          <xdr:rowOff>219075</xdr:rowOff>
        </xdr:from>
        <xdr:to>
          <xdr:col>37</xdr:col>
          <xdr:colOff>190500</xdr:colOff>
          <xdr:row>17</xdr:row>
          <xdr:rowOff>0</xdr:rowOff>
        </xdr:to>
        <xdr:sp macro="" textlink="">
          <xdr:nvSpPr>
            <xdr:cNvPr id="5189" name="Group Box 69" hidden="1">
              <a:extLst>
                <a:ext uri="{63B3BB69-23CF-44E3-9099-C40C66FF867C}">
                  <a14:compatExt spid="_x0000_s5189"/>
                </a:ext>
                <a:ext uri="{FF2B5EF4-FFF2-40B4-BE49-F238E27FC236}">
                  <a16:creationId xmlns:a16="http://schemas.microsoft.com/office/drawing/2014/main" id="{00000000-0008-0000-0600-00004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xdr:row>
          <xdr:rowOff>0</xdr:rowOff>
        </xdr:from>
        <xdr:to>
          <xdr:col>22</xdr:col>
          <xdr:colOff>104775</xdr:colOff>
          <xdr:row>15</xdr:row>
          <xdr:rowOff>209550</xdr:rowOff>
        </xdr:to>
        <xdr:sp macro="" textlink="">
          <xdr:nvSpPr>
            <xdr:cNvPr id="5190" name="Option Button 70" hidden="1">
              <a:extLst>
                <a:ext uri="{63B3BB69-23CF-44E3-9099-C40C66FF867C}">
                  <a14:compatExt spid="_x0000_s5190"/>
                </a:ext>
                <a:ext uri="{FF2B5EF4-FFF2-40B4-BE49-F238E27FC236}">
                  <a16:creationId xmlns:a16="http://schemas.microsoft.com/office/drawing/2014/main" id="{00000000-0008-0000-06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25</xdr:col>
          <xdr:colOff>104775</xdr:colOff>
          <xdr:row>15</xdr:row>
          <xdr:rowOff>209550</xdr:rowOff>
        </xdr:to>
        <xdr:sp macro="" textlink="">
          <xdr:nvSpPr>
            <xdr:cNvPr id="5191" name="Option Button 71" hidden="1">
              <a:extLst>
                <a:ext uri="{63B3BB69-23CF-44E3-9099-C40C66FF867C}">
                  <a14:compatExt spid="_x0000_s5191"/>
                </a:ext>
                <a:ext uri="{FF2B5EF4-FFF2-40B4-BE49-F238E27FC236}">
                  <a16:creationId xmlns:a16="http://schemas.microsoft.com/office/drawing/2014/main" id="{00000000-0008-0000-06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16</xdr:row>
          <xdr:rowOff>9525</xdr:rowOff>
        </xdr:from>
        <xdr:to>
          <xdr:col>22</xdr:col>
          <xdr:colOff>114300</xdr:colOff>
          <xdr:row>16</xdr:row>
          <xdr:rowOff>219075</xdr:rowOff>
        </xdr:to>
        <xdr:sp macro="" textlink="">
          <xdr:nvSpPr>
            <xdr:cNvPr id="5192" name="Option Button 72" hidden="1">
              <a:extLst>
                <a:ext uri="{63B3BB69-23CF-44E3-9099-C40C66FF867C}">
                  <a14:compatExt spid="_x0000_s5192"/>
                </a:ext>
                <a:ext uri="{FF2B5EF4-FFF2-40B4-BE49-F238E27FC236}">
                  <a16:creationId xmlns:a16="http://schemas.microsoft.com/office/drawing/2014/main" id="{00000000-0008-0000-06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xdr:row>
          <xdr:rowOff>219075</xdr:rowOff>
        </xdr:from>
        <xdr:to>
          <xdr:col>54</xdr:col>
          <xdr:colOff>190500</xdr:colOff>
          <xdr:row>7</xdr:row>
          <xdr:rowOff>0</xdr:rowOff>
        </xdr:to>
        <xdr:sp macro="" textlink="">
          <xdr:nvSpPr>
            <xdr:cNvPr id="5193" name="Group Box 73" hidden="1">
              <a:extLst>
                <a:ext uri="{63B3BB69-23CF-44E3-9099-C40C66FF867C}">
                  <a14:compatExt spid="_x0000_s5193"/>
                </a:ext>
                <a:ext uri="{FF2B5EF4-FFF2-40B4-BE49-F238E27FC236}">
                  <a16:creationId xmlns:a16="http://schemas.microsoft.com/office/drawing/2014/main" id="{00000000-0008-0000-0600-000049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xdr:row>
          <xdr:rowOff>0</xdr:rowOff>
        </xdr:from>
        <xdr:to>
          <xdr:col>40</xdr:col>
          <xdr:colOff>104775</xdr:colOff>
          <xdr:row>5</xdr:row>
          <xdr:rowOff>209550</xdr:rowOff>
        </xdr:to>
        <xdr:sp macro="" textlink="">
          <xdr:nvSpPr>
            <xdr:cNvPr id="5194" name="Option Button 74" hidden="1">
              <a:extLst>
                <a:ext uri="{63B3BB69-23CF-44E3-9099-C40C66FF867C}">
                  <a14:compatExt spid="_x0000_s5194"/>
                </a:ext>
                <a:ext uri="{FF2B5EF4-FFF2-40B4-BE49-F238E27FC236}">
                  <a16:creationId xmlns:a16="http://schemas.microsoft.com/office/drawing/2014/main" id="{00000000-0008-0000-06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xdr:row>
          <xdr:rowOff>0</xdr:rowOff>
        </xdr:from>
        <xdr:to>
          <xdr:col>43</xdr:col>
          <xdr:colOff>104775</xdr:colOff>
          <xdr:row>5</xdr:row>
          <xdr:rowOff>209550</xdr:rowOff>
        </xdr:to>
        <xdr:sp macro="" textlink="">
          <xdr:nvSpPr>
            <xdr:cNvPr id="5195" name="Option Button 75" hidden="1">
              <a:extLst>
                <a:ext uri="{63B3BB69-23CF-44E3-9099-C40C66FF867C}">
                  <a14:compatExt spid="_x0000_s5195"/>
                </a:ext>
                <a:ext uri="{FF2B5EF4-FFF2-40B4-BE49-F238E27FC236}">
                  <a16:creationId xmlns:a16="http://schemas.microsoft.com/office/drawing/2014/main" id="{00000000-0008-0000-06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xdr:row>
          <xdr:rowOff>219075</xdr:rowOff>
        </xdr:from>
        <xdr:to>
          <xdr:col>37</xdr:col>
          <xdr:colOff>190500</xdr:colOff>
          <xdr:row>17</xdr:row>
          <xdr:rowOff>0</xdr:rowOff>
        </xdr:to>
        <xdr:sp macro="" textlink="">
          <xdr:nvSpPr>
            <xdr:cNvPr id="5196" name="Group Box 76" hidden="1">
              <a:extLst>
                <a:ext uri="{63B3BB69-23CF-44E3-9099-C40C66FF867C}">
                  <a14:compatExt spid="_x0000_s5196"/>
                </a:ext>
                <a:ext uri="{FF2B5EF4-FFF2-40B4-BE49-F238E27FC236}">
                  <a16:creationId xmlns:a16="http://schemas.microsoft.com/office/drawing/2014/main" id="{00000000-0008-0000-0600-00004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16</xdr:row>
          <xdr:rowOff>9525</xdr:rowOff>
        </xdr:from>
        <xdr:to>
          <xdr:col>22</xdr:col>
          <xdr:colOff>114300</xdr:colOff>
          <xdr:row>16</xdr:row>
          <xdr:rowOff>219075</xdr:rowOff>
        </xdr:to>
        <xdr:sp macro="" textlink="">
          <xdr:nvSpPr>
            <xdr:cNvPr id="5197" name="Option Button 77" hidden="1">
              <a:extLst>
                <a:ext uri="{63B3BB69-23CF-44E3-9099-C40C66FF867C}">
                  <a14:compatExt spid="_x0000_s5197"/>
                </a:ext>
                <a:ext uri="{FF2B5EF4-FFF2-40B4-BE49-F238E27FC236}">
                  <a16:creationId xmlns:a16="http://schemas.microsoft.com/office/drawing/2014/main" id="{00000000-0008-0000-06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6</xdr:row>
          <xdr:rowOff>9525</xdr:rowOff>
        </xdr:from>
        <xdr:to>
          <xdr:col>40</xdr:col>
          <xdr:colOff>114300</xdr:colOff>
          <xdr:row>6</xdr:row>
          <xdr:rowOff>219075</xdr:rowOff>
        </xdr:to>
        <xdr:sp macro="" textlink="">
          <xdr:nvSpPr>
            <xdr:cNvPr id="5198" name="Option Button 78" hidden="1">
              <a:extLst>
                <a:ext uri="{63B3BB69-23CF-44E3-9099-C40C66FF867C}">
                  <a14:compatExt spid="_x0000_s5198"/>
                </a:ext>
                <a:ext uri="{FF2B5EF4-FFF2-40B4-BE49-F238E27FC236}">
                  <a16:creationId xmlns:a16="http://schemas.microsoft.com/office/drawing/2014/main" id="{00000000-0008-0000-06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7</xdr:row>
          <xdr:rowOff>0</xdr:rowOff>
        </xdr:from>
        <xdr:to>
          <xdr:col>47</xdr:col>
          <xdr:colOff>104775</xdr:colOff>
          <xdr:row>7</xdr:row>
          <xdr:rowOff>209550</xdr:rowOff>
        </xdr:to>
        <xdr:sp macro="" textlink="">
          <xdr:nvSpPr>
            <xdr:cNvPr id="5199" name="Option Button 79" hidden="1">
              <a:extLst>
                <a:ext uri="{63B3BB69-23CF-44E3-9099-C40C66FF867C}">
                  <a14:compatExt spid="_x0000_s5199"/>
                </a:ext>
                <a:ext uri="{FF2B5EF4-FFF2-40B4-BE49-F238E27FC236}">
                  <a16:creationId xmlns:a16="http://schemas.microsoft.com/office/drawing/2014/main" id="{00000000-0008-0000-06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0</xdr:colOff>
          <xdr:row>7</xdr:row>
          <xdr:rowOff>0</xdr:rowOff>
        </xdr:from>
        <xdr:to>
          <xdr:col>53</xdr:col>
          <xdr:colOff>104775</xdr:colOff>
          <xdr:row>7</xdr:row>
          <xdr:rowOff>209550</xdr:rowOff>
        </xdr:to>
        <xdr:sp macro="" textlink="">
          <xdr:nvSpPr>
            <xdr:cNvPr id="5200" name="Option Button 80" hidden="1">
              <a:extLst>
                <a:ext uri="{63B3BB69-23CF-44E3-9099-C40C66FF867C}">
                  <a14:compatExt spid="_x0000_s5200"/>
                </a:ext>
                <a:ext uri="{FF2B5EF4-FFF2-40B4-BE49-F238E27FC236}">
                  <a16:creationId xmlns:a16="http://schemas.microsoft.com/office/drawing/2014/main" id="{00000000-0008-0000-06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8</xdr:row>
          <xdr:rowOff>0</xdr:rowOff>
        </xdr:from>
        <xdr:to>
          <xdr:col>54</xdr:col>
          <xdr:colOff>190500</xdr:colOff>
          <xdr:row>21</xdr:row>
          <xdr:rowOff>0</xdr:rowOff>
        </xdr:to>
        <xdr:sp macro="" textlink="">
          <xdr:nvSpPr>
            <xdr:cNvPr id="5201" name="Group Box 81" hidden="1">
              <a:extLst>
                <a:ext uri="{63B3BB69-23CF-44E3-9099-C40C66FF867C}">
                  <a14:compatExt spid="_x0000_s5201"/>
                </a:ext>
                <a:ext uri="{FF2B5EF4-FFF2-40B4-BE49-F238E27FC236}">
                  <a16:creationId xmlns:a16="http://schemas.microsoft.com/office/drawing/2014/main" id="{00000000-0008-0000-0600-00005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8</xdr:row>
          <xdr:rowOff>9525</xdr:rowOff>
        </xdr:from>
        <xdr:to>
          <xdr:col>41</xdr:col>
          <xdr:colOff>114300</xdr:colOff>
          <xdr:row>8</xdr:row>
          <xdr:rowOff>219075</xdr:rowOff>
        </xdr:to>
        <xdr:sp macro="" textlink="">
          <xdr:nvSpPr>
            <xdr:cNvPr id="5202" name="Option Button 82" hidden="1">
              <a:extLst>
                <a:ext uri="{63B3BB69-23CF-44E3-9099-C40C66FF867C}">
                  <a14:compatExt spid="_x0000_s5202"/>
                </a:ext>
                <a:ext uri="{FF2B5EF4-FFF2-40B4-BE49-F238E27FC236}">
                  <a16:creationId xmlns:a16="http://schemas.microsoft.com/office/drawing/2014/main" id="{00000000-0008-0000-0600-00005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14</xdr:row>
          <xdr:rowOff>9525</xdr:rowOff>
        </xdr:from>
        <xdr:to>
          <xdr:col>41</xdr:col>
          <xdr:colOff>114300</xdr:colOff>
          <xdr:row>14</xdr:row>
          <xdr:rowOff>219075</xdr:rowOff>
        </xdr:to>
        <xdr:sp macro="" textlink="">
          <xdr:nvSpPr>
            <xdr:cNvPr id="5203" name="Option Button 83" hidden="1">
              <a:extLst>
                <a:ext uri="{63B3BB69-23CF-44E3-9099-C40C66FF867C}">
                  <a14:compatExt spid="_x0000_s5203"/>
                </a:ext>
                <a:ext uri="{FF2B5EF4-FFF2-40B4-BE49-F238E27FC236}">
                  <a16:creationId xmlns:a16="http://schemas.microsoft.com/office/drawing/2014/main" id="{00000000-0008-0000-0600-00005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190500</xdr:colOff>
          <xdr:row>14</xdr:row>
          <xdr:rowOff>9525</xdr:rowOff>
        </xdr:from>
        <xdr:to>
          <xdr:col>47</xdr:col>
          <xdr:colOff>95250</xdr:colOff>
          <xdr:row>14</xdr:row>
          <xdr:rowOff>219075</xdr:rowOff>
        </xdr:to>
        <xdr:sp macro="" textlink="">
          <xdr:nvSpPr>
            <xdr:cNvPr id="5204" name="Option Button 84" hidden="1">
              <a:extLst>
                <a:ext uri="{63B3BB69-23CF-44E3-9099-C40C66FF867C}">
                  <a14:compatExt spid="_x0000_s5204"/>
                </a:ext>
                <a:ext uri="{FF2B5EF4-FFF2-40B4-BE49-F238E27FC236}">
                  <a16:creationId xmlns:a16="http://schemas.microsoft.com/office/drawing/2014/main" id="{00000000-0008-0000-0600-00005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0</xdr:colOff>
          <xdr:row>14</xdr:row>
          <xdr:rowOff>9525</xdr:rowOff>
        </xdr:from>
        <xdr:to>
          <xdr:col>50</xdr:col>
          <xdr:colOff>104775</xdr:colOff>
          <xdr:row>14</xdr:row>
          <xdr:rowOff>219075</xdr:rowOff>
        </xdr:to>
        <xdr:sp macro="" textlink="">
          <xdr:nvSpPr>
            <xdr:cNvPr id="5205" name="Option Button 85" hidden="1">
              <a:extLst>
                <a:ext uri="{63B3BB69-23CF-44E3-9099-C40C66FF867C}">
                  <a14:compatExt spid="_x0000_s5205"/>
                </a:ext>
                <a:ext uri="{FF2B5EF4-FFF2-40B4-BE49-F238E27FC236}">
                  <a16:creationId xmlns:a16="http://schemas.microsoft.com/office/drawing/2014/main" id="{00000000-0008-0000-0600-00005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206" name="Group Box 86" hidden="1">
              <a:extLst>
                <a:ext uri="{63B3BB69-23CF-44E3-9099-C40C66FF867C}">
                  <a14:compatExt spid="_x0000_s5206"/>
                </a:ext>
                <a:ext uri="{FF2B5EF4-FFF2-40B4-BE49-F238E27FC236}">
                  <a16:creationId xmlns:a16="http://schemas.microsoft.com/office/drawing/2014/main" id="{00000000-0008-0000-0600-000056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xdr:row>
          <xdr:rowOff>0</xdr:rowOff>
        </xdr:from>
        <xdr:to>
          <xdr:col>30</xdr:col>
          <xdr:colOff>104775</xdr:colOff>
          <xdr:row>19</xdr:row>
          <xdr:rowOff>209550</xdr:rowOff>
        </xdr:to>
        <xdr:sp macro="" textlink="">
          <xdr:nvSpPr>
            <xdr:cNvPr id="5207" name="Option Button 87" hidden="1">
              <a:extLst>
                <a:ext uri="{63B3BB69-23CF-44E3-9099-C40C66FF867C}">
                  <a14:compatExt spid="_x0000_s5207"/>
                </a:ext>
                <a:ext uri="{FF2B5EF4-FFF2-40B4-BE49-F238E27FC236}">
                  <a16:creationId xmlns:a16="http://schemas.microsoft.com/office/drawing/2014/main" id="{00000000-0008-0000-0600-00005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208" name="Group Box 88" hidden="1">
              <a:extLst>
                <a:ext uri="{63B3BB69-23CF-44E3-9099-C40C66FF867C}">
                  <a14:compatExt spid="_x0000_s5208"/>
                </a:ext>
                <a:ext uri="{FF2B5EF4-FFF2-40B4-BE49-F238E27FC236}">
                  <a16:creationId xmlns:a16="http://schemas.microsoft.com/office/drawing/2014/main" id="{00000000-0008-0000-0600-00005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190500</xdr:colOff>
          <xdr:row>18</xdr:row>
          <xdr:rowOff>9525</xdr:rowOff>
        </xdr:from>
        <xdr:to>
          <xdr:col>41</xdr:col>
          <xdr:colOff>95250</xdr:colOff>
          <xdr:row>18</xdr:row>
          <xdr:rowOff>219075</xdr:rowOff>
        </xdr:to>
        <xdr:sp macro="" textlink="">
          <xdr:nvSpPr>
            <xdr:cNvPr id="5209" name="Option Button 89" hidden="1">
              <a:extLst>
                <a:ext uri="{63B3BB69-23CF-44E3-9099-C40C66FF867C}">
                  <a14:compatExt spid="_x0000_s5209"/>
                </a:ext>
                <a:ext uri="{FF2B5EF4-FFF2-40B4-BE49-F238E27FC236}">
                  <a16:creationId xmlns:a16="http://schemas.microsoft.com/office/drawing/2014/main" id="{00000000-0008-0000-0600-00005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17</xdr:row>
          <xdr:rowOff>219075</xdr:rowOff>
        </xdr:from>
        <xdr:to>
          <xdr:col>54</xdr:col>
          <xdr:colOff>190500</xdr:colOff>
          <xdr:row>20</xdr:row>
          <xdr:rowOff>219075</xdr:rowOff>
        </xdr:to>
        <xdr:sp macro="" textlink="">
          <xdr:nvSpPr>
            <xdr:cNvPr id="5210" name="Group Box 90" hidden="1">
              <a:extLst>
                <a:ext uri="{63B3BB69-23CF-44E3-9099-C40C66FF867C}">
                  <a14:compatExt spid="_x0000_s5210"/>
                </a:ext>
                <a:ext uri="{FF2B5EF4-FFF2-40B4-BE49-F238E27FC236}">
                  <a16:creationId xmlns:a16="http://schemas.microsoft.com/office/drawing/2014/main" id="{00000000-0008-0000-0600-00005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190500</xdr:colOff>
          <xdr:row>20</xdr:row>
          <xdr:rowOff>0</xdr:rowOff>
        </xdr:from>
        <xdr:to>
          <xdr:col>41</xdr:col>
          <xdr:colOff>95250</xdr:colOff>
          <xdr:row>20</xdr:row>
          <xdr:rowOff>209550</xdr:rowOff>
        </xdr:to>
        <xdr:sp macro="" textlink="">
          <xdr:nvSpPr>
            <xdr:cNvPr id="5211" name="Option Button 91" hidden="1">
              <a:extLst>
                <a:ext uri="{63B3BB69-23CF-44E3-9099-C40C66FF867C}">
                  <a14:compatExt spid="_x0000_s5211"/>
                </a:ext>
                <a:ext uri="{FF2B5EF4-FFF2-40B4-BE49-F238E27FC236}">
                  <a16:creationId xmlns:a16="http://schemas.microsoft.com/office/drawing/2014/main" id="{00000000-0008-0000-0600-00005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21</xdr:row>
          <xdr:rowOff>0</xdr:rowOff>
        </xdr:from>
        <xdr:to>
          <xdr:col>55</xdr:col>
          <xdr:colOff>0</xdr:colOff>
          <xdr:row>28</xdr:row>
          <xdr:rowOff>0</xdr:rowOff>
        </xdr:to>
        <xdr:sp macro="" textlink="">
          <xdr:nvSpPr>
            <xdr:cNvPr id="5212" name="Group Box 92" hidden="1">
              <a:extLst>
                <a:ext uri="{63B3BB69-23CF-44E3-9099-C40C66FF867C}">
                  <a14:compatExt spid="_x0000_s5212"/>
                </a:ext>
                <a:ext uri="{FF2B5EF4-FFF2-40B4-BE49-F238E27FC236}">
                  <a16:creationId xmlns:a16="http://schemas.microsoft.com/office/drawing/2014/main" id="{00000000-0008-0000-0600-00005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21</xdr:row>
          <xdr:rowOff>19050</xdr:rowOff>
        </xdr:from>
        <xdr:to>
          <xdr:col>40</xdr:col>
          <xdr:colOff>104775</xdr:colOff>
          <xdr:row>22</xdr:row>
          <xdr:rowOff>0</xdr:rowOff>
        </xdr:to>
        <xdr:sp macro="" textlink="">
          <xdr:nvSpPr>
            <xdr:cNvPr id="5213" name="Option Button 93" hidden="1">
              <a:extLst>
                <a:ext uri="{63B3BB69-23CF-44E3-9099-C40C66FF867C}">
                  <a14:compatExt spid="_x0000_s5213"/>
                </a:ext>
                <a:ext uri="{FF2B5EF4-FFF2-40B4-BE49-F238E27FC236}">
                  <a16:creationId xmlns:a16="http://schemas.microsoft.com/office/drawing/2014/main" id="{00000000-0008-0000-0600-00005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180975</xdr:colOff>
          <xdr:row>21</xdr:row>
          <xdr:rowOff>9525</xdr:rowOff>
        </xdr:from>
        <xdr:to>
          <xdr:col>43</xdr:col>
          <xdr:colOff>85725</xdr:colOff>
          <xdr:row>21</xdr:row>
          <xdr:rowOff>219075</xdr:rowOff>
        </xdr:to>
        <xdr:sp macro="" textlink="">
          <xdr:nvSpPr>
            <xdr:cNvPr id="5214" name="Option Button 94" hidden="1">
              <a:extLst>
                <a:ext uri="{63B3BB69-23CF-44E3-9099-C40C66FF867C}">
                  <a14:compatExt spid="_x0000_s5214"/>
                </a:ext>
                <a:ext uri="{FF2B5EF4-FFF2-40B4-BE49-F238E27FC236}">
                  <a16:creationId xmlns:a16="http://schemas.microsoft.com/office/drawing/2014/main" id="{00000000-0008-0000-0600-00005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22</xdr:row>
          <xdr:rowOff>19050</xdr:rowOff>
        </xdr:from>
        <xdr:to>
          <xdr:col>40</xdr:col>
          <xdr:colOff>104775</xdr:colOff>
          <xdr:row>23</xdr:row>
          <xdr:rowOff>0</xdr:rowOff>
        </xdr:to>
        <xdr:sp macro="" textlink="">
          <xdr:nvSpPr>
            <xdr:cNvPr id="5215" name="Option Button 95" hidden="1">
              <a:extLst>
                <a:ext uri="{63B3BB69-23CF-44E3-9099-C40C66FF867C}">
                  <a14:compatExt spid="_x0000_s5215"/>
                </a:ext>
                <a:ext uri="{FF2B5EF4-FFF2-40B4-BE49-F238E27FC236}">
                  <a16:creationId xmlns:a16="http://schemas.microsoft.com/office/drawing/2014/main" id="{00000000-0008-0000-0600-00005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41</xdr:row>
          <xdr:rowOff>0</xdr:rowOff>
        </xdr:from>
        <xdr:to>
          <xdr:col>8</xdr:col>
          <xdr:colOff>114300</xdr:colOff>
          <xdr:row>41</xdr:row>
          <xdr:rowOff>209550</xdr:rowOff>
        </xdr:to>
        <xdr:sp macro="" textlink="">
          <xdr:nvSpPr>
            <xdr:cNvPr id="5216" name="Option Button 96" hidden="1">
              <a:extLst>
                <a:ext uri="{63B3BB69-23CF-44E3-9099-C40C66FF867C}">
                  <a14:compatExt spid="_x0000_s5216"/>
                </a:ext>
                <a:ext uri="{FF2B5EF4-FFF2-40B4-BE49-F238E27FC236}">
                  <a16:creationId xmlns:a16="http://schemas.microsoft.com/office/drawing/2014/main" id="{00000000-0008-0000-0600-00006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104775</xdr:colOff>
          <xdr:row>41</xdr:row>
          <xdr:rowOff>209550</xdr:rowOff>
        </xdr:to>
        <xdr:sp macro="" textlink="">
          <xdr:nvSpPr>
            <xdr:cNvPr id="5217" name="Option Button 97" hidden="1">
              <a:extLst>
                <a:ext uri="{63B3BB69-23CF-44E3-9099-C40C66FF867C}">
                  <a14:compatExt spid="_x0000_s5217"/>
                </a:ext>
                <a:ext uri="{FF2B5EF4-FFF2-40B4-BE49-F238E27FC236}">
                  <a16:creationId xmlns:a16="http://schemas.microsoft.com/office/drawing/2014/main" id="{00000000-0008-0000-0600-00006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44</xdr:row>
          <xdr:rowOff>9525</xdr:rowOff>
        </xdr:from>
        <xdr:to>
          <xdr:col>6</xdr:col>
          <xdr:colOff>114300</xdr:colOff>
          <xdr:row>45</xdr:row>
          <xdr:rowOff>0</xdr:rowOff>
        </xdr:to>
        <xdr:sp macro="" textlink="">
          <xdr:nvSpPr>
            <xdr:cNvPr id="5218" name="Option Button 98" hidden="1">
              <a:extLst>
                <a:ext uri="{63B3BB69-23CF-44E3-9099-C40C66FF867C}">
                  <a14:compatExt spid="_x0000_s5218"/>
                </a:ext>
                <a:ext uri="{FF2B5EF4-FFF2-40B4-BE49-F238E27FC236}">
                  <a16:creationId xmlns:a16="http://schemas.microsoft.com/office/drawing/2014/main" id="{00000000-0008-0000-0600-00006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45</xdr:row>
          <xdr:rowOff>0</xdr:rowOff>
        </xdr:from>
        <xdr:to>
          <xdr:col>6</xdr:col>
          <xdr:colOff>114300</xdr:colOff>
          <xdr:row>45</xdr:row>
          <xdr:rowOff>209550</xdr:rowOff>
        </xdr:to>
        <xdr:sp macro="" textlink="">
          <xdr:nvSpPr>
            <xdr:cNvPr id="5219" name="Option Button 99" hidden="1">
              <a:extLst>
                <a:ext uri="{63B3BB69-23CF-44E3-9099-C40C66FF867C}">
                  <a14:compatExt spid="_x0000_s5219"/>
                </a:ext>
                <a:ext uri="{FF2B5EF4-FFF2-40B4-BE49-F238E27FC236}">
                  <a16:creationId xmlns:a16="http://schemas.microsoft.com/office/drawing/2014/main" id="{00000000-0008-0000-0600-00006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44</xdr:row>
          <xdr:rowOff>9525</xdr:rowOff>
        </xdr:from>
        <xdr:to>
          <xdr:col>13</xdr:col>
          <xdr:colOff>104775</xdr:colOff>
          <xdr:row>45</xdr:row>
          <xdr:rowOff>0</xdr:rowOff>
        </xdr:to>
        <xdr:sp macro="" textlink="">
          <xdr:nvSpPr>
            <xdr:cNvPr id="5220" name="Option Button 100" hidden="1">
              <a:extLst>
                <a:ext uri="{63B3BB69-23CF-44E3-9099-C40C66FF867C}">
                  <a14:compatExt spid="_x0000_s5220"/>
                </a:ext>
                <a:ext uri="{FF2B5EF4-FFF2-40B4-BE49-F238E27FC236}">
                  <a16:creationId xmlns:a16="http://schemas.microsoft.com/office/drawing/2014/main" id="{00000000-0008-0000-0600-00006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19050</xdr:rowOff>
        </xdr:from>
        <xdr:to>
          <xdr:col>5</xdr:col>
          <xdr:colOff>104775</xdr:colOff>
          <xdr:row>26</xdr:row>
          <xdr:rowOff>0</xdr:rowOff>
        </xdr:to>
        <xdr:sp macro="" textlink="">
          <xdr:nvSpPr>
            <xdr:cNvPr id="5223" name="Option Button 103" hidden="1">
              <a:extLst>
                <a:ext uri="{63B3BB69-23CF-44E3-9099-C40C66FF867C}">
                  <a14:compatExt spid="_x0000_s5223"/>
                </a:ext>
                <a:ext uri="{FF2B5EF4-FFF2-40B4-BE49-F238E27FC236}">
                  <a16:creationId xmlns:a16="http://schemas.microsoft.com/office/drawing/2014/main" id="{00000000-0008-0000-0600-00006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209550</xdr:rowOff>
        </xdr:from>
        <xdr:to>
          <xdr:col>21</xdr:col>
          <xdr:colOff>0</xdr:colOff>
          <xdr:row>42</xdr:row>
          <xdr:rowOff>9525</xdr:rowOff>
        </xdr:to>
        <xdr:sp macro="" textlink="">
          <xdr:nvSpPr>
            <xdr:cNvPr id="5225" name="Group Box 105" hidden="1">
              <a:extLst>
                <a:ext uri="{63B3BB69-23CF-44E3-9099-C40C66FF867C}">
                  <a14:compatExt spid="_x0000_s5225"/>
                </a:ext>
                <a:ext uri="{FF2B5EF4-FFF2-40B4-BE49-F238E27FC236}">
                  <a16:creationId xmlns:a16="http://schemas.microsoft.com/office/drawing/2014/main" id="{00000000-0008-0000-0600-000069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12</xdr:col>
      <xdr:colOff>161925</xdr:colOff>
      <xdr:row>50</xdr:row>
      <xdr:rowOff>209550</xdr:rowOff>
    </xdr:from>
    <xdr:to>
      <xdr:col>41</xdr:col>
      <xdr:colOff>161925</xdr:colOff>
      <xdr:row>53</xdr:row>
      <xdr:rowOff>114300</xdr:rowOff>
    </xdr:to>
    <xdr:sp macro="" textlink="">
      <xdr:nvSpPr>
        <xdr:cNvPr id="3073" name="AutoShape 1">
          <a:extLst>
            <a:ext uri="{FF2B5EF4-FFF2-40B4-BE49-F238E27FC236}">
              <a16:creationId xmlns:a16="http://schemas.microsoft.com/office/drawing/2014/main" id="{00000000-0008-0000-0700-0000010C0000}"/>
            </a:ext>
          </a:extLst>
        </xdr:cNvPr>
        <xdr:cNvSpPr>
          <a:spLocks noChangeArrowheads="1"/>
        </xdr:cNvSpPr>
      </xdr:nvSpPr>
      <xdr:spPr bwMode="auto">
        <a:xfrm>
          <a:off x="2638425" y="11430000"/>
          <a:ext cx="5876925" cy="561975"/>
        </a:xfrm>
        <a:prstGeom prst="flowChartAlternateProcess">
          <a:avLst/>
        </a:prstGeom>
        <a:solidFill>
          <a:srgbClr val="FFFFFF"/>
        </a:solidFill>
        <a:ln w="9525">
          <a:solidFill>
            <a:srgbClr val="000000"/>
          </a:solidFill>
          <a:miter lim="800000"/>
          <a:headEnd/>
          <a:tailEnd/>
        </a:ln>
      </xdr:spPr>
      <xdr:txBody>
        <a:bodyPr vertOverflow="clip" wrap="square" lIns="45720" tIns="27432" rIns="0" bIns="0" anchor="t" upright="1"/>
        <a:lstStyle/>
        <a:p>
          <a:pPr algn="l" rtl="0">
            <a:defRPr sz="1000"/>
          </a:pPr>
          <a:r>
            <a:rPr lang="ja-JP" altLang="en-US" sz="2000" b="0" i="0" u="none" strike="noStrike" baseline="0">
              <a:solidFill>
                <a:srgbClr val="000000"/>
              </a:solidFill>
              <a:latin typeface="ＭＳ Ｐゴシック"/>
              <a:ea typeface="ＭＳ Ｐゴシック"/>
            </a:rPr>
            <a:t>枚数が不足する場合は、コピーして使用する。</a:t>
          </a:r>
        </a:p>
      </xdr:txBody>
    </xdr:sp>
    <xdr:clientData fLocksWithSheet="0"/>
  </xdr:twoCellAnchor>
  <mc:AlternateContent xmlns:mc="http://schemas.openxmlformats.org/markup-compatibility/2006">
    <mc:Choice xmlns:a14="http://schemas.microsoft.com/office/drawing/2010/main" Requires="a14">
      <xdr:twoCellAnchor>
        <xdr:from>
          <xdr:col>32</xdr:col>
          <xdr:colOff>66675</xdr:colOff>
          <xdr:row>7</xdr:row>
          <xdr:rowOff>142875</xdr:rowOff>
        </xdr:from>
        <xdr:to>
          <xdr:col>53</xdr:col>
          <xdr:colOff>57150</xdr:colOff>
          <xdr:row>8</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7</xdr:col>
      <xdr:colOff>0</xdr:colOff>
      <xdr:row>10</xdr:row>
      <xdr:rowOff>0</xdr:rowOff>
    </xdr:from>
    <xdr:to>
      <xdr:col>27</xdr:col>
      <xdr:colOff>144780</xdr:colOff>
      <xdr:row>24</xdr:row>
      <xdr:rowOff>41910</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476375" y="2324100"/>
          <a:ext cx="4145280" cy="31089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76200</xdr:colOff>
      <xdr:row>23</xdr:row>
      <xdr:rowOff>0</xdr:rowOff>
    </xdr:from>
    <xdr:to>
      <xdr:col>5</xdr:col>
      <xdr:colOff>533400</xdr:colOff>
      <xdr:row>25</xdr:row>
      <xdr:rowOff>47625</xdr:rowOff>
    </xdr:to>
    <xdr:sp macro="" textlink="">
      <xdr:nvSpPr>
        <xdr:cNvPr id="7281" name="AutoShape 2">
          <a:extLst>
            <a:ext uri="{FF2B5EF4-FFF2-40B4-BE49-F238E27FC236}">
              <a16:creationId xmlns:a16="http://schemas.microsoft.com/office/drawing/2014/main" id="{00000000-0008-0000-0800-0000711C0000}"/>
            </a:ext>
          </a:extLst>
        </xdr:cNvPr>
        <xdr:cNvSpPr>
          <a:spLocks noChangeArrowheads="1"/>
        </xdr:cNvSpPr>
      </xdr:nvSpPr>
      <xdr:spPr bwMode="auto">
        <a:xfrm>
          <a:off x="4352925" y="4114800"/>
          <a:ext cx="733425" cy="390525"/>
        </a:xfrm>
        <a:prstGeom prst="leftArrow">
          <a:avLst>
            <a:gd name="adj1" fmla="val 50000"/>
            <a:gd name="adj2" fmla="val 46951"/>
          </a:avLst>
        </a:prstGeom>
        <a:solidFill>
          <a:srgbClr val="00CCFF"/>
        </a:solidFill>
        <a:ln w="9525">
          <a:solidFill>
            <a:srgbClr val="000000"/>
          </a:solidFill>
          <a:miter lim="800000"/>
          <a:headEnd/>
          <a:tailEnd/>
        </a:ln>
      </xdr:spPr>
    </xdr:sp>
    <xdr:clientData/>
  </xdr:twoCellAnchor>
  <xdr:twoCellAnchor editAs="absolute">
    <xdr:from>
      <xdr:col>5</xdr:col>
      <xdr:colOff>619125</xdr:colOff>
      <xdr:row>22</xdr:row>
      <xdr:rowOff>142875</xdr:rowOff>
    </xdr:from>
    <xdr:to>
      <xdr:col>9</xdr:col>
      <xdr:colOff>273485</xdr:colOff>
      <xdr:row>30</xdr:row>
      <xdr:rowOff>132930</xdr:rowOff>
    </xdr:to>
    <xdr:sp macro="" textlink="">
      <xdr:nvSpPr>
        <xdr:cNvPr id="7171" name="Text Box 3">
          <a:extLst>
            <a:ext uri="{FF2B5EF4-FFF2-40B4-BE49-F238E27FC236}">
              <a16:creationId xmlns:a16="http://schemas.microsoft.com/office/drawing/2014/main" id="{00000000-0008-0000-0800-0000031C0000}"/>
            </a:ext>
          </a:extLst>
        </xdr:cNvPr>
        <xdr:cNvSpPr txBox="1">
          <a:spLocks noChangeArrowheads="1"/>
        </xdr:cNvSpPr>
      </xdr:nvSpPr>
      <xdr:spPr bwMode="auto">
        <a:xfrm>
          <a:off x="5172075" y="4086225"/>
          <a:ext cx="4483535" cy="1361655"/>
        </a:xfrm>
        <a:prstGeom prst="rect">
          <a:avLst/>
        </a:prstGeom>
        <a:noFill/>
        <a:ln w="9525">
          <a:noFill/>
          <a:miter lim="800000"/>
          <a:headEnd/>
          <a:tailEnd/>
        </a:ln>
      </xdr:spPr>
      <xdr:txBody>
        <a:bodyPr wrap="none" lIns="36576" tIns="27432" rIns="0" bIns="0" anchor="t" upright="1">
          <a:spAutoFit/>
        </a:bodyPr>
        <a:lstStyle/>
        <a:p>
          <a:pPr algn="l" rtl="0">
            <a:defRPr sz="1000"/>
          </a:pPr>
          <a:r>
            <a:rPr lang="ja-JP" altLang="en-US" sz="2000" b="1" i="0" u="none" strike="noStrike" baseline="0">
              <a:solidFill>
                <a:srgbClr val="3366FF"/>
              </a:solidFill>
              <a:latin typeface="ＭＳ Ｐゴシック"/>
              <a:ea typeface="ＭＳ Ｐゴシック"/>
            </a:rPr>
            <a:t>①架装型式、メーカーでシャシ型式</a:t>
          </a:r>
        </a:p>
        <a:p>
          <a:pPr algn="l" rtl="0">
            <a:defRPr sz="1000"/>
          </a:pPr>
          <a:r>
            <a:rPr lang="ja-JP" altLang="en-US" sz="2000" b="1" i="0" u="none" strike="noStrike" baseline="0">
              <a:solidFill>
                <a:srgbClr val="3366FF"/>
              </a:solidFill>
              <a:latin typeface="ＭＳ Ｐゴシック"/>
              <a:ea typeface="ＭＳ Ｐゴシック"/>
            </a:rPr>
            <a:t>　を絞り込んで、選定したシャシ型式</a:t>
          </a:r>
        </a:p>
        <a:p>
          <a:pPr algn="l" rtl="0">
            <a:defRPr sz="1000"/>
          </a:pPr>
          <a:r>
            <a:rPr lang="ja-JP" altLang="en-US" sz="2000" b="1" i="0" u="none" strike="noStrike" baseline="0">
              <a:solidFill>
                <a:srgbClr val="3366FF"/>
              </a:solidFill>
              <a:latin typeface="ＭＳ Ｐゴシック"/>
              <a:ea typeface="ＭＳ Ｐゴシック"/>
            </a:rPr>
            <a:t>　のセルをクリック願います。</a:t>
          </a:r>
        </a:p>
        <a:p>
          <a:pPr algn="l" rtl="0">
            <a:defRPr sz="1000"/>
          </a:pPr>
          <a:r>
            <a:rPr lang="en-US" altLang="ja-JP" sz="2000" b="1" i="0" u="none" strike="noStrike" baseline="0">
              <a:solidFill>
                <a:srgbClr val="FF0000"/>
              </a:solidFill>
              <a:latin typeface="ＭＳ Ｐゴシック"/>
              <a:ea typeface="ＭＳ Ｐゴシック"/>
            </a:rPr>
            <a:t>※</a:t>
          </a:r>
          <a:r>
            <a:rPr lang="ja-JP" altLang="en-US" sz="2000" b="1" i="0" u="none" strike="noStrike" baseline="0">
              <a:solidFill>
                <a:srgbClr val="FF0000"/>
              </a:solidFill>
              <a:latin typeface="ＭＳ Ｐゴシック"/>
              <a:ea typeface="ＭＳ Ｐゴシック"/>
            </a:rPr>
            <a:t>標準以外のシャシ型式の場合は、③へ</a:t>
          </a:r>
        </a:p>
      </xdr:txBody>
    </xdr:sp>
    <xdr:clientData/>
  </xdr:twoCellAnchor>
  <xdr:twoCellAnchor editAs="absolute">
    <xdr:from>
      <xdr:col>5</xdr:col>
      <xdr:colOff>47625</xdr:colOff>
      <xdr:row>7</xdr:row>
      <xdr:rowOff>161925</xdr:rowOff>
    </xdr:from>
    <xdr:to>
      <xdr:col>12</xdr:col>
      <xdr:colOff>420858</xdr:colOff>
      <xdr:row>13</xdr:row>
      <xdr:rowOff>161392</xdr:rowOff>
    </xdr:to>
    <xdr:sp macro="" textlink="">
      <xdr:nvSpPr>
        <xdr:cNvPr id="7172" name="Text Box 4">
          <a:extLst>
            <a:ext uri="{FF2B5EF4-FFF2-40B4-BE49-F238E27FC236}">
              <a16:creationId xmlns:a16="http://schemas.microsoft.com/office/drawing/2014/main" id="{00000000-0008-0000-0800-0000041C0000}"/>
            </a:ext>
          </a:extLst>
        </xdr:cNvPr>
        <xdr:cNvSpPr txBox="1">
          <a:spLocks noChangeArrowheads="1"/>
        </xdr:cNvSpPr>
      </xdr:nvSpPr>
      <xdr:spPr bwMode="auto">
        <a:xfrm>
          <a:off x="4600575" y="1533525"/>
          <a:ext cx="7259808" cy="1028167"/>
        </a:xfrm>
        <a:prstGeom prst="rect">
          <a:avLst/>
        </a:prstGeom>
        <a:noFill/>
        <a:ln w="9525">
          <a:noFill/>
          <a:miter lim="800000"/>
          <a:headEnd/>
          <a:tailEnd/>
        </a:ln>
      </xdr:spPr>
      <xdr:txBody>
        <a:bodyPr wrap="none" lIns="36576" tIns="27432" rIns="0" bIns="0" anchor="t" upright="1">
          <a:spAutoFit/>
        </a:bodyPr>
        <a:lstStyle/>
        <a:p>
          <a:pPr algn="l" rtl="0">
            <a:defRPr sz="1000"/>
          </a:pPr>
          <a:r>
            <a:rPr lang="ja-JP" altLang="en-US" sz="2000" b="1" i="0" u="none" strike="noStrike" baseline="0">
              <a:solidFill>
                <a:srgbClr val="3366FF"/>
              </a:solidFill>
              <a:latin typeface="ＭＳ Ｐゴシック"/>
              <a:ea typeface="ＭＳ Ｐゴシック"/>
            </a:rPr>
            <a:t>③このセルに選定したシャシ型式が表示されます。</a:t>
          </a:r>
        </a:p>
        <a:p>
          <a:pPr algn="l" rtl="0">
            <a:defRPr sz="1000"/>
          </a:pPr>
          <a:r>
            <a:rPr lang="ja-JP" altLang="en-US" sz="2000" b="1" i="0" u="none" strike="noStrike" baseline="0">
              <a:solidFill>
                <a:srgbClr val="3366FF"/>
              </a:solidFill>
              <a:latin typeface="ＭＳ Ｐゴシック"/>
              <a:ea typeface="ＭＳ Ｐゴシック"/>
            </a:rPr>
            <a:t>　標準以外のシャシ型式の場合は、このセルに直接入力願います。</a:t>
          </a:r>
        </a:p>
        <a:p>
          <a:pPr algn="l" rtl="0">
            <a:defRPr sz="1000"/>
          </a:pPr>
          <a:r>
            <a:rPr lang="ja-JP" altLang="en-US" sz="2000" b="1" i="0" u="none" strike="noStrike" baseline="0">
              <a:solidFill>
                <a:srgbClr val="3366FF"/>
              </a:solidFill>
              <a:latin typeface="ＭＳ Ｐゴシック"/>
              <a:ea typeface="ＭＳ Ｐゴシック"/>
            </a:rPr>
            <a:t>　</a:t>
          </a:r>
          <a:r>
            <a:rPr lang="ja-JP" altLang="en-US" sz="2000" b="1" i="0" u="none" strike="noStrike" baseline="0">
              <a:solidFill>
                <a:srgbClr val="FF0000"/>
              </a:solidFill>
              <a:latin typeface="ＭＳ Ｐゴシック"/>
              <a:ea typeface="ＭＳ Ｐゴシック"/>
            </a:rPr>
            <a:t>いすゞエルフの場合、“</a:t>
          </a:r>
          <a:r>
            <a:rPr lang="en-US" altLang="ja-JP" sz="2000" b="1" i="0" u="none" strike="noStrike" baseline="0">
              <a:solidFill>
                <a:srgbClr val="FF0000"/>
              </a:solidFill>
              <a:latin typeface="ＭＳ Ｐゴシック"/>
              <a:ea typeface="ＭＳ Ｐゴシック"/>
            </a:rPr>
            <a:t>-M”</a:t>
          </a:r>
          <a:r>
            <a:rPr lang="ja-JP" altLang="en-US" sz="2000" b="1" i="0" u="none" strike="noStrike" baseline="0">
              <a:solidFill>
                <a:srgbClr val="FF0000"/>
              </a:solidFill>
              <a:latin typeface="ＭＳ Ｐゴシック"/>
              <a:ea typeface="ＭＳ Ｐゴシック"/>
            </a:rPr>
            <a:t>または“</a:t>
          </a:r>
          <a:r>
            <a:rPr lang="en-US" altLang="ja-JP" sz="2000" b="1" i="0" u="none" strike="noStrike" baseline="0">
              <a:solidFill>
                <a:srgbClr val="FF0000"/>
              </a:solidFill>
              <a:latin typeface="ＭＳ Ｐゴシック"/>
              <a:ea typeface="ＭＳ Ｐゴシック"/>
            </a:rPr>
            <a:t>-D”</a:t>
          </a:r>
          <a:r>
            <a:rPr lang="ja-JP" altLang="en-US" sz="2000" b="1" i="0" u="none" strike="noStrike" baseline="0">
              <a:solidFill>
                <a:srgbClr val="FF0000"/>
              </a:solidFill>
              <a:latin typeface="ＭＳ Ｐゴシック"/>
              <a:ea typeface="ＭＳ Ｐゴシック"/>
            </a:rPr>
            <a:t>を必ず記入のこと</a:t>
          </a:r>
        </a:p>
      </xdr:txBody>
    </xdr:sp>
    <xdr:clientData/>
  </xdr:twoCellAnchor>
  <xdr:twoCellAnchor editAs="absolute">
    <xdr:from>
      <xdr:col>6</xdr:col>
      <xdr:colOff>552450</xdr:colOff>
      <xdr:row>4</xdr:row>
      <xdr:rowOff>85725</xdr:rowOff>
    </xdr:from>
    <xdr:to>
      <xdr:col>6</xdr:col>
      <xdr:colOff>942975</xdr:colOff>
      <xdr:row>7</xdr:row>
      <xdr:rowOff>76200</xdr:rowOff>
    </xdr:to>
    <xdr:sp macro="" textlink="">
      <xdr:nvSpPr>
        <xdr:cNvPr id="7284" name="AutoShape 5">
          <a:extLst>
            <a:ext uri="{FF2B5EF4-FFF2-40B4-BE49-F238E27FC236}">
              <a16:creationId xmlns:a16="http://schemas.microsoft.com/office/drawing/2014/main" id="{00000000-0008-0000-0800-0000741C0000}"/>
            </a:ext>
          </a:extLst>
        </xdr:cNvPr>
        <xdr:cNvSpPr>
          <a:spLocks noChangeArrowheads="1"/>
        </xdr:cNvSpPr>
      </xdr:nvSpPr>
      <xdr:spPr bwMode="auto">
        <a:xfrm rot="5400000">
          <a:off x="6191250" y="990600"/>
          <a:ext cx="523875" cy="390525"/>
        </a:xfrm>
        <a:prstGeom prst="leftArrow">
          <a:avLst>
            <a:gd name="adj1" fmla="val 50000"/>
            <a:gd name="adj2" fmla="val 33537"/>
          </a:avLst>
        </a:prstGeom>
        <a:solidFill>
          <a:srgbClr val="00CC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0</xdr:col>
          <xdr:colOff>209550</xdr:colOff>
          <xdr:row>0</xdr:row>
          <xdr:rowOff>76200</xdr:rowOff>
        </xdr:from>
        <xdr:to>
          <xdr:col>3</xdr:col>
          <xdr:colOff>2000250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ja-JP" altLang="en-US" sz="1600" b="1" i="0" u="none" strike="noStrike" baseline="0">
                  <a:solidFill>
                    <a:srgbClr val="0000FF"/>
                  </a:solidFill>
                  <a:latin typeface="ＭＳ Ｐゴシック"/>
                  <a:ea typeface="ＭＳ Ｐゴシック"/>
                </a:rPr>
                <a:t>②選定したシャシ型式のセルを</a:t>
              </a:r>
            </a:p>
            <a:p>
              <a:pPr algn="ctr" rtl="0">
                <a:defRPr sz="1000"/>
              </a:pPr>
              <a:r>
                <a:rPr lang="ja-JP" altLang="en-US" sz="1600" b="1" i="0" u="none" strike="noStrike" baseline="0">
                  <a:solidFill>
                    <a:srgbClr val="0000FF"/>
                  </a:solidFill>
                  <a:latin typeface="ＭＳ Ｐゴシック"/>
                  <a:ea typeface="ＭＳ Ｐゴシック"/>
                </a:rPr>
                <a:t>選択した後に、このボタンをクリック</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59" Type="http://schemas.openxmlformats.org/officeDocument/2006/relationships/image" Target="../media/image78.emf"/><Relationship Id="rId170" Type="http://schemas.openxmlformats.org/officeDocument/2006/relationships/control" Target="../activeX/activeX84.xml"/><Relationship Id="rId191" Type="http://schemas.openxmlformats.org/officeDocument/2006/relationships/image" Target="../media/image94.emf"/><Relationship Id="rId205" Type="http://schemas.openxmlformats.org/officeDocument/2006/relationships/control" Target="../activeX/activeX102.xml"/><Relationship Id="rId226" Type="http://schemas.openxmlformats.org/officeDocument/2006/relationships/image" Target="../media/image104.emf"/><Relationship Id="rId247" Type="http://schemas.openxmlformats.org/officeDocument/2006/relationships/control" Target="../activeX/activeX130.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149" Type="http://schemas.openxmlformats.org/officeDocument/2006/relationships/image" Target="../media/image73.emf"/><Relationship Id="rId5" Type="http://schemas.openxmlformats.org/officeDocument/2006/relationships/image" Target="../media/image1.emf"/><Relationship Id="rId95" Type="http://schemas.openxmlformats.org/officeDocument/2006/relationships/image" Target="../media/image46.emf"/><Relationship Id="rId160" Type="http://schemas.openxmlformats.org/officeDocument/2006/relationships/control" Target="../activeX/activeX79.xml"/><Relationship Id="rId181" Type="http://schemas.openxmlformats.org/officeDocument/2006/relationships/image" Target="../media/image89.emf"/><Relationship Id="rId216" Type="http://schemas.openxmlformats.org/officeDocument/2006/relationships/control" Target="../activeX/activeX112.xml"/><Relationship Id="rId237" Type="http://schemas.openxmlformats.org/officeDocument/2006/relationships/control" Target="../activeX/activeX125.xml"/><Relationship Id="rId22" Type="http://schemas.openxmlformats.org/officeDocument/2006/relationships/control" Target="../activeX/activeX10.xml"/><Relationship Id="rId43" Type="http://schemas.openxmlformats.org/officeDocument/2006/relationships/image" Target="../media/image20.emf"/><Relationship Id="rId64" Type="http://schemas.openxmlformats.org/officeDocument/2006/relationships/control" Target="../activeX/activeX31.xml"/><Relationship Id="rId118" Type="http://schemas.openxmlformats.org/officeDocument/2006/relationships/control" Target="../activeX/activeX58.xml"/><Relationship Id="rId139" Type="http://schemas.openxmlformats.org/officeDocument/2006/relationships/image" Target="../media/image68.emf"/><Relationship Id="rId85" Type="http://schemas.openxmlformats.org/officeDocument/2006/relationships/image" Target="../media/image41.emf"/><Relationship Id="rId150" Type="http://schemas.openxmlformats.org/officeDocument/2006/relationships/control" Target="../activeX/activeX74.xml"/><Relationship Id="rId171" Type="http://schemas.openxmlformats.org/officeDocument/2006/relationships/image" Target="../media/image84.emf"/><Relationship Id="rId192" Type="http://schemas.openxmlformats.org/officeDocument/2006/relationships/control" Target="../activeX/activeX95.xml"/><Relationship Id="rId206" Type="http://schemas.openxmlformats.org/officeDocument/2006/relationships/control" Target="../activeX/activeX103.xml"/><Relationship Id="rId227" Type="http://schemas.openxmlformats.org/officeDocument/2006/relationships/control" Target="../activeX/activeX120.xml"/><Relationship Id="rId248" Type="http://schemas.openxmlformats.org/officeDocument/2006/relationships/image" Target="../media/image115.emf"/><Relationship Id="rId12" Type="http://schemas.openxmlformats.org/officeDocument/2006/relationships/control" Target="../activeX/activeX5.xml"/><Relationship Id="rId33" Type="http://schemas.openxmlformats.org/officeDocument/2006/relationships/image" Target="../media/image15.emf"/><Relationship Id="rId108" Type="http://schemas.openxmlformats.org/officeDocument/2006/relationships/control" Target="../activeX/activeX53.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61" Type="http://schemas.openxmlformats.org/officeDocument/2006/relationships/image" Target="../media/image79.emf"/><Relationship Id="rId166" Type="http://schemas.openxmlformats.org/officeDocument/2006/relationships/control" Target="../activeX/activeX82.xml"/><Relationship Id="rId182" Type="http://schemas.openxmlformats.org/officeDocument/2006/relationships/control" Target="../activeX/activeX90.xml"/><Relationship Id="rId187" Type="http://schemas.openxmlformats.org/officeDocument/2006/relationships/image" Target="../media/image92.emf"/><Relationship Id="rId217" Type="http://schemas.openxmlformats.org/officeDocument/2006/relationships/control" Target="../activeX/activeX113.xml"/><Relationship Id="rId1" Type="http://schemas.openxmlformats.org/officeDocument/2006/relationships/printerSettings" Target="../printerSettings/printerSettings2.bin"/><Relationship Id="rId6" Type="http://schemas.openxmlformats.org/officeDocument/2006/relationships/control" Target="../activeX/activeX2.xml"/><Relationship Id="rId212" Type="http://schemas.openxmlformats.org/officeDocument/2006/relationships/control" Target="../activeX/activeX108.xml"/><Relationship Id="rId233" Type="http://schemas.openxmlformats.org/officeDocument/2006/relationships/control" Target="../activeX/activeX123.xml"/><Relationship Id="rId238" Type="http://schemas.openxmlformats.org/officeDocument/2006/relationships/image" Target="../media/image110.emf"/><Relationship Id="rId254" Type="http://schemas.openxmlformats.org/officeDocument/2006/relationships/image" Target="../media/image118.emf"/><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51" Type="http://schemas.openxmlformats.org/officeDocument/2006/relationships/image" Target="../media/image74.emf"/><Relationship Id="rId156" Type="http://schemas.openxmlformats.org/officeDocument/2006/relationships/control" Target="../activeX/activeX77.xml"/><Relationship Id="rId177" Type="http://schemas.openxmlformats.org/officeDocument/2006/relationships/image" Target="../media/image87.emf"/><Relationship Id="rId198" Type="http://schemas.openxmlformats.org/officeDocument/2006/relationships/control" Target="../activeX/activeX98.xml"/><Relationship Id="rId172" Type="http://schemas.openxmlformats.org/officeDocument/2006/relationships/control" Target="../activeX/activeX85.xml"/><Relationship Id="rId193" Type="http://schemas.openxmlformats.org/officeDocument/2006/relationships/image" Target="../media/image95.emf"/><Relationship Id="rId202" Type="http://schemas.openxmlformats.org/officeDocument/2006/relationships/control" Target="../activeX/activeX100.xml"/><Relationship Id="rId207" Type="http://schemas.openxmlformats.org/officeDocument/2006/relationships/control" Target="../activeX/activeX104.xml"/><Relationship Id="rId223" Type="http://schemas.openxmlformats.org/officeDocument/2006/relationships/control" Target="../activeX/activeX118.xml"/><Relationship Id="rId228" Type="http://schemas.openxmlformats.org/officeDocument/2006/relationships/image" Target="../media/image105.emf"/><Relationship Id="rId244" Type="http://schemas.openxmlformats.org/officeDocument/2006/relationships/image" Target="../media/image113.emf"/><Relationship Id="rId249" Type="http://schemas.openxmlformats.org/officeDocument/2006/relationships/control" Target="../activeX/activeX131.xml"/><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167" Type="http://schemas.openxmlformats.org/officeDocument/2006/relationships/image" Target="../media/image82.emf"/><Relationship Id="rId188" Type="http://schemas.openxmlformats.org/officeDocument/2006/relationships/control" Target="../activeX/activeX93.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162" Type="http://schemas.openxmlformats.org/officeDocument/2006/relationships/control" Target="../activeX/activeX80.xml"/><Relationship Id="rId183" Type="http://schemas.openxmlformats.org/officeDocument/2006/relationships/image" Target="../media/image90.emf"/><Relationship Id="rId213" Type="http://schemas.openxmlformats.org/officeDocument/2006/relationships/control" Target="../activeX/activeX109.xml"/><Relationship Id="rId218" Type="http://schemas.openxmlformats.org/officeDocument/2006/relationships/control" Target="../activeX/activeX114.xml"/><Relationship Id="rId234" Type="http://schemas.openxmlformats.org/officeDocument/2006/relationships/image" Target="../media/image108.emf"/><Relationship Id="rId239" Type="http://schemas.openxmlformats.org/officeDocument/2006/relationships/control" Target="../activeX/activeX126.xml"/><Relationship Id="rId2" Type="http://schemas.openxmlformats.org/officeDocument/2006/relationships/drawing" Target="../drawings/drawing2.xml"/><Relationship Id="rId29" Type="http://schemas.openxmlformats.org/officeDocument/2006/relationships/image" Target="../media/image13.emf"/><Relationship Id="rId250" Type="http://schemas.openxmlformats.org/officeDocument/2006/relationships/image" Target="../media/image116.emf"/><Relationship Id="rId255" Type="http://schemas.openxmlformats.org/officeDocument/2006/relationships/ctrlProp" Target="../ctrlProps/ctrlProp1.xml"/><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157" Type="http://schemas.openxmlformats.org/officeDocument/2006/relationships/image" Target="../media/image77.emf"/><Relationship Id="rId178" Type="http://schemas.openxmlformats.org/officeDocument/2006/relationships/control" Target="../activeX/activeX88.xml"/><Relationship Id="rId61" Type="http://schemas.openxmlformats.org/officeDocument/2006/relationships/image" Target="../media/image29.emf"/><Relationship Id="rId82" Type="http://schemas.openxmlformats.org/officeDocument/2006/relationships/control" Target="../activeX/activeX40.xml"/><Relationship Id="rId152" Type="http://schemas.openxmlformats.org/officeDocument/2006/relationships/control" Target="../activeX/activeX75.xml"/><Relationship Id="rId173" Type="http://schemas.openxmlformats.org/officeDocument/2006/relationships/image" Target="../media/image85.emf"/><Relationship Id="rId194" Type="http://schemas.openxmlformats.org/officeDocument/2006/relationships/control" Target="../activeX/activeX96.xml"/><Relationship Id="rId199" Type="http://schemas.openxmlformats.org/officeDocument/2006/relationships/image" Target="../media/image98.emf"/><Relationship Id="rId203" Type="http://schemas.openxmlformats.org/officeDocument/2006/relationships/image" Target="../media/image100.emf"/><Relationship Id="rId208" Type="http://schemas.openxmlformats.org/officeDocument/2006/relationships/control" Target="../activeX/activeX105.xml"/><Relationship Id="rId229" Type="http://schemas.openxmlformats.org/officeDocument/2006/relationships/control" Target="../activeX/activeX121.xml"/><Relationship Id="rId19" Type="http://schemas.openxmlformats.org/officeDocument/2006/relationships/image" Target="../media/image8.emf"/><Relationship Id="rId224" Type="http://schemas.openxmlformats.org/officeDocument/2006/relationships/image" Target="../media/image103.emf"/><Relationship Id="rId240" Type="http://schemas.openxmlformats.org/officeDocument/2006/relationships/image" Target="../media/image111.emf"/><Relationship Id="rId245" Type="http://schemas.openxmlformats.org/officeDocument/2006/relationships/control" Target="../activeX/activeX129.xml"/><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168" Type="http://schemas.openxmlformats.org/officeDocument/2006/relationships/control" Target="../activeX/activeX8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163" Type="http://schemas.openxmlformats.org/officeDocument/2006/relationships/image" Target="../media/image80.emf"/><Relationship Id="rId184" Type="http://schemas.openxmlformats.org/officeDocument/2006/relationships/control" Target="../activeX/activeX91.xml"/><Relationship Id="rId189" Type="http://schemas.openxmlformats.org/officeDocument/2006/relationships/image" Target="../media/image93.emf"/><Relationship Id="rId219" Type="http://schemas.openxmlformats.org/officeDocument/2006/relationships/control" Target="../activeX/activeX115.xml"/><Relationship Id="rId3" Type="http://schemas.openxmlformats.org/officeDocument/2006/relationships/vmlDrawing" Target="../drawings/vmlDrawing2.vml"/><Relationship Id="rId214" Type="http://schemas.openxmlformats.org/officeDocument/2006/relationships/control" Target="../activeX/activeX110.xml"/><Relationship Id="rId230" Type="http://schemas.openxmlformats.org/officeDocument/2006/relationships/image" Target="../media/image106.emf"/><Relationship Id="rId235" Type="http://schemas.openxmlformats.org/officeDocument/2006/relationships/control" Target="../activeX/activeX124.xml"/><Relationship Id="rId251" Type="http://schemas.openxmlformats.org/officeDocument/2006/relationships/control" Target="../activeX/activeX132.xml"/><Relationship Id="rId256" Type="http://schemas.openxmlformats.org/officeDocument/2006/relationships/ctrlProp" Target="../ctrlProps/ctrlProp2.x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158" Type="http://schemas.openxmlformats.org/officeDocument/2006/relationships/control" Target="../activeX/activeX78.xml"/><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3" Type="http://schemas.openxmlformats.org/officeDocument/2006/relationships/image" Target="../media/image75.emf"/><Relationship Id="rId174" Type="http://schemas.openxmlformats.org/officeDocument/2006/relationships/control" Target="../activeX/activeX86.xml"/><Relationship Id="rId179" Type="http://schemas.openxmlformats.org/officeDocument/2006/relationships/image" Target="../media/image88.emf"/><Relationship Id="rId195" Type="http://schemas.openxmlformats.org/officeDocument/2006/relationships/image" Target="../media/image96.emf"/><Relationship Id="rId209" Type="http://schemas.openxmlformats.org/officeDocument/2006/relationships/control" Target="../activeX/activeX106.xml"/><Relationship Id="rId190" Type="http://schemas.openxmlformats.org/officeDocument/2006/relationships/control" Target="../activeX/activeX94.xml"/><Relationship Id="rId204" Type="http://schemas.openxmlformats.org/officeDocument/2006/relationships/control" Target="../activeX/activeX101.xml"/><Relationship Id="rId220" Type="http://schemas.openxmlformats.org/officeDocument/2006/relationships/control" Target="../activeX/activeX116.xml"/><Relationship Id="rId225" Type="http://schemas.openxmlformats.org/officeDocument/2006/relationships/control" Target="../activeX/activeX119.xml"/><Relationship Id="rId241" Type="http://schemas.openxmlformats.org/officeDocument/2006/relationships/control" Target="../activeX/activeX127.xml"/><Relationship Id="rId246" Type="http://schemas.openxmlformats.org/officeDocument/2006/relationships/image" Target="../media/image114.emf"/><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148" Type="http://schemas.openxmlformats.org/officeDocument/2006/relationships/control" Target="../activeX/activeX73.xml"/><Relationship Id="rId164" Type="http://schemas.openxmlformats.org/officeDocument/2006/relationships/control" Target="../activeX/activeX81.xml"/><Relationship Id="rId169" Type="http://schemas.openxmlformats.org/officeDocument/2006/relationships/image" Target="../media/image83.emf"/><Relationship Id="rId185" Type="http://schemas.openxmlformats.org/officeDocument/2006/relationships/image" Target="../media/image91.emf"/><Relationship Id="rId4" Type="http://schemas.openxmlformats.org/officeDocument/2006/relationships/control" Target="../activeX/activeX1.xml"/><Relationship Id="rId9" Type="http://schemas.openxmlformats.org/officeDocument/2006/relationships/image" Target="../media/image3.emf"/><Relationship Id="rId180" Type="http://schemas.openxmlformats.org/officeDocument/2006/relationships/control" Target="../activeX/activeX89.xml"/><Relationship Id="rId210" Type="http://schemas.openxmlformats.org/officeDocument/2006/relationships/control" Target="../activeX/activeX107.xml"/><Relationship Id="rId215" Type="http://schemas.openxmlformats.org/officeDocument/2006/relationships/control" Target="../activeX/activeX111.xml"/><Relationship Id="rId236" Type="http://schemas.openxmlformats.org/officeDocument/2006/relationships/image" Target="../media/image109.emf"/><Relationship Id="rId26" Type="http://schemas.openxmlformats.org/officeDocument/2006/relationships/control" Target="../activeX/activeX12.xml"/><Relationship Id="rId231" Type="http://schemas.openxmlformats.org/officeDocument/2006/relationships/control" Target="../activeX/activeX122.xml"/><Relationship Id="rId252" Type="http://schemas.openxmlformats.org/officeDocument/2006/relationships/image" Target="../media/image117.emf"/><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54" Type="http://schemas.openxmlformats.org/officeDocument/2006/relationships/control" Target="../activeX/activeX76.xml"/><Relationship Id="rId175" Type="http://schemas.openxmlformats.org/officeDocument/2006/relationships/image" Target="../media/image86.emf"/><Relationship Id="rId196" Type="http://schemas.openxmlformats.org/officeDocument/2006/relationships/control" Target="../activeX/activeX97.xml"/><Relationship Id="rId200" Type="http://schemas.openxmlformats.org/officeDocument/2006/relationships/control" Target="../activeX/activeX99.xml"/><Relationship Id="rId16" Type="http://schemas.openxmlformats.org/officeDocument/2006/relationships/control" Target="../activeX/activeX7.xml"/><Relationship Id="rId221" Type="http://schemas.openxmlformats.org/officeDocument/2006/relationships/control" Target="../activeX/activeX117.xml"/><Relationship Id="rId242" Type="http://schemas.openxmlformats.org/officeDocument/2006/relationships/image" Target="../media/image112.emf"/><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 Id="rId90" Type="http://schemas.openxmlformats.org/officeDocument/2006/relationships/control" Target="../activeX/activeX44.xml"/><Relationship Id="rId165" Type="http://schemas.openxmlformats.org/officeDocument/2006/relationships/image" Target="../media/image81.emf"/><Relationship Id="rId186" Type="http://schemas.openxmlformats.org/officeDocument/2006/relationships/control" Target="../activeX/activeX92.xml"/><Relationship Id="rId211" Type="http://schemas.openxmlformats.org/officeDocument/2006/relationships/image" Target="../media/image101.emf"/><Relationship Id="rId232" Type="http://schemas.openxmlformats.org/officeDocument/2006/relationships/image" Target="../media/image107.emf"/><Relationship Id="rId253" Type="http://schemas.openxmlformats.org/officeDocument/2006/relationships/control" Target="../activeX/activeX133.xml"/><Relationship Id="rId27" Type="http://schemas.openxmlformats.org/officeDocument/2006/relationships/image" Target="../media/image12.emf"/><Relationship Id="rId48" Type="http://schemas.openxmlformats.org/officeDocument/2006/relationships/control" Target="../activeX/activeX23.xml"/><Relationship Id="rId69" Type="http://schemas.openxmlformats.org/officeDocument/2006/relationships/image" Target="../media/image33.emf"/><Relationship Id="rId113" Type="http://schemas.openxmlformats.org/officeDocument/2006/relationships/image" Target="../media/image55.emf"/><Relationship Id="rId134" Type="http://schemas.openxmlformats.org/officeDocument/2006/relationships/control" Target="../activeX/activeX66.xml"/><Relationship Id="rId80" Type="http://schemas.openxmlformats.org/officeDocument/2006/relationships/control" Target="../activeX/activeX39.xml"/><Relationship Id="rId155" Type="http://schemas.openxmlformats.org/officeDocument/2006/relationships/image" Target="../media/image76.emf"/><Relationship Id="rId176" Type="http://schemas.openxmlformats.org/officeDocument/2006/relationships/control" Target="../activeX/activeX87.xml"/><Relationship Id="rId197" Type="http://schemas.openxmlformats.org/officeDocument/2006/relationships/image" Target="../media/image97.emf"/><Relationship Id="rId201" Type="http://schemas.openxmlformats.org/officeDocument/2006/relationships/image" Target="../media/image99.emf"/><Relationship Id="rId222" Type="http://schemas.openxmlformats.org/officeDocument/2006/relationships/image" Target="../media/image102.emf"/><Relationship Id="rId243" Type="http://schemas.openxmlformats.org/officeDocument/2006/relationships/control" Target="../activeX/activeX128.xml"/><Relationship Id="rId17" Type="http://schemas.openxmlformats.org/officeDocument/2006/relationships/image" Target="../media/image7.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24" Type="http://schemas.openxmlformats.org/officeDocument/2006/relationships/control" Target="../activeX/activeX6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9" Type="http://schemas.openxmlformats.org/officeDocument/2006/relationships/ctrlProp" Target="../ctrlProps/ctrlProp41.xml"/><Relationship Id="rId21" Type="http://schemas.openxmlformats.org/officeDocument/2006/relationships/ctrlProp" Target="../ctrlProps/ctrlProp23.xml"/><Relationship Id="rId34" Type="http://schemas.openxmlformats.org/officeDocument/2006/relationships/ctrlProp" Target="../ctrlProps/ctrlProp36.xml"/><Relationship Id="rId42" Type="http://schemas.openxmlformats.org/officeDocument/2006/relationships/ctrlProp" Target="../ctrlProps/ctrlProp44.xml"/><Relationship Id="rId47" Type="http://schemas.openxmlformats.org/officeDocument/2006/relationships/ctrlProp" Target="../ctrlProps/ctrlProp49.xml"/><Relationship Id="rId50" Type="http://schemas.openxmlformats.org/officeDocument/2006/relationships/ctrlProp" Target="../ctrlProps/ctrlProp52.xml"/><Relationship Id="rId55" Type="http://schemas.openxmlformats.org/officeDocument/2006/relationships/ctrlProp" Target="../ctrlProps/ctrlProp57.xml"/><Relationship Id="rId63" Type="http://schemas.openxmlformats.org/officeDocument/2006/relationships/ctrlProp" Target="../ctrlProps/ctrlProp65.xml"/><Relationship Id="rId68" Type="http://schemas.openxmlformats.org/officeDocument/2006/relationships/ctrlProp" Target="../ctrlProps/ctrlProp70.xml"/><Relationship Id="rId76" Type="http://schemas.openxmlformats.org/officeDocument/2006/relationships/ctrlProp" Target="../ctrlProps/ctrlProp78.xml"/><Relationship Id="rId7" Type="http://schemas.openxmlformats.org/officeDocument/2006/relationships/ctrlProp" Target="../ctrlProps/ctrlProp9.xml"/><Relationship Id="rId71" Type="http://schemas.openxmlformats.org/officeDocument/2006/relationships/ctrlProp" Target="../ctrlProps/ctrlProp73.xml"/><Relationship Id="rId2" Type="http://schemas.openxmlformats.org/officeDocument/2006/relationships/drawing" Target="../drawings/drawing7.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ctrlProp" Target="../ctrlProps/ctrlProp55.xml"/><Relationship Id="rId58" Type="http://schemas.openxmlformats.org/officeDocument/2006/relationships/ctrlProp" Target="../ctrlProps/ctrlProp60.xml"/><Relationship Id="rId66" Type="http://schemas.openxmlformats.org/officeDocument/2006/relationships/ctrlProp" Target="../ctrlProps/ctrlProp68.xml"/><Relationship Id="rId74" Type="http://schemas.openxmlformats.org/officeDocument/2006/relationships/ctrlProp" Target="../ctrlProps/ctrlProp7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61" Type="http://schemas.openxmlformats.org/officeDocument/2006/relationships/ctrlProp" Target="../ctrlProps/ctrlProp63.xml"/><Relationship Id="rId10" Type="http://schemas.openxmlformats.org/officeDocument/2006/relationships/ctrlProp" Target="../ctrlProps/ctrlProp12.xml"/><Relationship Id="rId19" Type="http://schemas.openxmlformats.org/officeDocument/2006/relationships/ctrlProp" Target="../ctrlProps/ctrlProp21.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73" Type="http://schemas.openxmlformats.org/officeDocument/2006/relationships/ctrlProp" Target="../ctrlProps/ctrlProp75.xml"/><Relationship Id="rId78" Type="http://schemas.openxmlformats.org/officeDocument/2006/relationships/ctrlProp" Target="../ctrlProps/ctrlProp80.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ctrlProp" Target="../ctrlProps/ctrlProp58.xml"/><Relationship Id="rId64" Type="http://schemas.openxmlformats.org/officeDocument/2006/relationships/ctrlProp" Target="../ctrlProps/ctrlProp66.xml"/><Relationship Id="rId69" Type="http://schemas.openxmlformats.org/officeDocument/2006/relationships/ctrlProp" Target="../ctrlProps/ctrlProp71.xml"/><Relationship Id="rId77" Type="http://schemas.openxmlformats.org/officeDocument/2006/relationships/ctrlProp" Target="../ctrlProps/ctrlProp79.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ctrlProp" Target="../ctrlProps/ctrlProp74.xml"/><Relationship Id="rId3" Type="http://schemas.openxmlformats.org/officeDocument/2006/relationships/vmlDrawing" Target="../drawings/vmlDrawing6.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ctrlProp" Target="../ctrlProps/ctrlProp61.xml"/><Relationship Id="rId67" Type="http://schemas.openxmlformats.org/officeDocument/2006/relationships/ctrlProp" Target="../ctrlProps/ctrlProp69.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62" Type="http://schemas.openxmlformats.org/officeDocument/2006/relationships/ctrlProp" Target="../ctrlProps/ctrlProp64.xml"/><Relationship Id="rId70" Type="http://schemas.openxmlformats.org/officeDocument/2006/relationships/ctrlProp" Target="../ctrlProps/ctrlProp72.xml"/><Relationship Id="rId75" Type="http://schemas.openxmlformats.org/officeDocument/2006/relationships/ctrlProp" Target="../ctrlProps/ctrlProp77.xml"/><Relationship Id="rId1" Type="http://schemas.openxmlformats.org/officeDocument/2006/relationships/printerSettings" Target="../printerSettings/printerSettings7.bin"/><Relationship Id="rId6"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8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tabColor indexed="15"/>
  </sheetPr>
  <dimension ref="A1:BG103"/>
  <sheetViews>
    <sheetView showGridLines="0" view="pageBreakPreview" topLeftCell="A8" zoomScaleNormal="100" zoomScaleSheetLayoutView="100" workbookViewId="0">
      <selection activeCell="C26" sqref="C26:AR26"/>
    </sheetView>
  </sheetViews>
  <sheetFormatPr defaultColWidth="9" defaultRowHeight="12.75" x14ac:dyDescent="0.25"/>
  <cols>
    <col min="1" max="2" width="1.1328125" style="35" customWidth="1"/>
    <col min="3" max="27" width="2.265625" style="35" customWidth="1"/>
    <col min="28" max="44" width="2.3984375" style="35" customWidth="1"/>
    <col min="45" max="48" width="9" style="35"/>
    <col min="49" max="49" width="5.265625" style="35" hidden="1" customWidth="1"/>
    <col min="50" max="50" width="16.46484375" style="37" hidden="1" customWidth="1"/>
    <col min="51" max="53" width="16.46484375" style="35" hidden="1" customWidth="1"/>
    <col min="54" max="54" width="15" style="35" hidden="1" customWidth="1"/>
    <col min="55" max="55" width="9.73046875" style="35" hidden="1" customWidth="1"/>
    <col min="56" max="56" width="12.73046875" style="35" hidden="1" customWidth="1"/>
    <col min="57" max="57" width="13.1328125" style="35" hidden="1" customWidth="1"/>
    <col min="58" max="58" width="16.46484375" style="35" hidden="1" customWidth="1"/>
    <col min="59" max="59" width="9" style="35" hidden="1" customWidth="1"/>
    <col min="60" max="16384" width="9" style="35"/>
  </cols>
  <sheetData>
    <row r="1" spans="1:59" s="6" customFormat="1" ht="15" customHeight="1" x14ac:dyDescent="0.25">
      <c r="B1" s="7"/>
      <c r="C1" s="8"/>
      <c r="D1" s="7"/>
      <c r="E1" s="7"/>
      <c r="F1" s="9"/>
      <c r="G1" s="7"/>
      <c r="H1" s="10"/>
      <c r="I1" s="7"/>
      <c r="J1" s="7"/>
      <c r="K1" s="7"/>
      <c r="L1" s="7"/>
      <c r="M1" s="7"/>
      <c r="N1" s="7"/>
      <c r="O1" s="7"/>
      <c r="P1" s="7"/>
      <c r="Q1" s="7"/>
      <c r="R1" s="7"/>
      <c r="S1" s="7"/>
      <c r="T1" s="7"/>
      <c r="U1" s="7"/>
      <c r="V1" s="7"/>
      <c r="W1" s="7"/>
      <c r="X1" s="7"/>
      <c r="Y1" s="7"/>
      <c r="Z1" s="7"/>
      <c r="AA1" s="7"/>
      <c r="AB1" s="7"/>
      <c r="AC1" s="7"/>
      <c r="AD1" s="7"/>
      <c r="AE1" s="7"/>
      <c r="AF1" s="7"/>
      <c r="AG1" s="7"/>
      <c r="AH1" s="644" t="s">
        <v>168</v>
      </c>
      <c r="AI1" s="644"/>
      <c r="AJ1" s="644"/>
      <c r="AK1" s="644"/>
      <c r="AL1" s="644"/>
      <c r="AM1" s="650" t="s">
        <v>573</v>
      </c>
      <c r="AN1" s="650"/>
      <c r="AO1" s="650"/>
      <c r="AP1" s="650"/>
      <c r="AQ1" s="650"/>
      <c r="AR1" s="650"/>
      <c r="AW1" s="6" t="s">
        <v>273</v>
      </c>
      <c r="AX1" s="11" t="s">
        <v>169</v>
      </c>
      <c r="AY1" s="6" t="s">
        <v>274</v>
      </c>
      <c r="AZ1" s="6" t="s">
        <v>1203</v>
      </c>
      <c r="BA1" s="6" t="s">
        <v>170</v>
      </c>
      <c r="BB1" s="6" t="s">
        <v>658</v>
      </c>
      <c r="BC1" s="6" t="s">
        <v>275</v>
      </c>
      <c r="BD1" s="6" t="s">
        <v>276</v>
      </c>
      <c r="BE1" s="6" t="s">
        <v>276</v>
      </c>
      <c r="BF1" s="6" t="s">
        <v>277</v>
      </c>
      <c r="BG1" s="364" t="s">
        <v>493</v>
      </c>
    </row>
    <row r="2" spans="1:59" s="6" customFormat="1" ht="15" customHeight="1" x14ac:dyDescent="0.25">
      <c r="A2" s="7"/>
      <c r="B2" s="7"/>
      <c r="C2" s="7"/>
      <c r="D2" s="7" t="s">
        <v>492</v>
      </c>
      <c r="E2" s="7"/>
      <c r="F2" s="12"/>
      <c r="G2" s="7"/>
      <c r="H2" s="7"/>
      <c r="I2" s="7"/>
      <c r="J2" s="7"/>
      <c r="K2" s="7"/>
      <c r="L2" s="7"/>
      <c r="M2" s="7"/>
      <c r="N2" s="7"/>
      <c r="O2" s="7"/>
      <c r="P2" s="7"/>
      <c r="Q2" s="7"/>
      <c r="R2" s="7"/>
      <c r="S2" s="7"/>
      <c r="T2" s="7"/>
      <c r="U2" s="7"/>
      <c r="V2" s="7"/>
      <c r="W2" s="7"/>
      <c r="X2" s="7"/>
      <c r="Y2" s="7"/>
      <c r="Z2" s="7"/>
      <c r="AA2" s="7"/>
      <c r="AB2" s="7"/>
      <c r="AC2" s="7"/>
      <c r="AD2" s="7"/>
      <c r="AE2" s="7"/>
      <c r="AF2" s="7"/>
      <c r="AG2" s="7"/>
      <c r="AH2" s="645" t="s">
        <v>278</v>
      </c>
      <c r="AI2" s="645"/>
      <c r="AJ2" s="645"/>
      <c r="AK2" s="645"/>
      <c r="AL2" s="645"/>
      <c r="AM2" s="649">
        <v>43257</v>
      </c>
      <c r="AN2" s="649"/>
      <c r="AO2" s="649"/>
      <c r="AP2" s="649"/>
      <c r="AQ2" s="649"/>
      <c r="AR2" s="649"/>
      <c r="AW2" s="6" t="s">
        <v>279</v>
      </c>
      <c r="AX2" s="11" t="s">
        <v>171</v>
      </c>
      <c r="AY2" s="6" t="s">
        <v>280</v>
      </c>
      <c r="AZ2" s="6" t="s">
        <v>1204</v>
      </c>
      <c r="BA2" s="6" t="s">
        <v>281</v>
      </c>
      <c r="BB2" s="6" t="s">
        <v>659</v>
      </c>
      <c r="BC2" s="6" t="s">
        <v>282</v>
      </c>
      <c r="BD2" s="6" t="s">
        <v>283</v>
      </c>
      <c r="BE2" s="6" t="s">
        <v>284</v>
      </c>
      <c r="BF2" s="6" t="s">
        <v>285</v>
      </c>
      <c r="BG2" s="364" t="s">
        <v>494</v>
      </c>
    </row>
    <row r="3" spans="1:59" s="6" customFormat="1" ht="22.9" x14ac:dyDescent="0.25">
      <c r="A3" s="7"/>
      <c r="B3" s="7"/>
      <c r="C3" s="13" t="s">
        <v>559</v>
      </c>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W3" s="6" t="s">
        <v>286</v>
      </c>
      <c r="AX3" s="11" t="s">
        <v>172</v>
      </c>
      <c r="AY3" s="6" t="s">
        <v>293</v>
      </c>
      <c r="AZ3" s="6" t="s">
        <v>1205</v>
      </c>
      <c r="BA3" s="6" t="s">
        <v>287</v>
      </c>
      <c r="BB3" s="6" t="s">
        <v>660</v>
      </c>
      <c r="BC3" s="6" t="s">
        <v>288</v>
      </c>
      <c r="BD3" s="6" t="s">
        <v>289</v>
      </c>
      <c r="BE3" s="6" t="s">
        <v>290</v>
      </c>
      <c r="BF3" s="6" t="s">
        <v>291</v>
      </c>
      <c r="BG3" s="364" t="s">
        <v>495</v>
      </c>
    </row>
    <row r="4" spans="1:59" s="6" customFormat="1" ht="16.5" customHeight="1" x14ac:dyDescent="0.25">
      <c r="A4" s="7"/>
      <c r="B4" s="7"/>
      <c r="C4" s="614" t="s">
        <v>1330</v>
      </c>
      <c r="D4" s="614"/>
      <c r="E4" s="614"/>
      <c r="F4" s="614"/>
      <c r="G4" s="614"/>
      <c r="H4" s="614"/>
      <c r="I4" s="614"/>
      <c r="J4" s="614"/>
      <c r="K4" s="614"/>
      <c r="L4" s="614"/>
      <c r="M4" s="614"/>
      <c r="N4" s="614"/>
      <c r="O4" s="614"/>
      <c r="P4" s="614"/>
      <c r="Q4" s="614"/>
      <c r="R4" s="614"/>
      <c r="S4" s="614"/>
      <c r="T4" s="615"/>
      <c r="U4" s="616" t="s">
        <v>1118</v>
      </c>
      <c r="V4" s="616"/>
      <c r="W4" s="616"/>
      <c r="X4" s="616"/>
      <c r="Y4" s="616"/>
      <c r="Z4" s="616"/>
      <c r="AA4" s="616"/>
      <c r="AB4" s="616"/>
      <c r="AC4" s="616"/>
      <c r="AD4" s="616"/>
      <c r="AE4" s="616"/>
      <c r="AF4" s="617"/>
      <c r="AG4" s="646" t="s">
        <v>1083</v>
      </c>
      <c r="AH4" s="647"/>
      <c r="AI4" s="647"/>
      <c r="AJ4" s="647"/>
      <c r="AK4" s="647"/>
      <c r="AL4" s="647"/>
      <c r="AM4" s="647"/>
      <c r="AN4" s="647"/>
      <c r="AO4" s="647"/>
      <c r="AP4" s="647"/>
      <c r="AQ4" s="647"/>
      <c r="AR4" s="648"/>
      <c r="AW4" s="6" t="s">
        <v>292</v>
      </c>
      <c r="AX4" s="11" t="s">
        <v>173</v>
      </c>
      <c r="AY4" s="6" t="s">
        <v>299</v>
      </c>
      <c r="AZ4" s="6" t="s">
        <v>1206</v>
      </c>
      <c r="BA4" s="6" t="s">
        <v>174</v>
      </c>
      <c r="BB4" s="6" t="s">
        <v>661</v>
      </c>
      <c r="BC4" s="6" t="s">
        <v>294</v>
      </c>
      <c r="BD4" s="6" t="s">
        <v>295</v>
      </c>
      <c r="BE4" s="6" t="s">
        <v>296</v>
      </c>
      <c r="BF4" s="6" t="s">
        <v>297</v>
      </c>
      <c r="BG4" s="364" t="s">
        <v>496</v>
      </c>
    </row>
    <row r="5" spans="1:59" s="6" customFormat="1" ht="16.5" customHeight="1" x14ac:dyDescent="0.25">
      <c r="A5" s="7"/>
      <c r="B5" s="7"/>
      <c r="C5" s="186"/>
      <c r="D5" s="186"/>
      <c r="E5" s="186"/>
      <c r="F5" s="186"/>
      <c r="G5" s="186"/>
      <c r="H5" s="186"/>
      <c r="I5" s="186"/>
      <c r="J5" s="186"/>
      <c r="K5" s="186"/>
      <c r="L5" s="186"/>
      <c r="M5" s="186"/>
      <c r="N5" s="186"/>
      <c r="O5" s="186"/>
      <c r="P5" s="186"/>
      <c r="Q5" s="186"/>
      <c r="R5" s="186"/>
      <c r="S5" s="186"/>
      <c r="T5" s="187"/>
      <c r="U5" s="651" t="s">
        <v>817</v>
      </c>
      <c r="V5" s="652"/>
      <c r="W5" s="652"/>
      <c r="X5" s="653"/>
      <c r="Y5" s="651" t="s">
        <v>768</v>
      </c>
      <c r="Z5" s="652"/>
      <c r="AA5" s="652"/>
      <c r="AB5" s="653"/>
      <c r="AC5" s="651" t="s">
        <v>818</v>
      </c>
      <c r="AD5" s="652"/>
      <c r="AE5" s="652"/>
      <c r="AF5" s="653"/>
      <c r="AG5" s="624"/>
      <c r="AH5" s="625"/>
      <c r="AI5" s="625"/>
      <c r="AJ5" s="626"/>
      <c r="AK5" s="654"/>
      <c r="AL5" s="625"/>
      <c r="AM5" s="625"/>
      <c r="AN5" s="626"/>
      <c r="AO5" s="654"/>
      <c r="AP5" s="625"/>
      <c r="AQ5" s="625"/>
      <c r="AR5" s="626"/>
      <c r="AW5" s="6" t="s">
        <v>298</v>
      </c>
      <c r="AX5" s="11" t="s">
        <v>175</v>
      </c>
      <c r="AY5" s="6" t="s">
        <v>303</v>
      </c>
      <c r="AZ5" s="6" t="s">
        <v>1207</v>
      </c>
      <c r="BA5" s="165" t="s">
        <v>657</v>
      </c>
      <c r="BB5" s="6" t="s">
        <v>662</v>
      </c>
      <c r="BE5" s="6" t="s">
        <v>300</v>
      </c>
      <c r="BG5" s="364" t="s">
        <v>497</v>
      </c>
    </row>
    <row r="6" spans="1:59" s="6" customFormat="1" ht="60" customHeight="1" x14ac:dyDescent="0.25">
      <c r="A6" s="7"/>
      <c r="B6" s="7"/>
      <c r="C6" s="633"/>
      <c r="D6" s="633"/>
      <c r="E6" s="633"/>
      <c r="F6" s="633"/>
      <c r="G6" s="633"/>
      <c r="H6" s="633"/>
      <c r="I6" s="633"/>
      <c r="J6" s="633"/>
      <c r="K6" s="15"/>
      <c r="L6" s="634"/>
      <c r="M6" s="634"/>
      <c r="N6" s="634"/>
      <c r="O6" s="634"/>
      <c r="P6" s="634"/>
      <c r="Q6" s="634"/>
      <c r="R6" s="634"/>
      <c r="S6" s="634"/>
      <c r="T6" s="14"/>
      <c r="U6" s="640" t="s">
        <v>1460</v>
      </c>
      <c r="V6" s="640"/>
      <c r="W6" s="640"/>
      <c r="X6" s="640"/>
      <c r="Y6" s="640" t="s">
        <v>1461</v>
      </c>
      <c r="Z6" s="640"/>
      <c r="AA6" s="640"/>
      <c r="AB6" s="640"/>
      <c r="AC6" s="640" t="s">
        <v>1462</v>
      </c>
      <c r="AD6" s="640"/>
      <c r="AE6" s="640"/>
      <c r="AF6" s="665"/>
      <c r="AG6" s="661"/>
      <c r="AH6" s="640"/>
      <c r="AI6" s="640"/>
      <c r="AJ6" s="640"/>
      <c r="AK6" s="640"/>
      <c r="AL6" s="640"/>
      <c r="AM6" s="640"/>
      <c r="AN6" s="640"/>
      <c r="AO6" s="640"/>
      <c r="AP6" s="640"/>
      <c r="AQ6" s="640"/>
      <c r="AR6" s="640"/>
      <c r="AW6" s="6" t="s">
        <v>302</v>
      </c>
      <c r="AX6" s="11" t="s">
        <v>176</v>
      </c>
      <c r="AY6" s="6" t="s">
        <v>306</v>
      </c>
      <c r="AZ6" s="6" t="s">
        <v>1208</v>
      </c>
      <c r="BA6" s="6" t="s">
        <v>177</v>
      </c>
      <c r="BB6" s="6" t="s">
        <v>730</v>
      </c>
      <c r="BG6" s="364" t="s">
        <v>498</v>
      </c>
    </row>
    <row r="7" spans="1:59" s="6" customFormat="1" ht="24.95" customHeight="1" thickBot="1" x14ac:dyDescent="0.3">
      <c r="A7" s="7"/>
      <c r="B7" s="7"/>
      <c r="C7" s="16" t="s">
        <v>301</v>
      </c>
      <c r="D7" s="7"/>
      <c r="E7" s="7"/>
      <c r="F7" s="7"/>
      <c r="G7" s="7"/>
      <c r="H7" s="10"/>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X7" s="11" t="s">
        <v>178</v>
      </c>
      <c r="AY7" s="21" t="s">
        <v>310</v>
      </c>
      <c r="AZ7" s="6" t="s">
        <v>1209</v>
      </c>
      <c r="BA7" s="6" t="s">
        <v>179</v>
      </c>
      <c r="BB7" s="6" t="s">
        <v>731</v>
      </c>
      <c r="BG7" s="364" t="s">
        <v>499</v>
      </c>
    </row>
    <row r="8" spans="1:59" s="6" customFormat="1" ht="24.95" customHeight="1" thickBot="1" x14ac:dyDescent="0.3">
      <c r="A8" s="7"/>
      <c r="B8" s="7"/>
      <c r="C8" s="609" t="s">
        <v>304</v>
      </c>
      <c r="D8" s="610"/>
      <c r="E8" s="610"/>
      <c r="F8" s="610"/>
      <c r="G8" s="610"/>
      <c r="H8" s="610"/>
      <c r="I8" s="610"/>
      <c r="J8" s="610"/>
      <c r="K8" s="611"/>
      <c r="L8" s="635" t="s">
        <v>325</v>
      </c>
      <c r="M8" s="636"/>
      <c r="N8" s="636"/>
      <c r="O8" s="636"/>
      <c r="P8" s="636"/>
      <c r="Q8" s="636"/>
      <c r="R8" s="636"/>
      <c r="S8" s="636"/>
      <c r="T8" s="636"/>
      <c r="U8" s="636"/>
      <c r="V8" s="636"/>
      <c r="W8" s="637"/>
      <c r="X8" s="629" t="s">
        <v>305</v>
      </c>
      <c r="Y8" s="629"/>
      <c r="Z8" s="629"/>
      <c r="AA8" s="629"/>
      <c r="AB8" s="629"/>
      <c r="AC8" s="629"/>
      <c r="AD8" s="629"/>
      <c r="AE8" s="629"/>
      <c r="AF8" s="629"/>
      <c r="AG8" s="618" t="s">
        <v>1463</v>
      </c>
      <c r="AH8" s="618"/>
      <c r="AI8" s="618"/>
      <c r="AJ8" s="618"/>
      <c r="AK8" s="618"/>
      <c r="AL8" s="618"/>
      <c r="AM8" s="618"/>
      <c r="AN8" s="618"/>
      <c r="AO8" s="618"/>
      <c r="AP8" s="618"/>
      <c r="AQ8" s="618"/>
      <c r="AR8" s="619"/>
      <c r="AX8" s="11" t="s">
        <v>180</v>
      </c>
      <c r="AY8" s="6" t="s">
        <v>314</v>
      </c>
      <c r="AZ8" s="6" t="s">
        <v>1210</v>
      </c>
      <c r="BA8" s="6" t="s">
        <v>181</v>
      </c>
      <c r="BB8" s="6" t="s">
        <v>732</v>
      </c>
      <c r="BG8" s="364" t="s">
        <v>500</v>
      </c>
    </row>
    <row r="9" spans="1:59" s="6" customFormat="1" ht="15" customHeight="1" x14ac:dyDescent="0.25">
      <c r="A9" s="7"/>
      <c r="B9" s="7"/>
      <c r="C9" s="588" t="s">
        <v>307</v>
      </c>
      <c r="D9" s="589"/>
      <c r="E9" s="589"/>
      <c r="F9" s="589"/>
      <c r="G9" s="589"/>
      <c r="H9" s="589"/>
      <c r="I9" s="589"/>
      <c r="J9" s="589"/>
      <c r="K9" s="590"/>
      <c r="L9" s="622" t="s">
        <v>1464</v>
      </c>
      <c r="M9" s="623"/>
      <c r="N9" s="623"/>
      <c r="O9" s="623"/>
      <c r="P9" s="623"/>
      <c r="Q9" s="623"/>
      <c r="R9" s="623"/>
      <c r="S9" s="623"/>
      <c r="T9" s="623"/>
      <c r="U9" s="623"/>
      <c r="V9" s="623"/>
      <c r="W9" s="627" t="s">
        <v>308</v>
      </c>
      <c r="X9" s="662" t="s">
        <v>309</v>
      </c>
      <c r="Y9" s="663"/>
      <c r="Z9" s="663"/>
      <c r="AA9" s="663"/>
      <c r="AB9" s="663"/>
      <c r="AC9" s="663"/>
      <c r="AD9" s="663"/>
      <c r="AE9" s="663"/>
      <c r="AF9" s="664"/>
      <c r="AG9" s="622" t="s">
        <v>1465</v>
      </c>
      <c r="AH9" s="623"/>
      <c r="AI9" s="623"/>
      <c r="AJ9" s="623"/>
      <c r="AK9" s="623"/>
      <c r="AL9" s="623"/>
      <c r="AM9" s="623"/>
      <c r="AN9" s="623"/>
      <c r="AO9" s="623"/>
      <c r="AP9" s="623"/>
      <c r="AQ9" s="623"/>
      <c r="AR9" s="620" t="s">
        <v>308</v>
      </c>
      <c r="AX9" s="11" t="s">
        <v>182</v>
      </c>
      <c r="AY9" s="6" t="s">
        <v>319</v>
      </c>
      <c r="AZ9" s="6" t="s">
        <v>1211</v>
      </c>
      <c r="BB9" s="6" t="s">
        <v>733</v>
      </c>
      <c r="BG9" s="364" t="s">
        <v>501</v>
      </c>
    </row>
    <row r="10" spans="1:59" s="6" customFormat="1" ht="15" customHeight="1" thickBot="1" x14ac:dyDescent="0.3">
      <c r="A10" s="7"/>
      <c r="B10" s="7"/>
      <c r="C10" s="591"/>
      <c r="D10" s="592"/>
      <c r="E10" s="592"/>
      <c r="F10" s="592"/>
      <c r="G10" s="592"/>
      <c r="H10" s="592"/>
      <c r="I10" s="592"/>
      <c r="J10" s="592"/>
      <c r="K10" s="593"/>
      <c r="L10" s="638"/>
      <c r="M10" s="639"/>
      <c r="N10" s="639"/>
      <c r="O10" s="639"/>
      <c r="P10" s="639"/>
      <c r="Q10" s="639"/>
      <c r="R10" s="639"/>
      <c r="S10" s="639"/>
      <c r="T10" s="639"/>
      <c r="U10" s="639"/>
      <c r="V10" s="639"/>
      <c r="W10" s="628"/>
      <c r="X10" s="641" t="s">
        <v>311</v>
      </c>
      <c r="Y10" s="642"/>
      <c r="Z10" s="642"/>
      <c r="AA10" s="642"/>
      <c r="AB10" s="642"/>
      <c r="AC10" s="642"/>
      <c r="AD10" s="642"/>
      <c r="AE10" s="642"/>
      <c r="AF10" s="643"/>
      <c r="AG10" s="638" t="s">
        <v>1466</v>
      </c>
      <c r="AH10" s="639"/>
      <c r="AI10" s="639"/>
      <c r="AJ10" s="639"/>
      <c r="AK10" s="639"/>
      <c r="AL10" s="639"/>
      <c r="AM10" s="639"/>
      <c r="AN10" s="639"/>
      <c r="AO10" s="639"/>
      <c r="AP10" s="639"/>
      <c r="AQ10" s="639"/>
      <c r="AR10" s="621"/>
      <c r="AX10" s="11" t="s">
        <v>183</v>
      </c>
      <c r="AY10" s="6" t="s">
        <v>323</v>
      </c>
      <c r="AZ10" s="6" t="s">
        <v>1212</v>
      </c>
      <c r="BB10" s="6" t="s">
        <v>734</v>
      </c>
      <c r="BG10" s="364" t="s">
        <v>502</v>
      </c>
    </row>
    <row r="11" spans="1:59" s="6" customFormat="1" ht="24.95" customHeight="1" thickBot="1" x14ac:dyDescent="0.3">
      <c r="A11" s="7"/>
      <c r="B11" s="7"/>
      <c r="C11" s="609" t="s">
        <v>312</v>
      </c>
      <c r="D11" s="610"/>
      <c r="E11" s="610"/>
      <c r="F11" s="610"/>
      <c r="G11" s="610"/>
      <c r="H11" s="610"/>
      <c r="I11" s="610"/>
      <c r="J11" s="610"/>
      <c r="K11" s="611"/>
      <c r="L11" s="655">
        <v>43376</v>
      </c>
      <c r="M11" s="656"/>
      <c r="N11" s="656"/>
      <c r="O11" s="656"/>
      <c r="P11" s="656"/>
      <c r="Q11" s="656"/>
      <c r="R11" s="656"/>
      <c r="S11" s="656"/>
      <c r="T11" s="656"/>
      <c r="U11" s="656"/>
      <c r="V11" s="656"/>
      <c r="W11" s="657"/>
      <c r="X11" s="629" t="s">
        <v>313</v>
      </c>
      <c r="Y11" s="629"/>
      <c r="Z11" s="629"/>
      <c r="AA11" s="629"/>
      <c r="AB11" s="629"/>
      <c r="AC11" s="629"/>
      <c r="AD11" s="629"/>
      <c r="AE11" s="629"/>
      <c r="AF11" s="629"/>
      <c r="AG11" s="658">
        <v>43399</v>
      </c>
      <c r="AH11" s="658"/>
      <c r="AI11" s="658"/>
      <c r="AJ11" s="658"/>
      <c r="AK11" s="658"/>
      <c r="AL11" s="658"/>
      <c r="AM11" s="658"/>
      <c r="AN11" s="658"/>
      <c r="AO11" s="658"/>
      <c r="AP11" s="658"/>
      <c r="AQ11" s="658"/>
      <c r="AR11" s="659"/>
      <c r="AX11" s="11" t="s">
        <v>185</v>
      </c>
      <c r="AY11" s="6" t="s">
        <v>325</v>
      </c>
      <c r="AZ11" s="6" t="s">
        <v>1213</v>
      </c>
      <c r="BB11" s="6" t="s">
        <v>735</v>
      </c>
      <c r="BG11" s="364" t="s">
        <v>503</v>
      </c>
    </row>
    <row r="12" spans="1:59" s="6" customFormat="1" ht="24.95" customHeight="1" thickBot="1" x14ac:dyDescent="0.3">
      <c r="A12" s="7"/>
      <c r="B12" s="7"/>
      <c r="C12" s="609" t="s">
        <v>315</v>
      </c>
      <c r="D12" s="610"/>
      <c r="E12" s="610"/>
      <c r="F12" s="610"/>
      <c r="G12" s="610"/>
      <c r="H12" s="610"/>
      <c r="I12" s="610"/>
      <c r="J12" s="610"/>
      <c r="K12" s="611"/>
      <c r="L12" s="635" t="s">
        <v>1268</v>
      </c>
      <c r="M12" s="636"/>
      <c r="N12" s="636"/>
      <c r="O12" s="636"/>
      <c r="P12" s="636"/>
      <c r="Q12" s="636"/>
      <c r="R12" s="636"/>
      <c r="S12" s="636"/>
      <c r="T12" s="636"/>
      <c r="U12" s="636"/>
      <c r="V12" s="636"/>
      <c r="W12" s="637"/>
      <c r="X12" s="629" t="s">
        <v>316</v>
      </c>
      <c r="Y12" s="629"/>
      <c r="Z12" s="629"/>
      <c r="AA12" s="629"/>
      <c r="AB12" s="629"/>
      <c r="AC12" s="629"/>
      <c r="AD12" s="629"/>
      <c r="AE12" s="629"/>
      <c r="AF12" s="629"/>
      <c r="AG12" s="22" t="s">
        <v>184</v>
      </c>
      <c r="AH12" s="630" t="s">
        <v>317</v>
      </c>
      <c r="AI12" s="631"/>
      <c r="AJ12" s="631"/>
      <c r="AK12" s="632"/>
      <c r="AL12" s="23" t="s">
        <v>1467</v>
      </c>
      <c r="AM12" s="587" t="s">
        <v>318</v>
      </c>
      <c r="AN12" s="587"/>
      <c r="AO12" s="587"/>
      <c r="AP12" s="587"/>
      <c r="AQ12" s="587"/>
      <c r="AR12" s="660"/>
      <c r="AX12" s="11" t="s">
        <v>186</v>
      </c>
      <c r="AY12" s="21" t="s">
        <v>436</v>
      </c>
      <c r="AZ12" s="6" t="s">
        <v>1214</v>
      </c>
      <c r="BB12" s="6" t="s">
        <v>736</v>
      </c>
      <c r="BG12" s="364" t="s">
        <v>504</v>
      </c>
    </row>
    <row r="13" spans="1:59" s="6" customFormat="1" ht="24.95" customHeight="1" thickBot="1" x14ac:dyDescent="0.3">
      <c r="A13" s="7"/>
      <c r="B13" s="7"/>
      <c r="C13" s="609" t="s">
        <v>513</v>
      </c>
      <c r="D13" s="610"/>
      <c r="E13" s="610"/>
      <c r="F13" s="610"/>
      <c r="G13" s="610"/>
      <c r="H13" s="610"/>
      <c r="I13" s="610"/>
      <c r="J13" s="610"/>
      <c r="K13" s="611"/>
      <c r="L13" s="671"/>
      <c r="M13" s="672"/>
      <c r="N13" s="672"/>
      <c r="O13" s="672"/>
      <c r="P13" s="672"/>
      <c r="Q13" s="672"/>
      <c r="R13" s="672"/>
      <c r="S13" s="672"/>
      <c r="T13" s="672"/>
      <c r="U13" s="672"/>
      <c r="V13" s="672"/>
      <c r="W13" s="673"/>
      <c r="X13" s="629" t="s">
        <v>320</v>
      </c>
      <c r="Y13" s="629"/>
      <c r="Z13" s="629"/>
      <c r="AA13" s="629"/>
      <c r="AB13" s="629"/>
      <c r="AC13" s="629"/>
      <c r="AD13" s="629"/>
      <c r="AE13" s="629"/>
      <c r="AF13" s="629"/>
      <c r="AG13" s="22" t="s">
        <v>184</v>
      </c>
      <c r="AH13" s="630" t="s">
        <v>321</v>
      </c>
      <c r="AI13" s="631"/>
      <c r="AJ13" s="631"/>
      <c r="AK13" s="632"/>
      <c r="AL13" s="669"/>
      <c r="AM13" s="669"/>
      <c r="AN13" s="587" t="s">
        <v>322</v>
      </c>
      <c r="AO13" s="587"/>
      <c r="AP13" s="587"/>
      <c r="AQ13" s="587"/>
      <c r="AR13" s="660"/>
      <c r="AX13" s="11" t="s">
        <v>187</v>
      </c>
      <c r="AY13" s="6" t="s">
        <v>439</v>
      </c>
      <c r="AZ13" s="6" t="s">
        <v>1215</v>
      </c>
      <c r="BB13" s="6" t="s">
        <v>737</v>
      </c>
    </row>
    <row r="14" spans="1:59" s="6" customFormat="1" ht="15" customHeight="1" thickBot="1" x14ac:dyDescent="0.3">
      <c r="A14" s="7"/>
      <c r="B14" s="7"/>
      <c r="C14" s="7"/>
      <c r="D14" s="7"/>
      <c r="E14" s="7"/>
      <c r="F14" s="7"/>
      <c r="G14" s="7"/>
      <c r="H14" s="7"/>
      <c r="I14" s="7"/>
      <c r="J14" s="7"/>
      <c r="K14" s="7"/>
      <c r="L14" s="7"/>
      <c r="M14" s="7"/>
      <c r="N14" s="7"/>
      <c r="O14" s="7"/>
      <c r="P14" s="7"/>
      <c r="Q14" s="7"/>
      <c r="R14" s="7"/>
      <c r="S14" s="7"/>
      <c r="T14" s="7"/>
      <c r="U14" s="7"/>
      <c r="V14" s="7"/>
      <c r="W14" s="7"/>
      <c r="X14" s="670" t="s">
        <v>324</v>
      </c>
      <c r="Y14" s="629"/>
      <c r="Z14" s="629"/>
      <c r="AA14" s="629"/>
      <c r="AB14" s="629"/>
      <c r="AC14" s="629"/>
      <c r="AD14" s="629"/>
      <c r="AE14" s="629"/>
      <c r="AF14" s="629"/>
      <c r="AG14" s="674"/>
      <c r="AH14" s="674"/>
      <c r="AI14" s="674"/>
      <c r="AJ14" s="674"/>
      <c r="AK14" s="674"/>
      <c r="AL14" s="674"/>
      <c r="AM14" s="674"/>
      <c r="AN14" s="674"/>
      <c r="AO14" s="674"/>
      <c r="AP14" s="674"/>
      <c r="AQ14" s="674"/>
      <c r="AR14" s="675"/>
      <c r="AX14" s="11" t="s">
        <v>188</v>
      </c>
      <c r="AY14" s="6" t="s">
        <v>442</v>
      </c>
      <c r="AZ14" s="6" t="s">
        <v>1216</v>
      </c>
      <c r="BB14" s="6" t="s">
        <v>738</v>
      </c>
    </row>
    <row r="15" spans="1:59" s="6" customFormat="1" ht="24.95" customHeight="1" thickBot="1" x14ac:dyDescent="0.3">
      <c r="A15" s="7"/>
      <c r="B15" s="7"/>
      <c r="C15" s="16" t="s">
        <v>326</v>
      </c>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W15" s="21"/>
      <c r="AX15" s="11" t="s">
        <v>189</v>
      </c>
      <c r="AY15" s="6" t="s">
        <v>452</v>
      </c>
      <c r="AZ15" s="21" t="s">
        <v>1217</v>
      </c>
      <c r="BA15" s="21"/>
      <c r="BB15" s="6" t="s">
        <v>739</v>
      </c>
      <c r="BC15" s="21"/>
      <c r="BD15" s="21"/>
      <c r="BE15" s="21"/>
      <c r="BF15" s="21"/>
    </row>
    <row r="16" spans="1:59" s="21" customFormat="1" ht="24.95" customHeight="1" thickBot="1" x14ac:dyDescent="0.3">
      <c r="A16" s="25"/>
      <c r="B16" s="25"/>
      <c r="C16" s="554" t="s">
        <v>437</v>
      </c>
      <c r="D16" s="555"/>
      <c r="E16" s="555"/>
      <c r="F16" s="555"/>
      <c r="G16" s="555"/>
      <c r="H16" s="555"/>
      <c r="I16" s="555"/>
      <c r="J16" s="555"/>
      <c r="K16" s="556"/>
      <c r="L16" s="635" t="s">
        <v>287</v>
      </c>
      <c r="M16" s="636"/>
      <c r="N16" s="636"/>
      <c r="O16" s="636"/>
      <c r="P16" s="636"/>
      <c r="Q16" s="636"/>
      <c r="R16" s="636"/>
      <c r="S16" s="636"/>
      <c r="T16" s="636"/>
      <c r="U16" s="636"/>
      <c r="V16" s="636"/>
      <c r="W16" s="637"/>
      <c r="X16" s="573" t="s">
        <v>438</v>
      </c>
      <c r="Y16" s="573"/>
      <c r="Z16" s="573"/>
      <c r="AA16" s="573"/>
      <c r="AB16" s="573"/>
      <c r="AC16" s="573"/>
      <c r="AD16" s="573"/>
      <c r="AE16" s="573"/>
      <c r="AF16" s="573"/>
      <c r="AG16" s="676" t="str">
        <f>シャシ型式!G4</f>
        <v>2DG-GC2ADBA-CBAAAB</v>
      </c>
      <c r="AH16" s="676"/>
      <c r="AI16" s="676"/>
      <c r="AJ16" s="676"/>
      <c r="AK16" s="676"/>
      <c r="AL16" s="676"/>
      <c r="AM16" s="676"/>
      <c r="AN16" s="676"/>
      <c r="AO16" s="676"/>
      <c r="AP16" s="676"/>
      <c r="AQ16" s="676"/>
      <c r="AR16" s="677"/>
      <c r="AX16" s="11" t="s">
        <v>190</v>
      </c>
      <c r="AY16" s="21" t="s">
        <v>457</v>
      </c>
      <c r="AZ16" s="21" t="s">
        <v>1218</v>
      </c>
      <c r="BB16" s="6" t="s">
        <v>740</v>
      </c>
    </row>
    <row r="17" spans="1:58" s="21" customFormat="1" ht="24.95" customHeight="1" thickBot="1" x14ac:dyDescent="0.3">
      <c r="A17" s="25"/>
      <c r="B17" s="25"/>
      <c r="C17" s="554" t="s">
        <v>440</v>
      </c>
      <c r="D17" s="555"/>
      <c r="E17" s="555"/>
      <c r="F17" s="555"/>
      <c r="G17" s="555"/>
      <c r="H17" s="555"/>
      <c r="I17" s="555"/>
      <c r="J17" s="555"/>
      <c r="K17" s="556"/>
      <c r="L17" s="618"/>
      <c r="M17" s="618"/>
      <c r="N17" s="618"/>
      <c r="O17" s="618"/>
      <c r="P17" s="618"/>
      <c r="Q17" s="618"/>
      <c r="R17" s="618"/>
      <c r="S17" s="618"/>
      <c r="T17" s="618"/>
      <c r="U17" s="618"/>
      <c r="V17" s="618"/>
      <c r="W17" s="618"/>
      <c r="X17" s="573" t="s">
        <v>441</v>
      </c>
      <c r="Y17" s="573"/>
      <c r="Z17" s="573"/>
      <c r="AA17" s="573"/>
      <c r="AB17" s="573"/>
      <c r="AC17" s="573"/>
      <c r="AD17" s="573"/>
      <c r="AE17" s="573"/>
      <c r="AF17" s="573"/>
      <c r="AG17" s="658">
        <v>43320</v>
      </c>
      <c r="AH17" s="658"/>
      <c r="AI17" s="658"/>
      <c r="AJ17" s="658"/>
      <c r="AK17" s="658"/>
      <c r="AL17" s="658"/>
      <c r="AM17" s="658"/>
      <c r="AN17" s="658"/>
      <c r="AO17" s="658"/>
      <c r="AP17" s="658"/>
      <c r="AQ17" s="658"/>
      <c r="AR17" s="659"/>
      <c r="AX17" s="11" t="s">
        <v>201</v>
      </c>
      <c r="AY17" s="164"/>
      <c r="AZ17" s="21" t="s">
        <v>1219</v>
      </c>
      <c r="BB17" s="6" t="s">
        <v>741</v>
      </c>
    </row>
    <row r="18" spans="1:58" s="21" customFormat="1" ht="24.95" customHeight="1" thickBot="1" x14ac:dyDescent="0.3">
      <c r="A18" s="25"/>
      <c r="B18" s="25"/>
      <c r="C18" s="554" t="s">
        <v>443</v>
      </c>
      <c r="D18" s="555"/>
      <c r="E18" s="555"/>
      <c r="F18" s="555"/>
      <c r="G18" s="555"/>
      <c r="H18" s="555"/>
      <c r="I18" s="555"/>
      <c r="J18" s="555"/>
      <c r="K18" s="556"/>
      <c r="L18" s="557" t="s">
        <v>1469</v>
      </c>
      <c r="M18" s="557"/>
      <c r="N18" s="557"/>
      <c r="O18" s="557"/>
      <c r="P18" s="557"/>
      <c r="Q18" s="557"/>
      <c r="R18" s="557"/>
      <c r="S18" s="557"/>
      <c r="T18" s="557"/>
      <c r="U18" s="557"/>
      <c r="V18" s="557"/>
      <c r="W18" s="557"/>
      <c r="X18" s="573" t="s">
        <v>451</v>
      </c>
      <c r="Y18" s="573"/>
      <c r="Z18" s="573"/>
      <c r="AA18" s="573"/>
      <c r="AB18" s="573"/>
      <c r="AC18" s="573"/>
      <c r="AD18" s="573"/>
      <c r="AE18" s="573"/>
      <c r="AF18" s="573"/>
      <c r="AG18" s="557" t="s">
        <v>286</v>
      </c>
      <c r="AH18" s="557"/>
      <c r="AI18" s="557"/>
      <c r="AJ18" s="557"/>
      <c r="AK18" s="557"/>
      <c r="AL18" s="557"/>
      <c r="AM18" s="557"/>
      <c r="AN18" s="557"/>
      <c r="AO18" s="557"/>
      <c r="AP18" s="557"/>
      <c r="AQ18" s="557"/>
      <c r="AR18" s="571"/>
      <c r="AX18" s="11" t="s">
        <v>1314</v>
      </c>
      <c r="AZ18" s="21" t="s">
        <v>1220</v>
      </c>
      <c r="BB18" s="6" t="s">
        <v>742</v>
      </c>
    </row>
    <row r="19" spans="1:58" s="21" customFormat="1" ht="24" customHeight="1" x14ac:dyDescent="0.25">
      <c r="A19" s="25"/>
      <c r="B19" s="25"/>
      <c r="C19" s="580" t="s">
        <v>453</v>
      </c>
      <c r="D19" s="581"/>
      <c r="E19" s="581"/>
      <c r="F19" s="581"/>
      <c r="G19" s="581"/>
      <c r="H19" s="581"/>
      <c r="I19" s="581"/>
      <c r="J19" s="581"/>
      <c r="K19" s="582"/>
      <c r="L19" s="566" t="s">
        <v>454</v>
      </c>
      <c r="M19" s="564"/>
      <c r="N19" s="564"/>
      <c r="O19" s="564"/>
      <c r="P19" s="26" t="s">
        <v>1467</v>
      </c>
      <c r="Q19" s="564" t="s">
        <v>455</v>
      </c>
      <c r="R19" s="564"/>
      <c r="S19" s="564"/>
      <c r="T19" s="564"/>
      <c r="U19" s="564"/>
      <c r="V19" s="564"/>
      <c r="W19" s="564"/>
      <c r="X19" s="564"/>
      <c r="Y19" s="564"/>
      <c r="Z19" s="564"/>
      <c r="AA19" s="564"/>
      <c r="AB19" s="564"/>
      <c r="AC19" s="564"/>
      <c r="AD19" s="564"/>
      <c r="AE19" s="26" t="s">
        <v>184</v>
      </c>
      <c r="AF19" s="564" t="s">
        <v>456</v>
      </c>
      <c r="AG19" s="564"/>
      <c r="AH19" s="564"/>
      <c r="AI19" s="564"/>
      <c r="AJ19" s="564"/>
      <c r="AK19" s="564"/>
      <c r="AL19" s="564"/>
      <c r="AM19" s="564"/>
      <c r="AN19" s="564"/>
      <c r="AO19" s="564"/>
      <c r="AP19" s="564"/>
      <c r="AQ19" s="564"/>
      <c r="AR19" s="565"/>
      <c r="AX19" s="11" t="s">
        <v>202</v>
      </c>
      <c r="AZ19" s="21" t="s">
        <v>1221</v>
      </c>
      <c r="BB19" s="6" t="s">
        <v>743</v>
      </c>
    </row>
    <row r="20" spans="1:58" s="21" customFormat="1" ht="24" customHeight="1" thickBot="1" x14ac:dyDescent="0.3">
      <c r="A20" s="25"/>
      <c r="B20" s="25"/>
      <c r="C20" s="583"/>
      <c r="D20" s="584"/>
      <c r="E20" s="584"/>
      <c r="F20" s="584"/>
      <c r="G20" s="584"/>
      <c r="H20" s="584"/>
      <c r="I20" s="584"/>
      <c r="J20" s="584"/>
      <c r="K20" s="585"/>
      <c r="L20" s="586" t="s">
        <v>458</v>
      </c>
      <c r="M20" s="574"/>
      <c r="N20" s="574"/>
      <c r="O20" s="574"/>
      <c r="P20" s="27" t="s">
        <v>1467</v>
      </c>
      <c r="Q20" s="574" t="s">
        <v>459</v>
      </c>
      <c r="R20" s="574"/>
      <c r="S20" s="574"/>
      <c r="T20" s="574"/>
      <c r="U20" s="574"/>
      <c r="V20" s="574"/>
      <c r="W20" s="574"/>
      <c r="X20" s="574"/>
      <c r="Y20" s="574"/>
      <c r="Z20" s="574"/>
      <c r="AA20" s="574"/>
      <c r="AB20" s="574"/>
      <c r="AC20" s="574"/>
      <c r="AD20" s="574"/>
      <c r="AE20" s="27" t="s">
        <v>184</v>
      </c>
      <c r="AF20" s="574" t="s">
        <v>456</v>
      </c>
      <c r="AG20" s="574"/>
      <c r="AH20" s="574"/>
      <c r="AI20" s="574"/>
      <c r="AJ20" s="574"/>
      <c r="AK20" s="574"/>
      <c r="AL20" s="574"/>
      <c r="AM20" s="574"/>
      <c r="AN20" s="574"/>
      <c r="AO20" s="574"/>
      <c r="AP20" s="574"/>
      <c r="AQ20" s="574"/>
      <c r="AR20" s="575"/>
      <c r="AX20" s="11" t="s">
        <v>203</v>
      </c>
      <c r="AZ20" s="21" t="s">
        <v>1222</v>
      </c>
      <c r="BB20" s="6" t="s">
        <v>744</v>
      </c>
    </row>
    <row r="21" spans="1:58" s="21" customFormat="1" ht="24.95" customHeight="1" thickBot="1" x14ac:dyDescent="0.3">
      <c r="A21" s="25"/>
      <c r="B21" s="25"/>
      <c r="C21" s="554" t="s">
        <v>460</v>
      </c>
      <c r="D21" s="555"/>
      <c r="E21" s="555"/>
      <c r="F21" s="555"/>
      <c r="G21" s="555"/>
      <c r="H21" s="555"/>
      <c r="I21" s="555"/>
      <c r="J21" s="555"/>
      <c r="K21" s="556"/>
      <c r="L21" s="557" t="s">
        <v>1313</v>
      </c>
      <c r="M21" s="557"/>
      <c r="N21" s="557"/>
      <c r="O21" s="557"/>
      <c r="P21" s="557"/>
      <c r="Q21" s="557"/>
      <c r="R21" s="557"/>
      <c r="S21" s="557"/>
      <c r="T21" s="557"/>
      <c r="U21" s="557"/>
      <c r="V21" s="557"/>
      <c r="W21" s="557"/>
      <c r="X21" s="573" t="s">
        <v>461</v>
      </c>
      <c r="Y21" s="573"/>
      <c r="Z21" s="573"/>
      <c r="AA21" s="573"/>
      <c r="AB21" s="573"/>
      <c r="AC21" s="573"/>
      <c r="AD21" s="573"/>
      <c r="AE21" s="573"/>
      <c r="AF21" s="573"/>
      <c r="AG21" s="557" t="s">
        <v>276</v>
      </c>
      <c r="AH21" s="557"/>
      <c r="AI21" s="557"/>
      <c r="AJ21" s="557"/>
      <c r="AK21" s="557"/>
      <c r="AL21" s="557"/>
      <c r="AM21" s="557"/>
      <c r="AN21" s="557"/>
      <c r="AO21" s="557"/>
      <c r="AP21" s="557"/>
      <c r="AQ21" s="557"/>
      <c r="AR21" s="571"/>
      <c r="AX21" s="11" t="s">
        <v>204</v>
      </c>
      <c r="AZ21" s="21" t="s">
        <v>1223</v>
      </c>
      <c r="BB21" s="6" t="s">
        <v>745</v>
      </c>
    </row>
    <row r="22" spans="1:58" s="21" customFormat="1" ht="24.95" customHeight="1" thickBot="1" x14ac:dyDescent="0.3">
      <c r="A22" s="25"/>
      <c r="B22" s="25"/>
      <c r="C22" s="558" t="s">
        <v>462</v>
      </c>
      <c r="D22" s="559"/>
      <c r="E22" s="559"/>
      <c r="F22" s="559"/>
      <c r="G22" s="559"/>
      <c r="H22" s="559"/>
      <c r="I22" s="559"/>
      <c r="J22" s="559"/>
      <c r="K22" s="560"/>
      <c r="L22" s="570" t="s">
        <v>1470</v>
      </c>
      <c r="M22" s="570"/>
      <c r="N22" s="570"/>
      <c r="O22" s="570"/>
      <c r="P22" s="570"/>
      <c r="Q22" s="570"/>
      <c r="R22" s="570"/>
      <c r="S22" s="570"/>
      <c r="T22" s="570"/>
      <c r="U22" s="570"/>
      <c r="V22" s="570"/>
      <c r="W22" s="570"/>
      <c r="X22" s="576" t="s">
        <v>463</v>
      </c>
      <c r="Y22" s="576"/>
      <c r="Z22" s="576"/>
      <c r="AA22" s="576"/>
      <c r="AB22" s="576"/>
      <c r="AC22" s="576"/>
      <c r="AD22" s="576"/>
      <c r="AE22" s="576"/>
      <c r="AF22" s="576"/>
      <c r="AG22" s="570" t="s">
        <v>276</v>
      </c>
      <c r="AH22" s="570"/>
      <c r="AI22" s="570"/>
      <c r="AJ22" s="570"/>
      <c r="AK22" s="570"/>
      <c r="AL22" s="570"/>
      <c r="AM22" s="570"/>
      <c r="AN22" s="570"/>
      <c r="AO22" s="570"/>
      <c r="AP22" s="570"/>
      <c r="AQ22" s="570"/>
      <c r="AR22" s="572"/>
      <c r="AX22" s="11" t="s">
        <v>1315</v>
      </c>
      <c r="AZ22" s="21" t="s">
        <v>1224</v>
      </c>
      <c r="BB22" s="6" t="s">
        <v>746</v>
      </c>
    </row>
    <row r="23" spans="1:58" s="21" customFormat="1" ht="22.5" customHeight="1" x14ac:dyDescent="0.25">
      <c r="A23" s="25"/>
      <c r="B23" s="25"/>
      <c r="C23" s="567" t="s">
        <v>464</v>
      </c>
      <c r="D23" s="568"/>
      <c r="E23" s="568"/>
      <c r="F23" s="568"/>
      <c r="G23" s="568"/>
      <c r="H23" s="568"/>
      <c r="I23" s="568"/>
      <c r="J23" s="568"/>
      <c r="K23" s="568"/>
      <c r="L23" s="568"/>
      <c r="M23" s="568"/>
      <c r="N23" s="568"/>
      <c r="O23" s="568"/>
      <c r="P23" s="568"/>
      <c r="Q23" s="568"/>
      <c r="R23" s="568"/>
      <c r="S23" s="568"/>
      <c r="T23" s="568"/>
      <c r="U23" s="568"/>
      <c r="V23" s="568"/>
      <c r="W23" s="568"/>
      <c r="X23" s="568"/>
      <c r="Y23" s="568"/>
      <c r="Z23" s="568"/>
      <c r="AA23" s="568"/>
      <c r="AB23" s="568"/>
      <c r="AC23" s="568"/>
      <c r="AD23" s="568"/>
      <c r="AE23" s="568"/>
      <c r="AF23" s="568"/>
      <c r="AG23" s="568"/>
      <c r="AH23" s="568"/>
      <c r="AI23" s="568"/>
      <c r="AJ23" s="568"/>
      <c r="AK23" s="568"/>
      <c r="AL23" s="568"/>
      <c r="AM23" s="568"/>
      <c r="AN23" s="568"/>
      <c r="AO23" s="568"/>
      <c r="AP23" s="568"/>
      <c r="AQ23" s="568"/>
      <c r="AR23" s="569"/>
      <c r="AX23" s="11" t="s">
        <v>205</v>
      </c>
      <c r="AZ23" s="21" t="s">
        <v>1225</v>
      </c>
      <c r="BB23" s="6" t="s">
        <v>747</v>
      </c>
    </row>
    <row r="24" spans="1:58" s="21" customFormat="1" ht="22.5" customHeight="1" x14ac:dyDescent="0.25">
      <c r="A24" s="25"/>
      <c r="B24" s="25"/>
      <c r="C24" s="577"/>
      <c r="D24" s="578"/>
      <c r="E24" s="578"/>
      <c r="F24" s="578"/>
      <c r="G24" s="578"/>
      <c r="H24" s="578"/>
      <c r="I24" s="578"/>
      <c r="J24" s="578"/>
      <c r="K24" s="578"/>
      <c r="L24" s="578"/>
      <c r="M24" s="578"/>
      <c r="N24" s="578"/>
      <c r="O24" s="578"/>
      <c r="P24" s="578"/>
      <c r="Q24" s="578"/>
      <c r="R24" s="578"/>
      <c r="S24" s="578"/>
      <c r="T24" s="578"/>
      <c r="U24" s="578"/>
      <c r="V24" s="578"/>
      <c r="W24" s="578"/>
      <c r="X24" s="578"/>
      <c r="Y24" s="578"/>
      <c r="Z24" s="578"/>
      <c r="AA24" s="578"/>
      <c r="AB24" s="578"/>
      <c r="AC24" s="578"/>
      <c r="AD24" s="578"/>
      <c r="AE24" s="578"/>
      <c r="AF24" s="578"/>
      <c r="AG24" s="578"/>
      <c r="AH24" s="578"/>
      <c r="AI24" s="578"/>
      <c r="AJ24" s="578"/>
      <c r="AK24" s="578"/>
      <c r="AL24" s="578"/>
      <c r="AM24" s="578"/>
      <c r="AN24" s="578"/>
      <c r="AO24" s="578"/>
      <c r="AP24" s="578"/>
      <c r="AQ24" s="578"/>
      <c r="AR24" s="579"/>
      <c r="AX24" s="11" t="s">
        <v>206</v>
      </c>
      <c r="AZ24" s="21" t="s">
        <v>1226</v>
      </c>
      <c r="BB24" s="6" t="s">
        <v>748</v>
      </c>
    </row>
    <row r="25" spans="1:58" s="21" customFormat="1" ht="22.5" customHeight="1" thickBot="1" x14ac:dyDescent="0.3">
      <c r="A25" s="25"/>
      <c r="B25" s="25"/>
      <c r="C25" s="561"/>
      <c r="D25" s="562"/>
      <c r="E25" s="562"/>
      <c r="F25" s="562"/>
      <c r="G25" s="562"/>
      <c r="H25" s="562"/>
      <c r="I25" s="562"/>
      <c r="J25" s="562"/>
      <c r="K25" s="562"/>
      <c r="L25" s="562"/>
      <c r="M25" s="562"/>
      <c r="N25" s="562"/>
      <c r="O25" s="562"/>
      <c r="P25" s="562"/>
      <c r="Q25" s="562"/>
      <c r="R25" s="562"/>
      <c r="S25" s="562"/>
      <c r="T25" s="562"/>
      <c r="U25" s="562"/>
      <c r="V25" s="562"/>
      <c r="W25" s="562"/>
      <c r="X25" s="562"/>
      <c r="Y25" s="562"/>
      <c r="Z25" s="562"/>
      <c r="AA25" s="562"/>
      <c r="AB25" s="562"/>
      <c r="AC25" s="562"/>
      <c r="AD25" s="562"/>
      <c r="AE25" s="562"/>
      <c r="AF25" s="562"/>
      <c r="AG25" s="562"/>
      <c r="AH25" s="562"/>
      <c r="AI25" s="562"/>
      <c r="AJ25" s="562"/>
      <c r="AK25" s="562"/>
      <c r="AL25" s="562"/>
      <c r="AM25" s="562"/>
      <c r="AN25" s="562"/>
      <c r="AO25" s="562"/>
      <c r="AP25" s="562"/>
      <c r="AQ25" s="562"/>
      <c r="AR25" s="563"/>
      <c r="AW25" s="6"/>
      <c r="AX25" s="11" t="s">
        <v>207</v>
      </c>
      <c r="AZ25" s="6" t="s">
        <v>1227</v>
      </c>
      <c r="BA25" s="6"/>
      <c r="BB25" s="6" t="s">
        <v>749</v>
      </c>
      <c r="BC25" s="6"/>
      <c r="BD25" s="6"/>
      <c r="BE25" s="6"/>
      <c r="BF25" s="6"/>
    </row>
    <row r="26" spans="1:58" s="6" customFormat="1" ht="38.25" customHeight="1" thickBot="1" x14ac:dyDescent="0.3">
      <c r="A26" s="7"/>
      <c r="B26" s="7"/>
      <c r="C26" s="605" t="s">
        <v>36</v>
      </c>
      <c r="D26" s="605"/>
      <c r="E26" s="605"/>
      <c r="F26" s="605"/>
      <c r="G26" s="605"/>
      <c r="H26" s="605"/>
      <c r="I26" s="605"/>
      <c r="J26" s="605"/>
      <c r="K26" s="605"/>
      <c r="L26" s="605"/>
      <c r="M26" s="605"/>
      <c r="N26" s="605"/>
      <c r="O26" s="605"/>
      <c r="P26" s="605"/>
      <c r="Q26" s="605"/>
      <c r="R26" s="605"/>
      <c r="S26" s="605"/>
      <c r="T26" s="605"/>
      <c r="U26" s="605"/>
      <c r="V26" s="605"/>
      <c r="W26" s="605"/>
      <c r="X26" s="605"/>
      <c r="Y26" s="605"/>
      <c r="Z26" s="605"/>
      <c r="AA26" s="605"/>
      <c r="AB26" s="605"/>
      <c r="AC26" s="605"/>
      <c r="AD26" s="605"/>
      <c r="AE26" s="605"/>
      <c r="AF26" s="605"/>
      <c r="AG26" s="605"/>
      <c r="AH26" s="605"/>
      <c r="AI26" s="605"/>
      <c r="AJ26" s="605"/>
      <c r="AK26" s="605"/>
      <c r="AL26" s="605"/>
      <c r="AM26" s="605"/>
      <c r="AN26" s="605"/>
      <c r="AO26" s="605"/>
      <c r="AP26" s="605"/>
      <c r="AQ26" s="605"/>
      <c r="AR26" s="605"/>
      <c r="AW26" s="21"/>
      <c r="AX26" s="11" t="s">
        <v>1306</v>
      </c>
      <c r="AZ26" s="21" t="s">
        <v>1228</v>
      </c>
      <c r="BA26" s="21"/>
      <c r="BB26" s="6" t="s">
        <v>750</v>
      </c>
      <c r="BC26" s="21"/>
      <c r="BD26" s="21"/>
      <c r="BE26" s="21"/>
      <c r="BF26" s="21"/>
    </row>
    <row r="27" spans="1:58" s="21" customFormat="1" ht="24.95" customHeight="1" thickBot="1" x14ac:dyDescent="0.3">
      <c r="A27" s="25"/>
      <c r="B27" s="25"/>
      <c r="C27" s="609" t="s">
        <v>465</v>
      </c>
      <c r="D27" s="610"/>
      <c r="E27" s="610"/>
      <c r="F27" s="610"/>
      <c r="G27" s="610"/>
      <c r="H27" s="610"/>
      <c r="I27" s="610"/>
      <c r="J27" s="610"/>
      <c r="K27" s="611"/>
      <c r="L27" s="557" t="s">
        <v>1471</v>
      </c>
      <c r="M27" s="557"/>
      <c r="N27" s="557"/>
      <c r="O27" s="557"/>
      <c r="P27" s="557"/>
      <c r="Q27" s="557"/>
      <c r="R27" s="557"/>
      <c r="S27" s="557"/>
      <c r="T27" s="557"/>
      <c r="U27" s="557"/>
      <c r="V27" s="557"/>
      <c r="W27" s="557"/>
      <c r="X27" s="629" t="s">
        <v>466</v>
      </c>
      <c r="Y27" s="629"/>
      <c r="Z27" s="629"/>
      <c r="AA27" s="629"/>
      <c r="AB27" s="629"/>
      <c r="AC27" s="629"/>
      <c r="AD27" s="629"/>
      <c r="AE27" s="629"/>
      <c r="AF27" s="629"/>
      <c r="AG27" s="557" t="s">
        <v>1472</v>
      </c>
      <c r="AH27" s="557"/>
      <c r="AI27" s="557"/>
      <c r="AJ27" s="557"/>
      <c r="AK27" s="557"/>
      <c r="AL27" s="557"/>
      <c r="AM27" s="557"/>
      <c r="AN27" s="557"/>
      <c r="AO27" s="557"/>
      <c r="AP27" s="557"/>
      <c r="AQ27" s="557"/>
      <c r="AR27" s="571"/>
      <c r="AX27" s="11" t="s">
        <v>1307</v>
      </c>
      <c r="AZ27" s="21" t="s">
        <v>1229</v>
      </c>
      <c r="BB27" s="6" t="s">
        <v>751</v>
      </c>
    </row>
    <row r="28" spans="1:58" s="21" customFormat="1" ht="24.95" customHeight="1" thickBot="1" x14ac:dyDescent="0.3">
      <c r="A28" s="25"/>
      <c r="B28" s="25"/>
      <c r="C28" s="17" t="s">
        <v>467</v>
      </c>
      <c r="D28" s="18"/>
      <c r="E28" s="18"/>
      <c r="F28" s="18"/>
      <c r="G28" s="18"/>
      <c r="H28" s="18"/>
      <c r="I28" s="18"/>
      <c r="J28" s="18"/>
      <c r="K28" s="19"/>
      <c r="L28" s="28" t="s">
        <v>1467</v>
      </c>
      <c r="M28" s="612" t="s">
        <v>468</v>
      </c>
      <c r="N28" s="612"/>
      <c r="O28" s="612"/>
      <c r="P28" s="612"/>
      <c r="Q28" s="612"/>
      <c r="R28" s="612"/>
      <c r="S28" s="23" t="s">
        <v>184</v>
      </c>
      <c r="T28" s="587" t="s">
        <v>469</v>
      </c>
      <c r="U28" s="587"/>
      <c r="V28" s="587"/>
      <c r="W28" s="587"/>
      <c r="X28" s="587"/>
      <c r="Y28" s="587"/>
      <c r="Z28" s="24"/>
      <c r="AA28" s="29"/>
      <c r="AB28" s="29"/>
      <c r="AC28" s="29"/>
      <c r="AD28" s="29"/>
      <c r="AE28" s="29"/>
      <c r="AF28" s="29"/>
      <c r="AG28" s="20"/>
      <c r="AH28" s="20"/>
      <c r="AI28" s="20"/>
      <c r="AJ28" s="20"/>
      <c r="AK28" s="20"/>
      <c r="AL28" s="20"/>
      <c r="AM28" s="20"/>
      <c r="AN28" s="20"/>
      <c r="AO28" s="20"/>
      <c r="AP28" s="20"/>
      <c r="AQ28" s="20"/>
      <c r="AR28" s="30"/>
      <c r="AX28" s="11" t="s">
        <v>208</v>
      </c>
      <c r="AZ28" s="21" t="s">
        <v>1230</v>
      </c>
      <c r="BB28" s="6" t="s">
        <v>752</v>
      </c>
    </row>
    <row r="29" spans="1:58" s="21" customFormat="1" ht="24.95" customHeight="1" x14ac:dyDescent="0.25">
      <c r="A29" s="25"/>
      <c r="B29" s="25"/>
      <c r="C29" s="588" t="s">
        <v>470</v>
      </c>
      <c r="D29" s="589"/>
      <c r="E29" s="589"/>
      <c r="F29" s="589"/>
      <c r="G29" s="589"/>
      <c r="H29" s="589"/>
      <c r="I29" s="589"/>
      <c r="J29" s="589"/>
      <c r="K29" s="590"/>
      <c r="L29" s="28" t="s">
        <v>184</v>
      </c>
      <c r="M29" s="597" t="s">
        <v>471</v>
      </c>
      <c r="N29" s="598"/>
      <c r="O29" s="598"/>
      <c r="P29" s="598"/>
      <c r="Q29" s="598"/>
      <c r="R29" s="598"/>
      <c r="S29" s="28" t="s">
        <v>184</v>
      </c>
      <c r="T29" s="597" t="s">
        <v>472</v>
      </c>
      <c r="U29" s="598"/>
      <c r="V29" s="598"/>
      <c r="W29" s="598"/>
      <c r="X29" s="598"/>
      <c r="Y29" s="598"/>
      <c r="Z29" s="31" t="s">
        <v>1467</v>
      </c>
      <c r="AA29" s="678" t="s">
        <v>473</v>
      </c>
      <c r="AB29" s="678"/>
      <c r="AC29" s="678"/>
      <c r="AD29" s="679" t="s">
        <v>1473</v>
      </c>
      <c r="AE29" s="679"/>
      <c r="AF29" s="679"/>
      <c r="AG29" s="679"/>
      <c r="AH29" s="679"/>
      <c r="AI29" s="679"/>
      <c r="AJ29" s="679"/>
      <c r="AK29" s="679"/>
      <c r="AL29" s="513" t="s">
        <v>474</v>
      </c>
      <c r="AM29" s="513"/>
      <c r="AN29" s="601" t="s">
        <v>1474</v>
      </c>
      <c r="AO29" s="601"/>
      <c r="AP29" s="601"/>
      <c r="AQ29" s="601"/>
      <c r="AR29" s="602"/>
      <c r="AX29" s="11" t="s">
        <v>1308</v>
      </c>
      <c r="AZ29" s="21" t="s">
        <v>1231</v>
      </c>
      <c r="BB29" s="6" t="s">
        <v>753</v>
      </c>
    </row>
    <row r="30" spans="1:58" s="21" customFormat="1" ht="24" customHeight="1" x14ac:dyDescent="0.25">
      <c r="A30" s="25"/>
      <c r="B30" s="25"/>
      <c r="C30" s="594"/>
      <c r="D30" s="595"/>
      <c r="E30" s="595"/>
      <c r="F30" s="595"/>
      <c r="G30" s="595"/>
      <c r="H30" s="595"/>
      <c r="I30" s="595"/>
      <c r="J30" s="595"/>
      <c r="K30" s="596"/>
      <c r="L30" s="599" t="s">
        <v>475</v>
      </c>
      <c r="M30" s="600"/>
      <c r="N30" s="600"/>
      <c r="O30" s="600"/>
      <c r="P30" s="32" t="s">
        <v>1467</v>
      </c>
      <c r="Q30" s="600" t="s">
        <v>476</v>
      </c>
      <c r="R30" s="600"/>
      <c r="S30" s="600"/>
      <c r="T30" s="600"/>
      <c r="U30" s="600"/>
      <c r="V30" s="32" t="s">
        <v>184</v>
      </c>
      <c r="W30" s="600" t="s">
        <v>477</v>
      </c>
      <c r="X30" s="600"/>
      <c r="Y30" s="600"/>
      <c r="Z30" s="600"/>
      <c r="AA30" s="600"/>
      <c r="AB30" s="600"/>
      <c r="AC30" s="600"/>
      <c r="AD30" s="32" t="s">
        <v>184</v>
      </c>
      <c r="AE30" s="606" t="s">
        <v>478</v>
      </c>
      <c r="AF30" s="606"/>
      <c r="AG30" s="606"/>
      <c r="AH30" s="606"/>
      <c r="AI30" s="606"/>
      <c r="AJ30" s="606"/>
      <c r="AK30" s="606"/>
      <c r="AL30" s="606"/>
      <c r="AM30" s="606"/>
      <c r="AN30" s="606"/>
      <c r="AO30" s="606"/>
      <c r="AP30" s="606"/>
      <c r="AQ30" s="606"/>
      <c r="AR30" s="607"/>
      <c r="AT30" s="33"/>
      <c r="AX30" s="11" t="s">
        <v>209</v>
      </c>
      <c r="AZ30" s="21" t="s">
        <v>1232</v>
      </c>
      <c r="BB30" s="6" t="s">
        <v>754</v>
      </c>
    </row>
    <row r="31" spans="1:58" s="21" customFormat="1" ht="24" customHeight="1" thickBot="1" x14ac:dyDescent="0.3">
      <c r="A31" s="25"/>
      <c r="B31" s="25"/>
      <c r="C31" s="591"/>
      <c r="D31" s="592"/>
      <c r="E31" s="592"/>
      <c r="F31" s="592"/>
      <c r="G31" s="592"/>
      <c r="H31" s="592"/>
      <c r="I31" s="592"/>
      <c r="J31" s="592"/>
      <c r="K31" s="593"/>
      <c r="L31" s="608" t="s">
        <v>479</v>
      </c>
      <c r="M31" s="603"/>
      <c r="N31" s="603"/>
      <c r="O31" s="603"/>
      <c r="P31" s="34" t="s">
        <v>1467</v>
      </c>
      <c r="Q31" s="603" t="s">
        <v>480</v>
      </c>
      <c r="R31" s="603"/>
      <c r="S31" s="603"/>
      <c r="T31" s="603"/>
      <c r="U31" s="603"/>
      <c r="V31" s="34" t="s">
        <v>184</v>
      </c>
      <c r="W31" s="603" t="s">
        <v>481</v>
      </c>
      <c r="X31" s="603"/>
      <c r="Y31" s="603"/>
      <c r="Z31" s="603"/>
      <c r="AA31" s="603"/>
      <c r="AB31" s="603"/>
      <c r="AC31" s="603"/>
      <c r="AD31" s="603"/>
      <c r="AE31" s="603"/>
      <c r="AF31" s="603"/>
      <c r="AG31" s="603"/>
      <c r="AH31" s="603"/>
      <c r="AI31" s="603"/>
      <c r="AJ31" s="603"/>
      <c r="AK31" s="603"/>
      <c r="AL31" s="603"/>
      <c r="AM31" s="603"/>
      <c r="AN31" s="603"/>
      <c r="AO31" s="603"/>
      <c r="AP31" s="603"/>
      <c r="AQ31" s="603"/>
      <c r="AR31" s="604"/>
      <c r="AT31" s="33"/>
      <c r="AX31" s="11" t="s">
        <v>210</v>
      </c>
      <c r="AZ31" s="21" t="s">
        <v>1233</v>
      </c>
      <c r="BB31" s="6" t="s">
        <v>755</v>
      </c>
    </row>
    <row r="32" spans="1:58" s="21" customFormat="1" ht="24" customHeight="1" x14ac:dyDescent="0.25">
      <c r="A32" s="25"/>
      <c r="B32" s="25"/>
      <c r="C32" s="588" t="s">
        <v>482</v>
      </c>
      <c r="D32" s="589"/>
      <c r="E32" s="589"/>
      <c r="F32" s="589"/>
      <c r="G32" s="589"/>
      <c r="H32" s="589"/>
      <c r="I32" s="589"/>
      <c r="J32" s="589"/>
      <c r="K32" s="590"/>
      <c r="L32" s="28" t="s">
        <v>1475</v>
      </c>
      <c r="M32" s="613" t="s">
        <v>483</v>
      </c>
      <c r="N32" s="613"/>
      <c r="O32" s="613"/>
      <c r="P32" s="613"/>
      <c r="Q32" s="613"/>
      <c r="R32" s="613"/>
      <c r="S32" s="28" t="s">
        <v>1475</v>
      </c>
      <c r="T32" s="613" t="s">
        <v>484</v>
      </c>
      <c r="U32" s="613"/>
      <c r="V32" s="613"/>
      <c r="W32" s="613"/>
      <c r="X32" s="613"/>
      <c r="Y32" s="613"/>
      <c r="Z32" s="28" t="s">
        <v>214</v>
      </c>
      <c r="AA32" s="613" t="s">
        <v>485</v>
      </c>
      <c r="AB32" s="613"/>
      <c r="AC32" s="613"/>
      <c r="AD32" s="613"/>
      <c r="AE32" s="613"/>
      <c r="AF32" s="613"/>
      <c r="AG32" s="28" t="s">
        <v>214</v>
      </c>
      <c r="AH32" s="613" t="s">
        <v>486</v>
      </c>
      <c r="AI32" s="613"/>
      <c r="AJ32" s="613"/>
      <c r="AK32" s="613"/>
      <c r="AL32" s="613"/>
      <c r="AM32" s="613"/>
      <c r="AN32" s="613"/>
      <c r="AO32" s="613"/>
      <c r="AP32" s="613"/>
      <c r="AQ32" s="613"/>
      <c r="AR32" s="668"/>
      <c r="AX32" s="11" t="s">
        <v>211</v>
      </c>
      <c r="AZ32" s="21" t="s">
        <v>1234</v>
      </c>
      <c r="BB32" s="6" t="s">
        <v>756</v>
      </c>
    </row>
    <row r="33" spans="1:56" s="21" customFormat="1" ht="24" customHeight="1" thickBot="1" x14ac:dyDescent="0.3">
      <c r="A33" s="25"/>
      <c r="B33" s="25"/>
      <c r="C33" s="591"/>
      <c r="D33" s="592"/>
      <c r="E33" s="592"/>
      <c r="F33" s="592"/>
      <c r="G33" s="592"/>
      <c r="H33" s="592"/>
      <c r="I33" s="592"/>
      <c r="J33" s="592"/>
      <c r="K33" s="593"/>
      <c r="L33" s="34" t="s">
        <v>214</v>
      </c>
      <c r="M33" s="603" t="s">
        <v>487</v>
      </c>
      <c r="N33" s="603"/>
      <c r="O33" s="603"/>
      <c r="P33" s="603"/>
      <c r="Q33" s="603"/>
      <c r="R33" s="603"/>
      <c r="S33" s="34" t="s">
        <v>214</v>
      </c>
      <c r="T33" s="603" t="s">
        <v>488</v>
      </c>
      <c r="U33" s="603"/>
      <c r="V33" s="603"/>
      <c r="W33" s="603"/>
      <c r="X33" s="603"/>
      <c r="Y33" s="603"/>
      <c r="Z33" s="34" t="s">
        <v>214</v>
      </c>
      <c r="AA33" s="603" t="s">
        <v>489</v>
      </c>
      <c r="AB33" s="603"/>
      <c r="AC33" s="603"/>
      <c r="AD33" s="562" t="s">
        <v>697</v>
      </c>
      <c r="AE33" s="562"/>
      <c r="AF33" s="562"/>
      <c r="AG33" s="562"/>
      <c r="AH33" s="562"/>
      <c r="AI33" s="562"/>
      <c r="AJ33" s="562"/>
      <c r="AK33" s="562"/>
      <c r="AL33" s="562"/>
      <c r="AM33" s="562"/>
      <c r="AN33" s="562"/>
      <c r="AO33" s="562"/>
      <c r="AP33" s="562"/>
      <c r="AQ33" s="562"/>
      <c r="AR33" s="563"/>
      <c r="AX33" s="11" t="s">
        <v>212</v>
      </c>
      <c r="AZ33" s="21" t="s">
        <v>1235</v>
      </c>
      <c r="BB33" s="6" t="s">
        <v>757</v>
      </c>
    </row>
    <row r="34" spans="1:56" s="21" customFormat="1" ht="22.5" customHeight="1" x14ac:dyDescent="0.25">
      <c r="A34" s="25"/>
      <c r="B34" s="25"/>
      <c r="C34" s="567" t="s">
        <v>490</v>
      </c>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9"/>
      <c r="AX34" s="11" t="s">
        <v>213</v>
      </c>
      <c r="AZ34" s="21" t="s">
        <v>1236</v>
      </c>
      <c r="BB34" s="6"/>
    </row>
    <row r="35" spans="1:56" s="21" customFormat="1" ht="22.5" customHeight="1" x14ac:dyDescent="0.25">
      <c r="A35" s="25"/>
      <c r="B35" s="25"/>
      <c r="C35" s="577"/>
      <c r="D35" s="578"/>
      <c r="E35" s="578"/>
      <c r="F35" s="578"/>
      <c r="G35" s="578"/>
      <c r="H35" s="578"/>
      <c r="I35" s="578"/>
      <c r="J35" s="578"/>
      <c r="K35" s="578"/>
      <c r="L35" s="578"/>
      <c r="M35" s="578"/>
      <c r="N35" s="578"/>
      <c r="O35" s="578"/>
      <c r="P35" s="578"/>
      <c r="Q35" s="578"/>
      <c r="R35" s="578"/>
      <c r="S35" s="578"/>
      <c r="T35" s="578"/>
      <c r="U35" s="578"/>
      <c r="V35" s="578"/>
      <c r="W35" s="578"/>
      <c r="X35" s="578"/>
      <c r="Y35" s="578"/>
      <c r="Z35" s="578"/>
      <c r="AA35" s="578"/>
      <c r="AB35" s="578"/>
      <c r="AC35" s="578"/>
      <c r="AD35" s="578"/>
      <c r="AE35" s="578"/>
      <c r="AF35" s="578"/>
      <c r="AG35" s="578"/>
      <c r="AH35" s="578"/>
      <c r="AI35" s="578"/>
      <c r="AJ35" s="578"/>
      <c r="AK35" s="578"/>
      <c r="AL35" s="578"/>
      <c r="AM35" s="578"/>
      <c r="AN35" s="578"/>
      <c r="AO35" s="578"/>
      <c r="AP35" s="578"/>
      <c r="AQ35" s="578"/>
      <c r="AR35" s="579"/>
      <c r="AX35" s="11" t="s">
        <v>215</v>
      </c>
      <c r="AZ35" s="21" t="s">
        <v>1237</v>
      </c>
    </row>
    <row r="36" spans="1:56" ht="22.5" customHeight="1" thickBot="1" x14ac:dyDescent="0.3">
      <c r="A36" s="7"/>
      <c r="B36" s="7"/>
      <c r="C36" s="561"/>
      <c r="D36" s="562"/>
      <c r="E36" s="562"/>
      <c r="F36" s="562"/>
      <c r="G36" s="562"/>
      <c r="H36" s="562"/>
      <c r="I36" s="562"/>
      <c r="J36" s="562"/>
      <c r="K36" s="562"/>
      <c r="L36" s="562"/>
      <c r="M36" s="562"/>
      <c r="N36" s="562"/>
      <c r="O36" s="562"/>
      <c r="P36" s="562"/>
      <c r="Q36" s="562"/>
      <c r="R36" s="562"/>
      <c r="S36" s="562"/>
      <c r="T36" s="562"/>
      <c r="U36" s="562"/>
      <c r="V36" s="562"/>
      <c r="W36" s="562"/>
      <c r="X36" s="562"/>
      <c r="Y36" s="562"/>
      <c r="Z36" s="562"/>
      <c r="AA36" s="562"/>
      <c r="AB36" s="562"/>
      <c r="AC36" s="562"/>
      <c r="AD36" s="562"/>
      <c r="AE36" s="562"/>
      <c r="AF36" s="562"/>
      <c r="AG36" s="562"/>
      <c r="AH36" s="562"/>
      <c r="AI36" s="562"/>
      <c r="AJ36" s="562"/>
      <c r="AK36" s="562"/>
      <c r="AL36" s="562"/>
      <c r="AM36" s="562"/>
      <c r="AN36" s="562"/>
      <c r="AO36" s="562"/>
      <c r="AP36" s="562"/>
      <c r="AQ36" s="562"/>
      <c r="AR36" s="563"/>
      <c r="AX36" s="11" t="s">
        <v>216</v>
      </c>
      <c r="AZ36" s="35" t="s">
        <v>1238</v>
      </c>
      <c r="BB36" s="21"/>
    </row>
    <row r="37" spans="1:56" s="21" customFormat="1" ht="24" customHeight="1" thickBot="1" x14ac:dyDescent="0.3">
      <c r="A37" s="25"/>
      <c r="B37" s="25"/>
      <c r="C37" s="477" t="s">
        <v>1102</v>
      </c>
      <c r="D37" s="478"/>
      <c r="E37" s="479"/>
      <c r="F37" s="479"/>
      <c r="G37" s="479"/>
      <c r="H37" s="479"/>
      <c r="I37" s="479"/>
      <c r="J37" s="479"/>
      <c r="K37" s="479"/>
      <c r="L37" s="479"/>
      <c r="M37" s="479"/>
      <c r="N37" s="479"/>
      <c r="O37" s="479"/>
      <c r="P37" s="479"/>
      <c r="Q37" s="480"/>
      <c r="R37" s="481"/>
      <c r="S37" s="481"/>
      <c r="T37" s="481"/>
      <c r="U37" s="481"/>
      <c r="V37" s="481"/>
      <c r="W37" s="481"/>
      <c r="X37" s="481"/>
      <c r="Y37" s="481"/>
      <c r="Z37" s="481"/>
      <c r="AA37" s="481"/>
      <c r="AB37" s="481"/>
      <c r="AC37" s="481"/>
      <c r="AD37" s="481"/>
      <c r="AE37" s="481"/>
      <c r="AF37" s="481"/>
      <c r="AG37" s="481"/>
      <c r="AH37" s="481"/>
      <c r="AI37" s="481"/>
      <c r="AJ37" s="481"/>
      <c r="AK37" s="481"/>
      <c r="AL37" s="481"/>
      <c r="AM37" s="481"/>
      <c r="AN37" s="481"/>
      <c r="AO37" s="481"/>
      <c r="AP37" s="481"/>
      <c r="AQ37" s="481"/>
      <c r="AR37" s="481"/>
      <c r="AS37" s="482"/>
      <c r="AX37" s="483" t="s">
        <v>217</v>
      </c>
      <c r="AY37" s="484"/>
      <c r="AZ37" s="484" t="s">
        <v>1239</v>
      </c>
      <c r="BA37" s="484" t="s">
        <v>1103</v>
      </c>
      <c r="BB37" s="485"/>
      <c r="BC37" s="485"/>
      <c r="BD37" s="484"/>
    </row>
    <row r="38" spans="1:56" s="21" customFormat="1" ht="22.5" customHeight="1" x14ac:dyDescent="0.25">
      <c r="A38" s="25"/>
      <c r="B38" s="25"/>
      <c r="C38" s="526" t="s">
        <v>1104</v>
      </c>
      <c r="D38" s="527"/>
      <c r="E38" s="527"/>
      <c r="F38" s="527"/>
      <c r="G38" s="527"/>
      <c r="H38" s="528"/>
      <c r="I38" s="486" t="s">
        <v>1319</v>
      </c>
      <c r="J38" s="535" t="s">
        <v>1105</v>
      </c>
      <c r="K38" s="535"/>
      <c r="L38" s="535"/>
      <c r="M38" s="552" t="s">
        <v>1320</v>
      </c>
      <c r="N38" s="552"/>
      <c r="O38" s="552"/>
      <c r="P38" s="552"/>
      <c r="Q38" s="552"/>
      <c r="R38" s="552"/>
      <c r="S38" s="552"/>
      <c r="T38" s="552"/>
      <c r="U38" s="552"/>
      <c r="V38" s="552"/>
      <c r="W38" s="552"/>
      <c r="X38" s="553"/>
      <c r="Y38" s="486" t="s">
        <v>1319</v>
      </c>
      <c r="Z38" s="535" t="s">
        <v>1105</v>
      </c>
      <c r="AA38" s="535"/>
      <c r="AB38" s="535"/>
      <c r="AC38" s="495" t="s">
        <v>1321</v>
      </c>
      <c r="AD38" s="495"/>
      <c r="AE38" s="495"/>
      <c r="AF38" s="495"/>
      <c r="AG38" s="495"/>
      <c r="AH38" s="495"/>
      <c r="AI38" s="495"/>
      <c r="AJ38" s="495"/>
      <c r="AK38" s="495"/>
      <c r="AL38" s="495"/>
      <c r="AM38" s="495"/>
      <c r="AN38" s="495"/>
      <c r="AO38" s="495"/>
      <c r="AP38" s="495"/>
      <c r="AQ38" s="495"/>
      <c r="AR38" s="496"/>
      <c r="AS38" s="482"/>
      <c r="AX38" s="483" t="s">
        <v>218</v>
      </c>
      <c r="AZ38" s="484" t="s">
        <v>1240</v>
      </c>
      <c r="BA38" s="484" t="s">
        <v>1106</v>
      </c>
      <c r="BB38" s="485"/>
      <c r="BC38" s="485"/>
    </row>
    <row r="39" spans="1:56" s="21" customFormat="1" ht="22.5" customHeight="1" x14ac:dyDescent="0.25">
      <c r="A39" s="35"/>
      <c r="B39" s="7"/>
      <c r="C39" s="529"/>
      <c r="D39" s="530"/>
      <c r="E39" s="530"/>
      <c r="F39" s="530"/>
      <c r="G39" s="530"/>
      <c r="H39" s="531"/>
      <c r="I39" s="32" t="s">
        <v>1319</v>
      </c>
      <c r="J39" s="536" t="s">
        <v>1107</v>
      </c>
      <c r="K39" s="536"/>
      <c r="L39" s="536"/>
      <c r="M39" s="537" t="s">
        <v>1322</v>
      </c>
      <c r="N39" s="537"/>
      <c r="O39" s="537"/>
      <c r="P39" s="537"/>
      <c r="Q39" s="537"/>
      <c r="R39" s="537"/>
      <c r="S39" s="537"/>
      <c r="T39" s="537"/>
      <c r="U39" s="537"/>
      <c r="V39" s="537"/>
      <c r="W39" s="537"/>
      <c r="X39" s="537"/>
      <c r="Y39" s="537"/>
      <c r="Z39" s="537"/>
      <c r="AA39" s="537"/>
      <c r="AB39" s="537"/>
      <c r="AC39" s="537"/>
      <c r="AD39" s="537"/>
      <c r="AE39" s="537"/>
      <c r="AF39" s="537"/>
      <c r="AG39" s="537"/>
      <c r="AH39" s="537"/>
      <c r="AI39" s="537"/>
      <c r="AJ39" s="537"/>
      <c r="AK39" s="537"/>
      <c r="AL39" s="537"/>
      <c r="AM39" s="537"/>
      <c r="AN39" s="537"/>
      <c r="AO39" s="537"/>
      <c r="AP39" s="537"/>
      <c r="AQ39" s="537"/>
      <c r="AR39" s="538"/>
      <c r="AS39" s="487"/>
      <c r="AX39" s="483" t="s">
        <v>1309</v>
      </c>
      <c r="AY39" s="485"/>
      <c r="AZ39" s="484" t="s">
        <v>1241</v>
      </c>
      <c r="BA39" s="484" t="s">
        <v>1108</v>
      </c>
      <c r="BB39" s="485"/>
      <c r="BC39" s="485"/>
    </row>
    <row r="40" spans="1:56" s="21" customFormat="1" ht="22.5" customHeight="1" x14ac:dyDescent="0.25">
      <c r="A40" s="35"/>
      <c r="B40" s="7"/>
      <c r="C40" s="532"/>
      <c r="D40" s="533"/>
      <c r="E40" s="533"/>
      <c r="F40" s="533"/>
      <c r="G40" s="533"/>
      <c r="H40" s="534"/>
      <c r="I40" s="488" t="s">
        <v>1467</v>
      </c>
      <c r="J40" s="536" t="s">
        <v>1109</v>
      </c>
      <c r="K40" s="536"/>
      <c r="L40" s="536"/>
      <c r="M40" s="539" t="s">
        <v>1323</v>
      </c>
      <c r="N40" s="539"/>
      <c r="O40" s="539"/>
      <c r="P40" s="539"/>
      <c r="Q40" s="539"/>
      <c r="R40" s="539"/>
      <c r="S40" s="539"/>
      <c r="T40" s="539"/>
      <c r="U40" s="539"/>
      <c r="V40" s="539"/>
      <c r="W40" s="539"/>
      <c r="X40" s="539"/>
      <c r="Y40" s="539"/>
      <c r="Z40" s="539"/>
      <c r="AA40" s="539"/>
      <c r="AB40" s="539"/>
      <c r="AC40" s="539"/>
      <c r="AD40" s="539"/>
      <c r="AE40" s="539"/>
      <c r="AF40" s="539"/>
      <c r="AG40" s="539"/>
      <c r="AH40" s="539"/>
      <c r="AI40" s="539"/>
      <c r="AJ40" s="539"/>
      <c r="AK40" s="539"/>
      <c r="AL40" s="539"/>
      <c r="AM40" s="539"/>
      <c r="AN40" s="539"/>
      <c r="AO40" s="539"/>
      <c r="AP40" s="539"/>
      <c r="AQ40" s="539"/>
      <c r="AR40" s="540"/>
      <c r="AS40" s="487"/>
      <c r="AX40" s="483" t="s">
        <v>220</v>
      </c>
      <c r="AY40" s="485"/>
      <c r="AZ40" s="489" t="s">
        <v>1242</v>
      </c>
      <c r="BA40" s="484" t="s">
        <v>1110</v>
      </c>
      <c r="BB40" s="485"/>
      <c r="BC40" s="485"/>
      <c r="BD40" s="484"/>
    </row>
    <row r="41" spans="1:56" s="21" customFormat="1" ht="24" customHeight="1" x14ac:dyDescent="0.25">
      <c r="A41" s="7"/>
      <c r="B41" s="35"/>
      <c r="C41" s="541" t="s">
        <v>1111</v>
      </c>
      <c r="D41" s="542"/>
      <c r="E41" s="542"/>
      <c r="F41" s="542"/>
      <c r="G41" s="542"/>
      <c r="H41" s="543"/>
      <c r="I41" s="544"/>
      <c r="J41" s="545"/>
      <c r="K41" s="545"/>
      <c r="L41" s="545"/>
      <c r="M41" s="545"/>
      <c r="N41" s="545"/>
      <c r="O41" s="545"/>
      <c r="P41" s="545"/>
      <c r="Q41" s="545"/>
      <c r="R41" s="545"/>
      <c r="S41" s="545"/>
      <c r="T41" s="545"/>
      <c r="U41" s="545"/>
      <c r="V41" s="545"/>
      <c r="W41" s="545"/>
      <c r="X41" s="545"/>
      <c r="Y41" s="545"/>
      <c r="Z41" s="546" t="s">
        <v>308</v>
      </c>
      <c r="AA41" s="547"/>
      <c r="AB41" s="548" t="s">
        <v>1112</v>
      </c>
      <c r="AC41" s="548"/>
      <c r="AD41" s="548"/>
      <c r="AE41" s="548"/>
      <c r="AF41" s="549"/>
      <c r="AG41" s="550"/>
      <c r="AH41" s="550"/>
      <c r="AI41" s="550"/>
      <c r="AJ41" s="550"/>
      <c r="AK41" s="550"/>
      <c r="AL41" s="550"/>
      <c r="AM41" s="550"/>
      <c r="AN41" s="550"/>
      <c r="AO41" s="550"/>
      <c r="AP41" s="550"/>
      <c r="AQ41" s="546" t="s">
        <v>308</v>
      </c>
      <c r="AR41" s="551"/>
      <c r="AS41" s="482"/>
      <c r="AX41" s="490" t="s">
        <v>1310</v>
      </c>
      <c r="AY41" s="485"/>
      <c r="AZ41" s="489" t="s">
        <v>1243</v>
      </c>
      <c r="BA41" s="484" t="s">
        <v>1113</v>
      </c>
      <c r="BB41" s="485"/>
      <c r="BC41" s="485"/>
    </row>
    <row r="42" spans="1:56" s="21" customFormat="1" ht="24" customHeight="1" thickBot="1" x14ac:dyDescent="0.3">
      <c r="A42" s="35"/>
      <c r="B42" s="35"/>
      <c r="C42" s="514" t="s">
        <v>1114</v>
      </c>
      <c r="D42" s="515"/>
      <c r="E42" s="515"/>
      <c r="F42" s="515"/>
      <c r="G42" s="515"/>
      <c r="H42" s="516"/>
      <c r="I42" s="517"/>
      <c r="J42" s="517"/>
      <c r="K42" s="517"/>
      <c r="L42" s="517"/>
      <c r="M42" s="517"/>
      <c r="N42" s="517"/>
      <c r="O42" s="517"/>
      <c r="P42" s="517"/>
      <c r="Q42" s="517"/>
      <c r="R42" s="517"/>
      <c r="S42" s="517"/>
      <c r="T42" s="517"/>
      <c r="U42" s="517"/>
      <c r="V42" s="517"/>
      <c r="W42" s="517"/>
      <c r="X42" s="517"/>
      <c r="Y42" s="517"/>
      <c r="Z42" s="517"/>
      <c r="AA42" s="517"/>
      <c r="AB42" s="518" t="s">
        <v>1115</v>
      </c>
      <c r="AC42" s="519"/>
      <c r="AD42" s="519"/>
      <c r="AE42" s="519"/>
      <c r="AF42" s="520"/>
      <c r="AG42" s="521"/>
      <c r="AH42" s="522"/>
      <c r="AI42" s="522"/>
      <c r="AJ42" s="522"/>
      <c r="AK42" s="491" t="s">
        <v>1116</v>
      </c>
      <c r="AL42" s="523"/>
      <c r="AM42" s="523"/>
      <c r="AN42" s="523"/>
      <c r="AO42" s="491" t="s">
        <v>1116</v>
      </c>
      <c r="AP42" s="524"/>
      <c r="AQ42" s="524"/>
      <c r="AR42" s="525"/>
      <c r="AS42" s="487"/>
      <c r="AX42" s="483" t="s">
        <v>219</v>
      </c>
      <c r="AY42" s="485"/>
      <c r="AZ42" s="489" t="s">
        <v>1244</v>
      </c>
      <c r="BA42" s="489" t="s">
        <v>1117</v>
      </c>
      <c r="BB42" s="485"/>
      <c r="BC42" s="485"/>
      <c r="BD42" s="484"/>
    </row>
    <row r="43" spans="1:56" x14ac:dyDescent="0.25">
      <c r="A43" s="7"/>
      <c r="B43" s="7"/>
      <c r="C43" s="667" t="s">
        <v>491</v>
      </c>
      <c r="D43" s="667"/>
      <c r="E43" s="667"/>
      <c r="F43" s="667"/>
      <c r="G43" s="667"/>
      <c r="H43" s="667"/>
      <c r="I43" s="667"/>
      <c r="J43" s="667"/>
      <c r="K43" s="667"/>
      <c r="L43" s="667"/>
      <c r="M43" s="667"/>
      <c r="N43" s="667"/>
      <c r="O43" s="667"/>
      <c r="P43" s="667"/>
      <c r="Q43" s="667"/>
      <c r="R43" s="667"/>
      <c r="S43" s="667"/>
      <c r="T43" s="667"/>
      <c r="U43" s="667"/>
      <c r="V43" s="667"/>
      <c r="W43" s="667"/>
      <c r="X43" s="667"/>
      <c r="Y43" s="667"/>
      <c r="Z43" s="667"/>
      <c r="AA43" s="667"/>
      <c r="AB43" s="667"/>
      <c r="AC43" s="667"/>
      <c r="AD43" s="667"/>
      <c r="AE43" s="667"/>
      <c r="AF43" s="667"/>
      <c r="AG43" s="667"/>
      <c r="AH43" s="667"/>
      <c r="AI43" s="667"/>
      <c r="AJ43" s="667"/>
      <c r="AK43" s="667"/>
      <c r="AL43" s="667"/>
      <c r="AM43" s="667"/>
      <c r="AN43" s="667"/>
      <c r="AO43" s="667"/>
      <c r="AP43" s="666" t="str">
        <f>C4</f>
        <v>Vol.2.5</v>
      </c>
      <c r="AQ43" s="666"/>
      <c r="AR43" s="666"/>
      <c r="AX43" s="11" t="s">
        <v>221</v>
      </c>
      <c r="AZ43" s="35" t="s">
        <v>1245</v>
      </c>
      <c r="BB43" s="21"/>
    </row>
    <row r="44" spans="1:56" x14ac:dyDescent="0.2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c r="AQ44" s="7"/>
      <c r="AR44" s="7"/>
      <c r="AX44" s="11" t="s">
        <v>222</v>
      </c>
      <c r="AZ44" s="35" t="s">
        <v>1246</v>
      </c>
      <c r="BB44" s="21"/>
    </row>
    <row r="45" spans="1:56" x14ac:dyDescent="0.25">
      <c r="AX45" s="36" t="s">
        <v>1311</v>
      </c>
      <c r="AZ45" s="35" t="s">
        <v>1247</v>
      </c>
      <c r="BB45" s="21"/>
    </row>
    <row r="46" spans="1:56" x14ac:dyDescent="0.25">
      <c r="AX46" s="36" t="s">
        <v>1312</v>
      </c>
      <c r="AZ46" s="35" t="s">
        <v>1248</v>
      </c>
      <c r="BB46" s="21"/>
    </row>
    <row r="47" spans="1:56" x14ac:dyDescent="0.25">
      <c r="AX47" s="11" t="s">
        <v>223</v>
      </c>
      <c r="AZ47" s="35" t="s">
        <v>1249</v>
      </c>
      <c r="BB47" s="21"/>
    </row>
    <row r="48" spans="1:56" x14ac:dyDescent="0.25">
      <c r="AX48" s="11" t="s">
        <v>224</v>
      </c>
      <c r="AZ48" s="35" t="s">
        <v>1250</v>
      </c>
      <c r="BB48" s="21"/>
    </row>
    <row r="49" spans="50:54" x14ac:dyDescent="0.25">
      <c r="AX49" s="11" t="s">
        <v>225</v>
      </c>
      <c r="AZ49" s="35" t="s">
        <v>1251</v>
      </c>
      <c r="BB49" s="21"/>
    </row>
    <row r="50" spans="50:54" x14ac:dyDescent="0.25">
      <c r="AX50" s="36" t="s">
        <v>1313</v>
      </c>
      <c r="AZ50" s="35" t="s">
        <v>1252</v>
      </c>
      <c r="BB50" s="21"/>
    </row>
    <row r="51" spans="50:54" x14ac:dyDescent="0.25">
      <c r="AX51" s="11" t="s">
        <v>226</v>
      </c>
      <c r="AZ51" s="35" t="s">
        <v>1253</v>
      </c>
      <c r="BB51" s="6"/>
    </row>
    <row r="52" spans="50:54" x14ac:dyDescent="0.25">
      <c r="AX52" s="11" t="s">
        <v>227</v>
      </c>
      <c r="AZ52" s="35" t="s">
        <v>1254</v>
      </c>
      <c r="BB52" s="6"/>
    </row>
    <row r="53" spans="50:54" x14ac:dyDescent="0.25">
      <c r="AX53" s="11" t="s">
        <v>228</v>
      </c>
      <c r="AZ53" s="35" t="s">
        <v>1255</v>
      </c>
      <c r="BB53" s="21"/>
    </row>
    <row r="54" spans="50:54" x14ac:dyDescent="0.25">
      <c r="AX54" s="11" t="s">
        <v>230</v>
      </c>
      <c r="AZ54" s="35" t="s">
        <v>1256</v>
      </c>
      <c r="BB54" s="21"/>
    </row>
    <row r="55" spans="50:54" x14ac:dyDescent="0.25">
      <c r="AX55" s="11" t="s">
        <v>231</v>
      </c>
      <c r="AZ55" s="35" t="s">
        <v>1257</v>
      </c>
      <c r="BB55" s="21"/>
    </row>
    <row r="56" spans="50:54" x14ac:dyDescent="0.25">
      <c r="AX56" s="11" t="s">
        <v>232</v>
      </c>
      <c r="AZ56" s="35" t="s">
        <v>1258</v>
      </c>
      <c r="BB56" s="21"/>
    </row>
    <row r="57" spans="50:54" x14ac:dyDescent="0.25">
      <c r="AX57" s="11" t="s">
        <v>233</v>
      </c>
      <c r="AZ57" s="35" t="s">
        <v>1259</v>
      </c>
      <c r="BB57" s="21"/>
    </row>
    <row r="58" spans="50:54" x14ac:dyDescent="0.25">
      <c r="AX58" s="11" t="s">
        <v>234</v>
      </c>
      <c r="AZ58" s="35" t="s">
        <v>1260</v>
      </c>
      <c r="BB58" s="21"/>
    </row>
    <row r="59" spans="50:54" x14ac:dyDescent="0.25">
      <c r="AX59" s="11" t="s">
        <v>235</v>
      </c>
      <c r="AZ59" s="35" t="s">
        <v>1261</v>
      </c>
      <c r="BB59" s="21"/>
    </row>
    <row r="60" spans="50:54" x14ac:dyDescent="0.25">
      <c r="AX60" s="11" t="s">
        <v>236</v>
      </c>
      <c r="AZ60" s="35" t="s">
        <v>1262</v>
      </c>
      <c r="BB60" s="21"/>
    </row>
    <row r="61" spans="50:54" x14ac:dyDescent="0.25">
      <c r="AX61" s="11" t="s">
        <v>237</v>
      </c>
      <c r="AZ61" s="35" t="s">
        <v>1263</v>
      </c>
      <c r="BB61" s="21"/>
    </row>
    <row r="62" spans="50:54" x14ac:dyDescent="0.25">
      <c r="AX62" s="11" t="s">
        <v>238</v>
      </c>
      <c r="AZ62" s="35" t="s">
        <v>1264</v>
      </c>
      <c r="BB62" s="21"/>
    </row>
    <row r="63" spans="50:54" x14ac:dyDescent="0.25">
      <c r="AX63" s="11" t="s">
        <v>239</v>
      </c>
      <c r="AZ63" s="35" t="s">
        <v>1265</v>
      </c>
      <c r="BB63" s="21"/>
    </row>
    <row r="64" spans="50:54" x14ac:dyDescent="0.25">
      <c r="AX64" s="11" t="s">
        <v>240</v>
      </c>
      <c r="AZ64" s="35" t="s">
        <v>1266</v>
      </c>
    </row>
    <row r="65" spans="50:52" x14ac:dyDescent="0.25">
      <c r="AX65" s="11" t="s">
        <v>241</v>
      </c>
      <c r="AZ65" s="35" t="s">
        <v>1267</v>
      </c>
    </row>
    <row r="66" spans="50:52" x14ac:dyDescent="0.25">
      <c r="AX66" s="11" t="s">
        <v>242</v>
      </c>
      <c r="AZ66" s="35" t="s">
        <v>1268</v>
      </c>
    </row>
    <row r="67" spans="50:52" x14ac:dyDescent="0.25">
      <c r="AX67" s="11" t="s">
        <v>243</v>
      </c>
      <c r="AZ67" s="35" t="s">
        <v>1269</v>
      </c>
    </row>
    <row r="68" spans="50:52" x14ac:dyDescent="0.25">
      <c r="AX68" s="11" t="s">
        <v>244</v>
      </c>
      <c r="AZ68" s="35" t="s">
        <v>1270</v>
      </c>
    </row>
    <row r="69" spans="50:52" x14ac:dyDescent="0.25">
      <c r="AX69" s="11" t="s">
        <v>245</v>
      </c>
      <c r="AZ69" s="35" t="s">
        <v>1271</v>
      </c>
    </row>
    <row r="70" spans="50:52" x14ac:dyDescent="0.25">
      <c r="AX70" s="11" t="s">
        <v>246</v>
      </c>
      <c r="AZ70" s="35" t="s">
        <v>1272</v>
      </c>
    </row>
    <row r="71" spans="50:52" x14ac:dyDescent="0.25">
      <c r="AX71" s="11" t="s">
        <v>247</v>
      </c>
      <c r="AZ71" s="35" t="s">
        <v>1273</v>
      </c>
    </row>
    <row r="72" spans="50:52" x14ac:dyDescent="0.25">
      <c r="AX72" s="11" t="s">
        <v>248</v>
      </c>
      <c r="AZ72" s="35" t="s">
        <v>1274</v>
      </c>
    </row>
    <row r="73" spans="50:52" x14ac:dyDescent="0.25">
      <c r="AX73" s="11" t="s">
        <v>249</v>
      </c>
      <c r="AZ73" s="35" t="s">
        <v>1275</v>
      </c>
    </row>
    <row r="74" spans="50:52" x14ac:dyDescent="0.25">
      <c r="AX74" s="11" t="s">
        <v>250</v>
      </c>
      <c r="AZ74" s="35" t="s">
        <v>1276</v>
      </c>
    </row>
    <row r="75" spans="50:52" x14ac:dyDescent="0.25">
      <c r="AX75" s="11" t="s">
        <v>251</v>
      </c>
      <c r="AZ75" s="35" t="s">
        <v>1277</v>
      </c>
    </row>
    <row r="76" spans="50:52" x14ac:dyDescent="0.25">
      <c r="AX76" s="11" t="s">
        <v>252</v>
      </c>
      <c r="AZ76" s="35" t="s">
        <v>1278</v>
      </c>
    </row>
    <row r="77" spans="50:52" x14ac:dyDescent="0.25">
      <c r="AX77" s="11" t="s">
        <v>253</v>
      </c>
      <c r="AZ77" s="35" t="s">
        <v>1279</v>
      </c>
    </row>
    <row r="78" spans="50:52" x14ac:dyDescent="0.25">
      <c r="AX78" s="11" t="s">
        <v>254</v>
      </c>
      <c r="AZ78" s="35" t="s">
        <v>1280</v>
      </c>
    </row>
    <row r="79" spans="50:52" x14ac:dyDescent="0.25">
      <c r="AX79" s="11" t="s">
        <v>255</v>
      </c>
      <c r="AZ79" s="35" t="s">
        <v>1281</v>
      </c>
    </row>
    <row r="80" spans="50:52" x14ac:dyDescent="0.25">
      <c r="AX80" s="11" t="s">
        <v>256</v>
      </c>
      <c r="AZ80" s="35" t="s">
        <v>1282</v>
      </c>
    </row>
    <row r="81" spans="50:52" x14ac:dyDescent="0.25">
      <c r="AX81" s="11" t="s">
        <v>257</v>
      </c>
      <c r="AZ81" s="35" t="s">
        <v>1283</v>
      </c>
    </row>
    <row r="82" spans="50:52" x14ac:dyDescent="0.25">
      <c r="AX82" s="11" t="s">
        <v>258</v>
      </c>
      <c r="AZ82" s="35" t="s">
        <v>1284</v>
      </c>
    </row>
    <row r="83" spans="50:52" x14ac:dyDescent="0.25">
      <c r="AX83" s="11" t="s">
        <v>259</v>
      </c>
      <c r="AZ83" s="35" t="s">
        <v>1285</v>
      </c>
    </row>
    <row r="84" spans="50:52" x14ac:dyDescent="0.25">
      <c r="AX84" s="11" t="s">
        <v>260</v>
      </c>
      <c r="AZ84" s="35" t="s">
        <v>1286</v>
      </c>
    </row>
    <row r="85" spans="50:52" x14ac:dyDescent="0.25">
      <c r="AX85" s="11" t="s">
        <v>261</v>
      </c>
      <c r="AZ85" s="35" t="s">
        <v>1287</v>
      </c>
    </row>
    <row r="86" spans="50:52" x14ac:dyDescent="0.25">
      <c r="AX86" s="11" t="s">
        <v>262</v>
      </c>
      <c r="AZ86" s="35" t="s">
        <v>1288</v>
      </c>
    </row>
    <row r="87" spans="50:52" x14ac:dyDescent="0.25">
      <c r="AX87" s="11" t="s">
        <v>263</v>
      </c>
      <c r="AZ87" s="35" t="s">
        <v>1289</v>
      </c>
    </row>
    <row r="88" spans="50:52" x14ac:dyDescent="0.25">
      <c r="AX88" s="11" t="s">
        <v>264</v>
      </c>
      <c r="AZ88" s="35" t="s">
        <v>1290</v>
      </c>
    </row>
    <row r="89" spans="50:52" x14ac:dyDescent="0.25">
      <c r="AX89" s="11" t="s">
        <v>265</v>
      </c>
      <c r="AZ89" s="35" t="s">
        <v>1291</v>
      </c>
    </row>
    <row r="90" spans="50:52" x14ac:dyDescent="0.25">
      <c r="AX90" s="11" t="s">
        <v>266</v>
      </c>
      <c r="AZ90" s="35" t="s">
        <v>1292</v>
      </c>
    </row>
    <row r="91" spans="50:52" x14ac:dyDescent="0.25">
      <c r="AX91" s="11" t="s">
        <v>267</v>
      </c>
      <c r="AZ91" s="35" t="s">
        <v>1293</v>
      </c>
    </row>
    <row r="92" spans="50:52" x14ac:dyDescent="0.25">
      <c r="AX92" s="11" t="s">
        <v>268</v>
      </c>
      <c r="AZ92" s="35" t="s">
        <v>1294</v>
      </c>
    </row>
    <row r="93" spans="50:52" x14ac:dyDescent="0.25">
      <c r="AX93" s="11" t="s">
        <v>269</v>
      </c>
      <c r="AZ93" s="35" t="s">
        <v>1295</v>
      </c>
    </row>
    <row r="94" spans="50:52" x14ac:dyDescent="0.25">
      <c r="AX94" s="11" t="s">
        <v>270</v>
      </c>
      <c r="AZ94" s="35" t="s">
        <v>1296</v>
      </c>
    </row>
    <row r="95" spans="50:52" x14ac:dyDescent="0.25">
      <c r="AX95" s="11" t="s">
        <v>271</v>
      </c>
      <c r="AZ95" s="35" t="s">
        <v>1297</v>
      </c>
    </row>
    <row r="96" spans="50:52" x14ac:dyDescent="0.25">
      <c r="AX96" s="11" t="s">
        <v>272</v>
      </c>
      <c r="AZ96" s="35" t="s">
        <v>1298</v>
      </c>
    </row>
    <row r="97" spans="50:52" x14ac:dyDescent="0.25">
      <c r="AX97" s="35"/>
      <c r="AZ97" s="35" t="s">
        <v>1299</v>
      </c>
    </row>
    <row r="98" spans="50:52" x14ac:dyDescent="0.25">
      <c r="AZ98" s="35" t="s">
        <v>1300</v>
      </c>
    </row>
    <row r="99" spans="50:52" x14ac:dyDescent="0.25">
      <c r="AZ99" s="35" t="s">
        <v>1301</v>
      </c>
    </row>
    <row r="100" spans="50:52" x14ac:dyDescent="0.25">
      <c r="AZ100" s="35" t="s">
        <v>1302</v>
      </c>
    </row>
    <row r="101" spans="50:52" x14ac:dyDescent="0.25">
      <c r="AZ101" s="35" t="s">
        <v>1303</v>
      </c>
    </row>
    <row r="102" spans="50:52" x14ac:dyDescent="0.25">
      <c r="AZ102" s="35" t="s">
        <v>1304</v>
      </c>
    </row>
    <row r="103" spans="50:52" x14ac:dyDescent="0.25">
      <c r="AZ103" s="35" t="s">
        <v>1305</v>
      </c>
    </row>
  </sheetData>
  <mergeCells count="135">
    <mergeCell ref="AP43:AR43"/>
    <mergeCell ref="C43:AO43"/>
    <mergeCell ref="AA33:AC33"/>
    <mergeCell ref="AD33:AR33"/>
    <mergeCell ref="M32:R32"/>
    <mergeCell ref="AH32:AR32"/>
    <mergeCell ref="T33:Y33"/>
    <mergeCell ref="X13:AF13"/>
    <mergeCell ref="AL13:AM13"/>
    <mergeCell ref="X17:AF17"/>
    <mergeCell ref="X18:AF18"/>
    <mergeCell ref="X14:AF14"/>
    <mergeCell ref="L16:W16"/>
    <mergeCell ref="L13:W13"/>
    <mergeCell ref="AH13:AK13"/>
    <mergeCell ref="AG14:AR14"/>
    <mergeCell ref="AN13:AR13"/>
    <mergeCell ref="AG17:AR17"/>
    <mergeCell ref="AG16:AR16"/>
    <mergeCell ref="X16:AF16"/>
    <mergeCell ref="AA29:AC29"/>
    <mergeCell ref="AD29:AK29"/>
    <mergeCell ref="X27:AF27"/>
    <mergeCell ref="AG27:AR27"/>
    <mergeCell ref="L11:W11"/>
    <mergeCell ref="AG11:AR11"/>
    <mergeCell ref="AM12:AR12"/>
    <mergeCell ref="L8:W8"/>
    <mergeCell ref="U6:X6"/>
    <mergeCell ref="X11:AF11"/>
    <mergeCell ref="L9:V10"/>
    <mergeCell ref="AO6:AR6"/>
    <mergeCell ref="AG6:AJ6"/>
    <mergeCell ref="X9:AF9"/>
    <mergeCell ref="Y6:AB6"/>
    <mergeCell ref="AC6:AF6"/>
    <mergeCell ref="AH1:AL1"/>
    <mergeCell ref="AH2:AL2"/>
    <mergeCell ref="AG4:AR4"/>
    <mergeCell ref="AM2:AR2"/>
    <mergeCell ref="AM1:AR1"/>
    <mergeCell ref="U5:X5"/>
    <mergeCell ref="Y5:AB5"/>
    <mergeCell ref="AC5:AF5"/>
    <mergeCell ref="AK5:AN5"/>
    <mergeCell ref="AO5:AR5"/>
    <mergeCell ref="C4:T4"/>
    <mergeCell ref="U4:AF4"/>
    <mergeCell ref="AG8:AR8"/>
    <mergeCell ref="AR9:AR10"/>
    <mergeCell ref="AG9:AQ9"/>
    <mergeCell ref="C17:K17"/>
    <mergeCell ref="C16:K16"/>
    <mergeCell ref="C13:K13"/>
    <mergeCell ref="L17:W17"/>
    <mergeCell ref="AG5:AJ5"/>
    <mergeCell ref="W9:W10"/>
    <mergeCell ref="X12:AF12"/>
    <mergeCell ref="AH12:AK12"/>
    <mergeCell ref="C8:K8"/>
    <mergeCell ref="C6:J6"/>
    <mergeCell ref="L6:S6"/>
    <mergeCell ref="C12:K12"/>
    <mergeCell ref="L12:W12"/>
    <mergeCell ref="C11:K11"/>
    <mergeCell ref="C9:K10"/>
    <mergeCell ref="X8:AF8"/>
    <mergeCell ref="AG10:AQ10"/>
    <mergeCell ref="AK6:AN6"/>
    <mergeCell ref="X10:AF10"/>
    <mergeCell ref="T28:Y28"/>
    <mergeCell ref="L21:W21"/>
    <mergeCell ref="C36:AR36"/>
    <mergeCell ref="C32:K33"/>
    <mergeCell ref="C29:K31"/>
    <mergeCell ref="C34:AR34"/>
    <mergeCell ref="C35:AR35"/>
    <mergeCell ref="M29:R29"/>
    <mergeCell ref="L30:O30"/>
    <mergeCell ref="T29:Y29"/>
    <mergeCell ref="AN29:AR29"/>
    <mergeCell ref="W31:AR31"/>
    <mergeCell ref="W30:AC30"/>
    <mergeCell ref="C26:AR26"/>
    <mergeCell ref="M33:R33"/>
    <mergeCell ref="Q30:U30"/>
    <mergeCell ref="AE30:AR30"/>
    <mergeCell ref="L31:O31"/>
    <mergeCell ref="Q31:U31"/>
    <mergeCell ref="C27:K27"/>
    <mergeCell ref="L27:W27"/>
    <mergeCell ref="M28:R28"/>
    <mergeCell ref="T32:Y32"/>
    <mergeCell ref="AA32:AF32"/>
    <mergeCell ref="C18:K18"/>
    <mergeCell ref="L18:W18"/>
    <mergeCell ref="C22:K22"/>
    <mergeCell ref="C25:AR25"/>
    <mergeCell ref="AF19:AR19"/>
    <mergeCell ref="C21:K21"/>
    <mergeCell ref="L19:O19"/>
    <mergeCell ref="C23:AR23"/>
    <mergeCell ref="L22:W22"/>
    <mergeCell ref="AG18:AR18"/>
    <mergeCell ref="Q19:AD19"/>
    <mergeCell ref="AG22:AR22"/>
    <mergeCell ref="X21:AF21"/>
    <mergeCell ref="AG21:AR21"/>
    <mergeCell ref="Q20:AD20"/>
    <mergeCell ref="AF20:AR20"/>
    <mergeCell ref="X22:AF22"/>
    <mergeCell ref="C24:AR24"/>
    <mergeCell ref="C19:K20"/>
    <mergeCell ref="L20:O20"/>
    <mergeCell ref="AL29:AM29"/>
    <mergeCell ref="C42:H42"/>
    <mergeCell ref="I42:AA42"/>
    <mergeCell ref="AB42:AF42"/>
    <mergeCell ref="AG42:AJ42"/>
    <mergeCell ref="AL42:AN42"/>
    <mergeCell ref="AP42:AR42"/>
    <mergeCell ref="C38:H40"/>
    <mergeCell ref="J38:L38"/>
    <mergeCell ref="J39:L39"/>
    <mergeCell ref="M39:AR39"/>
    <mergeCell ref="J40:L40"/>
    <mergeCell ref="M40:AR40"/>
    <mergeCell ref="C41:H41"/>
    <mergeCell ref="I41:Y41"/>
    <mergeCell ref="Z41:AA41"/>
    <mergeCell ref="AB41:AF41"/>
    <mergeCell ref="AG41:AP41"/>
    <mergeCell ref="AQ41:AR41"/>
    <mergeCell ref="M38:X38"/>
    <mergeCell ref="Z38:AB38"/>
  </mergeCells>
  <phoneticPr fontId="2"/>
  <dataValidations count="15">
    <dataValidation imeMode="off" allowBlank="1" showInputMessage="1" showErrorMessage="1" sqref="F1:F2" xr:uid="{00000000-0002-0000-0000-000000000000}"/>
    <dataValidation type="list" allowBlank="1" showInputMessage="1" showErrorMessage="1" sqref="S28:S29 AD30 AE19:AE20 AG12:AG13 Z29 P19:P20 L28:L29 P30:P31 V30:V31 AL12 WVQ38:WVQ40 JE38:JE40 TA38:TA40 ACW38:ACW40 AMS38:AMS40 AWO38:AWO40 BGK38:BGK40 BQG38:BQG40 CAC38:CAC40 CJY38:CJY40 CTU38:CTU40 DDQ38:DDQ40 DNM38:DNM40 DXI38:DXI40 EHE38:EHE40 ERA38:ERA40 FAW38:FAW40 FKS38:FKS40 FUO38:FUO40 GEK38:GEK40 GOG38:GOG40 GYC38:GYC40 HHY38:HHY40 HRU38:HRU40 IBQ38:IBQ40 ILM38:ILM40 IVI38:IVI40 JFE38:JFE40 JPA38:JPA40 JYW38:JYW40 KIS38:KIS40 KSO38:KSO40 LCK38:LCK40 LMG38:LMG40 LWC38:LWC40 MFY38:MFY40 MPU38:MPU40 MZQ38:MZQ40 NJM38:NJM40 NTI38:NTI40 ODE38:ODE40 ONA38:ONA40 OWW38:OWW40 PGS38:PGS40 PQO38:PQO40 QAK38:QAK40 QKG38:QKG40 QUC38:QUC40 RDY38:RDY40 RNU38:RNU40 RXQ38:RXQ40 SHM38:SHM40 SRI38:SRI40 TBE38:TBE40 TLA38:TLA40 TUW38:TUW40 UES38:UES40 UOO38:UOO40 UYK38:UYK40 VIG38:VIG40 VSC38:VSC40 WBY38:WBY40 WLU38:WLU40 I38:I40 Y38" xr:uid="{00000000-0002-0000-0000-000001000000}">
      <formula1>"●,○"</formula1>
    </dataValidation>
    <dataValidation type="list" allowBlank="1" showInputMessage="1" showErrorMessage="1" sqref="AG32 L32:L33 S32:S33 Z32:Z33" xr:uid="{00000000-0002-0000-0000-000002000000}">
      <formula1>"■,□"</formula1>
    </dataValidation>
    <dataValidation allowBlank="1" showInputMessage="1" sqref="M28:R28" xr:uid="{00000000-0002-0000-0000-000003000000}"/>
    <dataValidation type="list" allowBlank="1" showInputMessage="1" showErrorMessage="1" sqref="L18:W18" xr:uid="{00000000-0002-0000-0000-000004000000}">
      <formula1>$BC$1:$BC$4</formula1>
    </dataValidation>
    <dataValidation type="list" allowBlank="1" showInputMessage="1" showErrorMessage="1" sqref="AG21:AR21" xr:uid="{00000000-0002-0000-0000-000005000000}">
      <formula1>$BD$1:$BD$4</formula1>
    </dataValidation>
    <dataValidation type="list" allowBlank="1" showInputMessage="1" showErrorMessage="1" sqref="L22:W22" xr:uid="{00000000-0002-0000-0000-000006000000}">
      <formula1>$BF$1:$BF$4</formula1>
    </dataValidation>
    <dataValidation errorStyle="warning" allowBlank="1" showInputMessage="1" showErrorMessage="1" errorTitle="選択肢にない場合のみ手入力してください" error="選択肢にない型式のみ手入力します。_x000a_もう一度確認してください。" sqref="L27:W27" xr:uid="{00000000-0002-0000-0000-000007000000}"/>
    <dataValidation type="list" allowBlank="1" showInputMessage="1" showErrorMessage="1" sqref="AL13:AM13" xr:uid="{00000000-0002-0000-0000-000008000000}">
      <formula1>月</formula1>
    </dataValidation>
    <dataValidation type="list" allowBlank="1" showInputMessage="1" showErrorMessage="1" sqref="L8:W8" xr:uid="{00000000-0002-0000-0000-000009000000}">
      <formula1>$AY$1:$AY$18</formula1>
    </dataValidation>
    <dataValidation type="list" allowBlank="1" showInputMessage="1" showErrorMessage="1" sqref="L16:W16" xr:uid="{00000000-0002-0000-0000-00000A000000}">
      <formula1>$BA$1:$BA$8</formula1>
    </dataValidation>
    <dataValidation type="list" allowBlank="1" showInputMessage="1" showErrorMessage="1" sqref="AG18:AR18" xr:uid="{00000000-0002-0000-0000-00000B000000}">
      <formula1>$AW$1:$AW$6</formula1>
    </dataValidation>
    <dataValidation type="list" allowBlank="1" showInputMessage="1" showErrorMessage="1" sqref="AG22:AR22" xr:uid="{00000000-0002-0000-0000-00000C000000}">
      <formula1>$BE$1:$BE$5</formula1>
    </dataValidation>
    <dataValidation type="list" allowBlank="1" showInputMessage="1" showErrorMessage="1" sqref="L21:W21" xr:uid="{00000000-0002-0000-0000-00000D000000}">
      <formula1>$AX$1:$AX$96</formula1>
    </dataValidation>
    <dataValidation type="list" allowBlank="1" showInputMessage="1" showErrorMessage="1" sqref="L12:W12" xr:uid="{00000000-0002-0000-0000-00000E000000}">
      <formula1>$AZ$1:$AZ$103</formula1>
    </dataValidation>
  </dataValidations>
  <hyperlinks>
    <hyperlink ref="AG16:AR16" location="シャシ型式!A1" display="シャシ型式!A1" xr:uid="{00000000-0004-0000-0000-000000000000}"/>
  </hyperlinks>
  <pageMargins left="0.78700000000000003" right="0.39" top="0.32" bottom="0.16" header="0.2" footer="0.16"/>
  <pageSetup paperSize="9" scale="87"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indexed="52"/>
  </sheetPr>
  <dimension ref="A1:S616"/>
  <sheetViews>
    <sheetView showGridLines="0" topLeftCell="B1" zoomScale="85" zoomScaleNormal="85" zoomScaleSheetLayoutView="100" workbookViewId="0">
      <pane ySplit="3" topLeftCell="A80" activePane="bottomLeft" state="frozen"/>
      <selection activeCell="K62" sqref="K62"/>
      <selection pane="bottomLeft" activeCell="D87" sqref="D87"/>
    </sheetView>
  </sheetViews>
  <sheetFormatPr defaultColWidth="9" defaultRowHeight="16.149999999999999" x14ac:dyDescent="0.3"/>
  <cols>
    <col min="1" max="1" width="4.265625" style="247" hidden="1" customWidth="1"/>
    <col min="2" max="2" width="15.265625" style="248" customWidth="1"/>
    <col min="3" max="3" width="9" style="248"/>
    <col min="4" max="4" width="34.3984375" style="249" customWidth="1"/>
    <col min="5" max="5" width="114.1328125" style="252" customWidth="1"/>
    <col min="6" max="6" width="8.59765625" style="251" customWidth="1"/>
    <col min="7" max="7" width="7.86328125" style="251" customWidth="1"/>
    <col min="8" max="8" width="5" style="251" customWidth="1"/>
    <col min="9" max="9" width="69.86328125" style="253" hidden="1" customWidth="1"/>
    <col min="10" max="10" width="11.86328125" style="211" hidden="1" customWidth="1"/>
    <col min="11" max="11" width="9" style="211" customWidth="1"/>
    <col min="12" max="12" width="14.265625" style="211" customWidth="1"/>
    <col min="13" max="16384" width="9" style="211"/>
  </cols>
  <sheetData>
    <row r="1" spans="1:19" s="193" customFormat="1" ht="26.25" customHeight="1" thickBot="1" x14ac:dyDescent="0.45">
      <c r="A1" s="192"/>
      <c r="C1" s="194"/>
      <c r="D1" s="284" t="str">
        <f>受注仕様書!C4</f>
        <v>Vol.2.5</v>
      </c>
      <c r="E1" s="195" t="s">
        <v>1476</v>
      </c>
      <c r="F1" s="682" t="str">
        <f>受注仕様書!AG8</f>
        <v>171963</v>
      </c>
      <c r="G1" s="683"/>
      <c r="H1" s="512"/>
      <c r="I1" s="196"/>
    </row>
    <row r="2" spans="1:19" s="193" customFormat="1" ht="45.75" customHeight="1" x14ac:dyDescent="0.3">
      <c r="A2" s="197"/>
      <c r="B2" s="198"/>
      <c r="C2" s="199"/>
      <c r="D2" s="285"/>
      <c r="E2" s="200"/>
      <c r="F2" s="201"/>
      <c r="G2" s="202"/>
      <c r="H2" s="33"/>
      <c r="I2" s="196"/>
      <c r="J2" s="203"/>
      <c r="K2" s="203"/>
    </row>
    <row r="3" spans="1:19" ht="48.75" customHeight="1" x14ac:dyDescent="0.25">
      <c r="A3" s="204"/>
      <c r="B3" s="205" t="s">
        <v>776</v>
      </c>
      <c r="C3" s="413" t="s">
        <v>571</v>
      </c>
      <c r="D3" s="205" t="s">
        <v>162</v>
      </c>
      <c r="E3" s="684" t="s">
        <v>161</v>
      </c>
      <c r="F3" s="685"/>
      <c r="G3" s="206" t="s">
        <v>777</v>
      </c>
      <c r="H3" s="207"/>
      <c r="I3" s="208"/>
      <c r="J3" s="209"/>
      <c r="K3" s="210"/>
      <c r="L3" s="210"/>
    </row>
    <row r="4" spans="1:19" s="208" customFormat="1" ht="34.5" customHeight="1" x14ac:dyDescent="0.25">
      <c r="A4" s="212"/>
      <c r="B4" s="213" t="s">
        <v>780</v>
      </c>
      <c r="C4" s="214" t="str">
        <f>VLOOKUP(I4,シャシ型式,VLOOKUP($E$1,車種仕様番号,2,0),0)</f>
        <v>標準</v>
      </c>
      <c r="D4" s="238" t="s">
        <v>778</v>
      </c>
      <c r="E4" s="215"/>
      <c r="F4" s="216"/>
      <c r="G4" s="217"/>
      <c r="H4" s="218"/>
      <c r="I4" s="208" t="s">
        <v>855</v>
      </c>
      <c r="J4" s="420" t="str">
        <f>LEFT(D4,FIND("．",D4))</f>
        <v>1-1．</v>
      </c>
      <c r="K4" s="421" t="str">
        <f>IF(C4="特仕",J4,"")</f>
        <v/>
      </c>
      <c r="L4" s="219"/>
      <c r="M4" s="220"/>
      <c r="N4" s="220"/>
      <c r="O4" s="220"/>
      <c r="S4" s="220"/>
    </row>
    <row r="5" spans="1:19" s="208" customFormat="1" ht="34.5" customHeight="1" x14ac:dyDescent="0.25">
      <c r="A5" s="212"/>
      <c r="B5" s="221" t="s">
        <v>781</v>
      </c>
      <c r="C5" s="214" t="str">
        <f>VLOOKUP(I5,ボデー床板,VLOOKUP($E$1,車種仕様番号,2,0),0)</f>
        <v>標準</v>
      </c>
      <c r="D5" s="282" t="s">
        <v>828</v>
      </c>
      <c r="E5" s="215"/>
      <c r="F5" s="216"/>
      <c r="G5" s="217"/>
      <c r="H5" s="218"/>
      <c r="I5" s="220" t="s">
        <v>523</v>
      </c>
      <c r="J5" s="420" t="str">
        <f t="shared" ref="J5:J66" si="0">LEFT(D5,FIND("．",D5))</f>
        <v>2-1．</v>
      </c>
      <c r="K5" s="421" t="str">
        <f t="shared" ref="K5:K66" si="1">IF(C5="特仕",J5,"")</f>
        <v/>
      </c>
      <c r="L5" s="219"/>
      <c r="M5" s="220"/>
      <c r="N5" s="220"/>
      <c r="O5" s="220"/>
    </row>
    <row r="6" spans="1:19" s="208" customFormat="1" ht="34.5" customHeight="1" x14ac:dyDescent="0.25">
      <c r="A6" s="212"/>
      <c r="B6" s="222"/>
      <c r="C6" s="214" t="str">
        <f>VLOOKUP(I6,ボデー前面臭気対策,VLOOKUP($E$1,車種仕様番号,2,0),0)</f>
        <v>標準</v>
      </c>
      <c r="D6" s="238" t="s">
        <v>829</v>
      </c>
      <c r="E6" s="215"/>
      <c r="F6" s="216"/>
      <c r="G6" s="217"/>
      <c r="H6" s="218"/>
      <c r="I6" s="220" t="s">
        <v>792</v>
      </c>
      <c r="J6" s="420" t="str">
        <f t="shared" si="0"/>
        <v>2-2．</v>
      </c>
      <c r="K6" s="421" t="str">
        <f t="shared" si="1"/>
        <v/>
      </c>
      <c r="L6" s="219"/>
      <c r="M6" s="220"/>
      <c r="N6" s="220"/>
      <c r="O6" s="220"/>
    </row>
    <row r="7" spans="1:19" s="208" customFormat="1" ht="34.5" customHeight="1" x14ac:dyDescent="0.25">
      <c r="A7" s="212"/>
      <c r="B7" s="445"/>
      <c r="C7" s="214" t="str">
        <f>VLOOKUP(I7,のぞき窓,VLOOKUP($E$1,車種仕様番号,2,0),0)</f>
        <v>標準</v>
      </c>
      <c r="D7" s="238" t="s">
        <v>948</v>
      </c>
      <c r="E7" s="215"/>
      <c r="F7" s="216"/>
      <c r="G7" s="217"/>
      <c r="H7" s="218"/>
      <c r="I7" s="208" t="s">
        <v>792</v>
      </c>
      <c r="J7" s="420" t="str">
        <f t="shared" si="0"/>
        <v>2-3．</v>
      </c>
      <c r="K7" s="421" t="str">
        <f t="shared" si="1"/>
        <v/>
      </c>
    </row>
    <row r="8" spans="1:19" s="208" customFormat="1" ht="34.5" customHeight="1" x14ac:dyDescent="0.25">
      <c r="A8" s="212"/>
      <c r="B8" s="213" t="s">
        <v>782</v>
      </c>
      <c r="C8" s="214" t="str">
        <f>VLOOKUP(I8,排出板下にゴム板,VLOOKUP($E$1,車種仕様番号,2,0),0)</f>
        <v>標準</v>
      </c>
      <c r="D8" s="238" t="s">
        <v>949</v>
      </c>
      <c r="E8" s="215"/>
      <c r="F8" s="216"/>
      <c r="G8" s="217"/>
      <c r="H8" s="218"/>
      <c r="I8" s="208" t="s">
        <v>792</v>
      </c>
      <c r="J8" s="420" t="str">
        <f t="shared" si="0"/>
        <v>3-1．</v>
      </c>
      <c r="K8" s="421" t="str">
        <f t="shared" si="1"/>
        <v/>
      </c>
    </row>
    <row r="9" spans="1:19" s="208" customFormat="1" ht="34.5" customHeight="1" x14ac:dyDescent="0.25">
      <c r="A9" s="212"/>
      <c r="B9" s="223"/>
      <c r="C9" s="214" t="str">
        <f>VLOOKUP(I9,掃除口取付,VLOOKUP($E$1,車種仕様番号,2,0),0)</f>
        <v>標準</v>
      </c>
      <c r="D9" s="224" t="s">
        <v>950</v>
      </c>
      <c r="E9" s="225"/>
      <c r="F9" s="226"/>
      <c r="G9" s="227"/>
      <c r="H9" s="228"/>
      <c r="I9" s="208" t="s">
        <v>792</v>
      </c>
      <c r="J9" s="420" t="str">
        <f t="shared" si="0"/>
        <v>3-2．</v>
      </c>
      <c r="K9" s="421" t="str">
        <f t="shared" si="1"/>
        <v/>
      </c>
    </row>
    <row r="10" spans="1:19" s="208" customFormat="1" ht="34.5" customHeight="1" x14ac:dyDescent="0.25">
      <c r="A10" s="212"/>
      <c r="B10" s="223"/>
      <c r="C10" s="214" t="str">
        <f>VLOOKUP(I10,ＴＧ降下防止スイッチ取付,VLOOKUP($E$1,車種仕様番号,2,0),0)</f>
        <v>標準</v>
      </c>
      <c r="D10" s="224" t="s">
        <v>951</v>
      </c>
      <c r="E10" s="229"/>
      <c r="F10" s="226"/>
      <c r="G10" s="227"/>
      <c r="H10" s="228"/>
      <c r="I10" s="208" t="s">
        <v>525</v>
      </c>
      <c r="J10" s="420" t="str">
        <f t="shared" si="0"/>
        <v>3-3．</v>
      </c>
      <c r="K10" s="421" t="str">
        <f t="shared" si="1"/>
        <v/>
      </c>
    </row>
    <row r="11" spans="1:19" s="208" customFormat="1" ht="34.5" customHeight="1" x14ac:dyDescent="0.25">
      <c r="A11" s="212"/>
      <c r="B11" s="223"/>
      <c r="C11" s="214" t="str">
        <f>VLOOKUP(I11,ステップ取付,VLOOKUP($E$1,車種仕様番号,2,0),0)</f>
        <v>特仕</v>
      </c>
      <c r="D11" s="224" t="s">
        <v>952</v>
      </c>
      <c r="E11" s="229"/>
      <c r="F11" s="226"/>
      <c r="G11" s="227"/>
      <c r="H11" s="228"/>
      <c r="I11" s="208" t="s">
        <v>524</v>
      </c>
      <c r="J11" s="420" t="str">
        <f t="shared" si="0"/>
        <v>3-4．</v>
      </c>
      <c r="K11" s="421" t="str">
        <f t="shared" si="1"/>
        <v>3-4．</v>
      </c>
    </row>
    <row r="12" spans="1:19" s="208" customFormat="1" ht="34.5" customHeight="1" x14ac:dyDescent="0.25">
      <c r="A12" s="212"/>
      <c r="B12" s="223"/>
      <c r="C12" s="214" t="str">
        <f>VLOOKUP(I12,天井枠取付,VLOOKUP($E$1,車種仕様番号,2,0),0)</f>
        <v>標準</v>
      </c>
      <c r="D12" s="224" t="s">
        <v>953</v>
      </c>
      <c r="E12" s="229"/>
      <c r="F12" s="226"/>
      <c r="G12" s="227"/>
      <c r="H12" s="228"/>
      <c r="I12" s="208" t="s">
        <v>859</v>
      </c>
      <c r="J12" s="420" t="str">
        <f t="shared" si="0"/>
        <v>3-5．</v>
      </c>
      <c r="K12" s="421" t="str">
        <f t="shared" si="1"/>
        <v/>
      </c>
    </row>
    <row r="13" spans="1:19" s="208" customFormat="1" ht="34.5" customHeight="1" x14ac:dyDescent="0.25">
      <c r="A13" s="212"/>
      <c r="B13" s="223"/>
      <c r="C13" s="214" t="str">
        <f>VLOOKUP(I13,天井枠フック,VLOOKUP($E$1,車種仕様番号,2,0),0)</f>
        <v>標準</v>
      </c>
      <c r="D13" s="224" t="s">
        <v>954</v>
      </c>
      <c r="E13" s="229"/>
      <c r="F13" s="226"/>
      <c r="G13" s="227"/>
      <c r="H13" s="228"/>
      <c r="I13" s="208" t="s">
        <v>792</v>
      </c>
      <c r="J13" s="420" t="str">
        <f t="shared" si="0"/>
        <v>3-6．</v>
      </c>
      <c r="K13" s="421" t="str">
        <f t="shared" si="1"/>
        <v/>
      </c>
    </row>
    <row r="14" spans="1:19" s="208" customFormat="1" ht="34.5" customHeight="1" x14ac:dyDescent="0.25">
      <c r="A14" s="212"/>
      <c r="B14" s="223"/>
      <c r="C14" s="214" t="str">
        <f>VLOOKUP(I14,バルブカバー,VLOOKUP($E$1,車種仕様番号,2,0),0)</f>
        <v>標準</v>
      </c>
      <c r="D14" s="224" t="s">
        <v>955</v>
      </c>
      <c r="E14" s="230"/>
      <c r="F14" s="231"/>
      <c r="G14" s="227"/>
      <c r="H14" s="228"/>
      <c r="I14" s="208" t="s">
        <v>1477</v>
      </c>
      <c r="J14" s="420" t="str">
        <f t="shared" si="0"/>
        <v>3-7．</v>
      </c>
      <c r="K14" s="421" t="str">
        <f t="shared" si="1"/>
        <v/>
      </c>
    </row>
    <row r="15" spans="1:19" s="208" customFormat="1" ht="34.5" customHeight="1" x14ac:dyDescent="0.25">
      <c r="A15" s="212"/>
      <c r="B15" s="223"/>
      <c r="C15" s="214" t="str">
        <f>VLOOKUP(I15,ボデー天井注水口取付,VLOOKUP($E$1,車種仕様番号,2,0),0)</f>
        <v>標準</v>
      </c>
      <c r="D15" s="224" t="s">
        <v>956</v>
      </c>
      <c r="E15" s="230"/>
      <c r="F15" s="231"/>
      <c r="G15" s="227"/>
      <c r="H15" s="228"/>
      <c r="I15" s="208" t="s">
        <v>792</v>
      </c>
      <c r="J15" s="420" t="str">
        <f t="shared" si="0"/>
        <v>3-8．</v>
      </c>
      <c r="K15" s="421" t="str">
        <f t="shared" si="1"/>
        <v/>
      </c>
    </row>
    <row r="16" spans="1:19" s="208" customFormat="1" ht="34.5" customHeight="1" x14ac:dyDescent="0.25">
      <c r="A16" s="212"/>
      <c r="B16" s="277"/>
      <c r="C16" s="214" t="str">
        <f>VLOOKUP(I16,火災延焼抑制装置,VLOOKUP($E$1,車種仕様番号,2,0),0)</f>
        <v>標準</v>
      </c>
      <c r="D16" s="238" t="s">
        <v>869</v>
      </c>
      <c r="E16" s="232"/>
      <c r="F16" s="233"/>
      <c r="G16" s="217"/>
      <c r="H16" s="218"/>
      <c r="I16" s="208" t="s">
        <v>792</v>
      </c>
      <c r="J16" s="420" t="str">
        <f t="shared" si="0"/>
        <v>3-9．</v>
      </c>
      <c r="K16" s="421" t="str">
        <f t="shared" si="1"/>
        <v/>
      </c>
    </row>
    <row r="17" spans="1:11" s="208" customFormat="1" ht="34.5" customHeight="1" x14ac:dyDescent="0.25">
      <c r="A17" s="212"/>
      <c r="B17" s="213" t="s">
        <v>783</v>
      </c>
      <c r="C17" s="214" t="str">
        <f>VLOOKUP(I17,ドラム板,VLOOKUP($E$1,車種仕様番号,2,0),0)</f>
        <v>標準</v>
      </c>
      <c r="D17" s="213" t="s">
        <v>607</v>
      </c>
      <c r="E17" s="215"/>
      <c r="F17" s="234"/>
      <c r="G17" s="227"/>
      <c r="H17" s="228"/>
      <c r="I17" s="208" t="s">
        <v>1478</v>
      </c>
      <c r="J17" s="420" t="str">
        <f t="shared" si="0"/>
        <v>4-1．</v>
      </c>
      <c r="K17" s="421" t="str">
        <f t="shared" si="1"/>
        <v/>
      </c>
    </row>
    <row r="18" spans="1:11" s="208" customFormat="1" ht="34.5" customHeight="1" x14ac:dyDescent="0.25">
      <c r="A18" s="212"/>
      <c r="B18" s="222"/>
      <c r="C18" s="214" t="str">
        <f>VLOOKUP(I18,ドラム板汚水抜き穴,VLOOKUP($E$1,車種仕様番号,2,0),0)</f>
        <v>標準</v>
      </c>
      <c r="D18" s="213" t="s">
        <v>957</v>
      </c>
      <c r="E18" s="215"/>
      <c r="F18" s="234"/>
      <c r="G18" s="227"/>
      <c r="H18" s="228"/>
      <c r="I18" s="208" t="s">
        <v>878</v>
      </c>
      <c r="J18" s="420" t="str">
        <f t="shared" si="0"/>
        <v>4-2．</v>
      </c>
      <c r="K18" s="421" t="str">
        <f t="shared" si="1"/>
        <v/>
      </c>
    </row>
    <row r="19" spans="1:11" s="208" customFormat="1" ht="34.5" customHeight="1" x14ac:dyDescent="0.25">
      <c r="A19" s="212"/>
      <c r="B19" s="446"/>
      <c r="C19" s="214" t="str">
        <f>VLOOKUP(I19,汚水タンク,VLOOKUP($E$1,車種仕様番号,2,0),0)</f>
        <v>標準</v>
      </c>
      <c r="D19" s="213" t="s">
        <v>628</v>
      </c>
      <c r="E19" s="235"/>
      <c r="F19" s="234"/>
      <c r="G19" s="227"/>
      <c r="H19" s="228"/>
      <c r="I19" s="208" t="s">
        <v>1479</v>
      </c>
      <c r="J19" s="420" t="str">
        <f t="shared" si="0"/>
        <v>4-3．</v>
      </c>
      <c r="K19" s="421" t="str">
        <f t="shared" si="1"/>
        <v/>
      </c>
    </row>
    <row r="20" spans="1:11" s="208" customFormat="1" ht="34.5" customHeight="1" x14ac:dyDescent="0.25">
      <c r="A20" s="212"/>
      <c r="B20" s="277"/>
      <c r="C20" s="214" t="str">
        <f>VLOOKUP(I20,汚水パッキン枠,VLOOKUP($E$1,車種仕様番号,2,0),0)</f>
        <v>標準</v>
      </c>
      <c r="D20" s="213" t="s">
        <v>608</v>
      </c>
      <c r="E20" s="235"/>
      <c r="F20" s="234"/>
      <c r="G20" s="227"/>
      <c r="H20" s="228"/>
      <c r="I20" s="208" t="s">
        <v>529</v>
      </c>
      <c r="J20" s="420" t="str">
        <f t="shared" si="0"/>
        <v>4-4．</v>
      </c>
      <c r="K20" s="421" t="str">
        <f t="shared" si="1"/>
        <v/>
      </c>
    </row>
    <row r="21" spans="1:11" s="208" customFormat="1" ht="34.5" customHeight="1" x14ac:dyDescent="0.25">
      <c r="A21" s="212"/>
      <c r="B21" s="213" t="s">
        <v>784</v>
      </c>
      <c r="C21" s="214" t="str">
        <f>VLOOKUP(I21,ドラム二重張り,VLOOKUP($E$1,車種仕様番号,2,0),0)</f>
        <v>標準</v>
      </c>
      <c r="D21" s="213" t="s">
        <v>609</v>
      </c>
      <c r="E21" s="235"/>
      <c r="F21" s="234"/>
      <c r="G21" s="227"/>
      <c r="H21" s="228"/>
      <c r="I21" s="220" t="s">
        <v>792</v>
      </c>
      <c r="J21" s="420" t="str">
        <f t="shared" si="0"/>
        <v>5-1．</v>
      </c>
      <c r="K21" s="421" t="str">
        <f t="shared" si="1"/>
        <v/>
      </c>
    </row>
    <row r="22" spans="1:11" s="208" customFormat="1" ht="34.5" customHeight="1" x14ac:dyDescent="0.25">
      <c r="A22" s="212"/>
      <c r="B22" s="222"/>
      <c r="C22" s="214" t="str">
        <f>VLOOKUP(I22,側板二重張り,VLOOKUP($E$1,車種仕様番号,2,0),0)</f>
        <v>ＯＰ</v>
      </c>
      <c r="D22" s="213" t="s">
        <v>610</v>
      </c>
      <c r="E22" s="235"/>
      <c r="F22" s="234"/>
      <c r="G22" s="227"/>
      <c r="H22" s="228"/>
      <c r="I22" s="208" t="s">
        <v>531</v>
      </c>
      <c r="J22" s="420" t="str">
        <f t="shared" si="0"/>
        <v>5-2．</v>
      </c>
      <c r="K22" s="421" t="str">
        <f t="shared" si="1"/>
        <v/>
      </c>
    </row>
    <row r="23" spans="1:11" s="208" customFormat="1" ht="34.5" customHeight="1" x14ac:dyDescent="0.25">
      <c r="A23" s="212"/>
      <c r="B23" s="446"/>
      <c r="C23" s="214" t="str">
        <f>VLOOKUP(I23,後部扉レール補強,VLOOKUP($E$1,車種仕様番号,2,0),0)</f>
        <v>標準</v>
      </c>
      <c r="D23" s="238" t="s">
        <v>958</v>
      </c>
      <c r="E23" s="235"/>
      <c r="F23" s="234"/>
      <c r="G23" s="217"/>
      <c r="H23" s="218"/>
      <c r="I23" s="208" t="s">
        <v>792</v>
      </c>
      <c r="J23" s="420" t="str">
        <f t="shared" si="0"/>
        <v>5-3．</v>
      </c>
      <c r="K23" s="421" t="str">
        <f t="shared" si="1"/>
        <v/>
      </c>
    </row>
    <row r="24" spans="1:11" s="208" customFormat="1" ht="34.5" customHeight="1" x14ac:dyDescent="0.25">
      <c r="A24" s="212"/>
      <c r="B24" s="222"/>
      <c r="C24" s="214" t="str">
        <f>VLOOKUP(I24,汚水排出装置取付,VLOOKUP($E$1,車種仕様番号,2,0),0)</f>
        <v>標準</v>
      </c>
      <c r="D24" s="213" t="s">
        <v>959</v>
      </c>
      <c r="E24" s="215"/>
      <c r="F24" s="234"/>
      <c r="G24" s="227"/>
      <c r="H24" s="228"/>
      <c r="I24" s="208" t="s">
        <v>792</v>
      </c>
      <c r="J24" s="420" t="str">
        <f t="shared" si="0"/>
        <v>5-4．</v>
      </c>
      <c r="K24" s="421" t="str">
        <f t="shared" si="1"/>
        <v/>
      </c>
    </row>
    <row r="25" spans="1:11" s="208" customFormat="1" ht="34.5" customHeight="1" x14ac:dyDescent="0.25">
      <c r="A25" s="212"/>
      <c r="B25" s="222"/>
      <c r="C25" s="214" t="str">
        <f>VLOOKUP(I25,汚水タンク蓋,VLOOKUP($E$1,車種仕様番号,2,0),0)</f>
        <v>標準</v>
      </c>
      <c r="D25" s="238" t="s">
        <v>960</v>
      </c>
      <c r="E25" s="235"/>
      <c r="F25" s="234"/>
      <c r="G25" s="217"/>
      <c r="H25" s="218"/>
      <c r="I25" s="208" t="s">
        <v>891</v>
      </c>
      <c r="J25" s="420" t="str">
        <f t="shared" si="0"/>
        <v>5-5．</v>
      </c>
      <c r="K25" s="421" t="str">
        <f t="shared" si="1"/>
        <v/>
      </c>
    </row>
    <row r="26" spans="1:11" s="208" customFormat="1" ht="34.5" customHeight="1" x14ac:dyDescent="0.25">
      <c r="A26" s="212"/>
      <c r="B26" s="222"/>
      <c r="C26" s="214" t="str">
        <f>VLOOKUP(I26,汚水溜り取付,VLOOKUP($E$1,車種仕様番号,2,0),0)</f>
        <v>標準</v>
      </c>
      <c r="D26" s="238" t="s">
        <v>961</v>
      </c>
      <c r="E26" s="215"/>
      <c r="F26" s="234"/>
      <c r="G26" s="217"/>
      <c r="H26" s="218"/>
      <c r="I26" s="208" t="s">
        <v>792</v>
      </c>
      <c r="J26" s="420" t="str">
        <f t="shared" si="0"/>
        <v>5-6．</v>
      </c>
      <c r="K26" s="421" t="str">
        <f t="shared" si="1"/>
        <v/>
      </c>
    </row>
    <row r="27" spans="1:11" s="208" customFormat="1" ht="34.5" customHeight="1" x14ac:dyDescent="0.25">
      <c r="A27" s="212"/>
      <c r="B27" s="222"/>
      <c r="C27" s="214" t="str">
        <f>VLOOKUP(I27,飛散防止装置取付,VLOOKUP($E$1,車種仕様番号,2,0),0)</f>
        <v>標準</v>
      </c>
      <c r="D27" s="238" t="s">
        <v>14</v>
      </c>
      <c r="E27" s="215"/>
      <c r="F27" s="234"/>
      <c r="G27" s="217"/>
      <c r="H27" s="218"/>
      <c r="I27" s="208" t="s">
        <v>1480</v>
      </c>
      <c r="J27" s="420" t="str">
        <f t="shared" si="0"/>
        <v>5-7．</v>
      </c>
      <c r="K27" s="421" t="str">
        <f t="shared" si="1"/>
        <v/>
      </c>
    </row>
    <row r="28" spans="1:11" s="208" customFormat="1" ht="34.5" customHeight="1" x14ac:dyDescent="0.25">
      <c r="A28" s="212"/>
      <c r="B28" s="222"/>
      <c r="C28" s="214" t="str">
        <f>VLOOKUP(I28,後部扉,VLOOKUP($E$1,車種仕様番号,2,0),0)</f>
        <v>標準</v>
      </c>
      <c r="D28" s="238" t="s">
        <v>15</v>
      </c>
      <c r="E28" s="215"/>
      <c r="F28" s="234"/>
      <c r="G28" s="217"/>
      <c r="H28" s="218"/>
      <c r="I28" s="208" t="s">
        <v>897</v>
      </c>
      <c r="J28" s="420" t="str">
        <f t="shared" si="0"/>
        <v>5-8．</v>
      </c>
      <c r="K28" s="421" t="str">
        <f t="shared" si="1"/>
        <v/>
      </c>
    </row>
    <row r="29" spans="1:11" s="208" customFormat="1" ht="34.5" customHeight="1" x14ac:dyDescent="0.25">
      <c r="A29" s="212"/>
      <c r="B29" s="222"/>
      <c r="C29" s="214" t="str">
        <f>VLOOKUP(I29,後部扉取っ手,VLOOKUP($E$1,車種仕様番号,2,0),0)</f>
        <v>標準</v>
      </c>
      <c r="D29" s="238" t="s">
        <v>1201</v>
      </c>
      <c r="E29" s="235"/>
      <c r="F29" s="234"/>
      <c r="G29" s="217"/>
      <c r="H29" s="218"/>
      <c r="I29" s="208" t="s">
        <v>902</v>
      </c>
      <c r="J29" s="420" t="str">
        <f t="shared" si="0"/>
        <v>5-9．</v>
      </c>
      <c r="K29" s="421" t="str">
        <f t="shared" si="1"/>
        <v/>
      </c>
    </row>
    <row r="30" spans="1:11" s="208" customFormat="1" ht="34.5" customHeight="1" x14ac:dyDescent="0.25">
      <c r="A30" s="212"/>
      <c r="B30" s="222"/>
      <c r="C30" s="214" t="str">
        <f>VLOOKUP(I30,後部扉取っ手部にφ１６丸棒追加,VLOOKUP($E$1,車種仕様番号,2,0),0)</f>
        <v>ＯＰ</v>
      </c>
      <c r="D30" s="238" t="s">
        <v>611</v>
      </c>
      <c r="E30" s="215"/>
      <c r="F30" s="234"/>
      <c r="G30" s="217"/>
      <c r="H30" s="218"/>
      <c r="I30" s="208" t="s">
        <v>794</v>
      </c>
      <c r="J30" s="420" t="str">
        <f t="shared" si="0"/>
        <v>5-10．</v>
      </c>
      <c r="K30" s="421" t="str">
        <f t="shared" si="1"/>
        <v/>
      </c>
    </row>
    <row r="31" spans="1:11" s="208" customFormat="1" ht="34.5" customHeight="1" x14ac:dyDescent="0.25">
      <c r="A31" s="212"/>
      <c r="B31" s="222"/>
      <c r="C31" s="214" t="str">
        <f>VLOOKUP(I31,テールゲートサイドカバー,VLOOKUP($E$1,車種仕様番号,2,0),0)</f>
        <v>ＯＰ</v>
      </c>
      <c r="D31" s="238" t="s">
        <v>629</v>
      </c>
      <c r="E31" s="215"/>
      <c r="F31" s="234"/>
      <c r="G31" s="217"/>
      <c r="H31" s="218"/>
      <c r="I31" s="208" t="s">
        <v>1523</v>
      </c>
      <c r="J31" s="420" t="str">
        <f t="shared" si="0"/>
        <v>5-11．</v>
      </c>
      <c r="K31" s="421" t="str">
        <f t="shared" si="1"/>
        <v/>
      </c>
    </row>
    <row r="32" spans="1:11" s="208" customFormat="1" ht="34.5" customHeight="1" x14ac:dyDescent="0.25">
      <c r="A32" s="212"/>
      <c r="B32" s="222"/>
      <c r="C32" s="214" t="str">
        <f>VLOOKUP(I32,ガイドテーブル,VLOOKUP($E$1,車種仕様番号,2,0),0)</f>
        <v>特仕</v>
      </c>
      <c r="D32" s="282" t="s">
        <v>630</v>
      </c>
      <c r="E32" s="236"/>
      <c r="F32" s="237"/>
      <c r="G32" s="217"/>
      <c r="H32" s="218"/>
      <c r="I32" s="208" t="s">
        <v>524</v>
      </c>
      <c r="J32" s="420" t="str">
        <f t="shared" si="0"/>
        <v>5-12．</v>
      </c>
      <c r="K32" s="421" t="str">
        <f t="shared" si="1"/>
        <v>5-12．</v>
      </c>
    </row>
    <row r="33" spans="1:11" s="208" customFormat="1" ht="34.5" customHeight="1" x14ac:dyDescent="0.25">
      <c r="A33" s="212"/>
      <c r="B33" s="222"/>
      <c r="C33" s="214" t="str">
        <f>VLOOKUP(I33,積込操作盤,VLOOKUP($E$1,車種仕様番号,2,0),0)</f>
        <v>ＯＰ</v>
      </c>
      <c r="D33" s="238" t="s">
        <v>1090</v>
      </c>
      <c r="E33" s="235"/>
      <c r="F33" s="234"/>
      <c r="G33" s="217"/>
      <c r="H33" s="218"/>
      <c r="I33" s="208" t="s">
        <v>1524</v>
      </c>
      <c r="J33" s="420" t="str">
        <f t="shared" si="0"/>
        <v>5-13．</v>
      </c>
      <c r="K33" s="421" t="str">
        <f t="shared" si="1"/>
        <v/>
      </c>
    </row>
    <row r="34" spans="1:11" s="208" customFormat="1" ht="34.5" customHeight="1" x14ac:dyDescent="0.25">
      <c r="A34" s="212"/>
      <c r="B34" s="222"/>
      <c r="C34" s="214" t="str">
        <f>VLOOKUP(I34,積込操作盤・緊急停止スイッチボックスゴムカバー,VLOOKUP($E$1,車種仕様番号,2,0),0)</f>
        <v>標準</v>
      </c>
      <c r="D34" s="238" t="s">
        <v>16</v>
      </c>
      <c r="E34" s="235"/>
      <c r="F34" s="234"/>
      <c r="G34" s="217"/>
      <c r="H34" s="218"/>
      <c r="I34" s="208" t="s">
        <v>1477</v>
      </c>
      <c r="J34" s="420" t="str">
        <f t="shared" si="0"/>
        <v>5-14．</v>
      </c>
      <c r="K34" s="421" t="str">
        <f t="shared" si="1"/>
        <v/>
      </c>
    </row>
    <row r="35" spans="1:11" s="208" customFormat="1" ht="34.5" customHeight="1" x14ac:dyDescent="0.25">
      <c r="A35" s="212"/>
      <c r="B35" s="222"/>
      <c r="C35" s="214" t="str">
        <f>VLOOKUP(I35,積込操作盤・緊急停止スイッチボックスガード取付,VLOOKUP($E$1,車種仕様番号,2,0),0)</f>
        <v>ＯＰ</v>
      </c>
      <c r="D35" s="238" t="s">
        <v>965</v>
      </c>
      <c r="E35" s="235"/>
      <c r="F35" s="234"/>
      <c r="G35" s="217"/>
      <c r="H35" s="218"/>
      <c r="I35" s="208" t="s">
        <v>1525</v>
      </c>
      <c r="J35" s="420" t="str">
        <f t="shared" si="0"/>
        <v>5-15．</v>
      </c>
      <c r="K35" s="421" t="str">
        <f t="shared" si="1"/>
        <v/>
      </c>
    </row>
    <row r="36" spans="1:11" s="208" customFormat="1" ht="34.5" customHeight="1" x14ac:dyDescent="0.25">
      <c r="A36" s="212"/>
      <c r="B36" s="222"/>
      <c r="C36" s="214" t="str">
        <f>VLOOKUP(I36,連絡ブザー用押しボタンスイッチを右側に増設,VLOOKUP($E$1,車種仕様番号,2,0),0)</f>
        <v>標準</v>
      </c>
      <c r="D36" s="238" t="s">
        <v>966</v>
      </c>
      <c r="E36" s="235"/>
      <c r="F36" s="226"/>
      <c r="G36" s="217"/>
      <c r="H36" s="218"/>
      <c r="I36" s="208" t="s">
        <v>1477</v>
      </c>
      <c r="J36" s="420" t="str">
        <f t="shared" si="0"/>
        <v>5-16．</v>
      </c>
      <c r="K36" s="421" t="str">
        <f t="shared" si="1"/>
        <v/>
      </c>
    </row>
    <row r="37" spans="1:11" s="208" customFormat="1" ht="34.5" customHeight="1" x14ac:dyDescent="0.25">
      <c r="A37" s="212"/>
      <c r="B37" s="222"/>
      <c r="C37" s="214" t="str">
        <f>VLOOKUP(I37,コーナープロテクタ,VLOOKUP($E$1,車種仕様番号,2,0),0)</f>
        <v>標準</v>
      </c>
      <c r="D37" s="238" t="s">
        <v>967</v>
      </c>
      <c r="E37" s="215"/>
      <c r="F37" s="234"/>
      <c r="G37" s="217"/>
      <c r="H37" s="218"/>
      <c r="I37" s="208" t="s">
        <v>1481</v>
      </c>
      <c r="J37" s="420" t="str">
        <f t="shared" si="0"/>
        <v>5-17．</v>
      </c>
      <c r="K37" s="421" t="str">
        <f t="shared" si="1"/>
        <v/>
      </c>
    </row>
    <row r="38" spans="1:11" s="208" customFormat="1" ht="34.5" customHeight="1" x14ac:dyDescent="0.25">
      <c r="A38" s="212"/>
      <c r="B38" s="222"/>
      <c r="C38" s="214" t="str">
        <f>VLOOKUP(I38,後部バンパ,VLOOKUP($E$1,車種仕様番号,2,0),0)</f>
        <v>標準</v>
      </c>
      <c r="D38" s="238" t="s">
        <v>968</v>
      </c>
      <c r="E38" s="215"/>
      <c r="F38" s="234"/>
      <c r="G38" s="217"/>
      <c r="H38" s="218"/>
      <c r="I38" s="208" t="s">
        <v>905</v>
      </c>
      <c r="J38" s="420" t="str">
        <f t="shared" si="0"/>
        <v>5-18．</v>
      </c>
      <c r="K38" s="421" t="str">
        <f t="shared" si="1"/>
        <v/>
      </c>
    </row>
    <row r="39" spans="1:11" s="208" customFormat="1" ht="34.5" customHeight="1" x14ac:dyDescent="0.25">
      <c r="A39" s="212"/>
      <c r="B39" s="222"/>
      <c r="C39" s="214" t="str">
        <f>VLOOKUP(I39,天井カバー,VLOOKUP($E$1,車種仕様番号,2,0),0)</f>
        <v>標準</v>
      </c>
      <c r="D39" s="238" t="s">
        <v>969</v>
      </c>
      <c r="E39" s="215"/>
      <c r="F39" s="234"/>
      <c r="G39" s="217"/>
      <c r="H39" s="218"/>
      <c r="I39" s="387" t="s">
        <v>907</v>
      </c>
      <c r="J39" s="420" t="str">
        <f t="shared" si="0"/>
        <v>5-19．</v>
      </c>
      <c r="K39" s="421" t="str">
        <f t="shared" si="1"/>
        <v/>
      </c>
    </row>
    <row r="40" spans="1:11" s="208" customFormat="1" ht="34.5" customHeight="1" x14ac:dyDescent="0.25">
      <c r="A40" s="212"/>
      <c r="B40" s="222"/>
      <c r="C40" s="214" t="str">
        <f>VLOOKUP(I40,テールゲート遮蔽板部の配線とホースに耐熱シート巻き付け,VLOOKUP($E$1,車種仕様番号,2,0),0)</f>
        <v>標準</v>
      </c>
      <c r="D40" s="238" t="s">
        <v>1335</v>
      </c>
      <c r="E40" s="215"/>
      <c r="F40" s="234"/>
      <c r="G40" s="217"/>
      <c r="H40" s="218"/>
      <c r="I40" s="208" t="s">
        <v>792</v>
      </c>
      <c r="J40" s="420" t="str">
        <f t="shared" si="0"/>
        <v>5-20．</v>
      </c>
      <c r="K40" s="421" t="str">
        <f t="shared" si="1"/>
        <v/>
      </c>
    </row>
    <row r="41" spans="1:11" s="208" customFormat="1" ht="34.5" customHeight="1" x14ac:dyDescent="0.25">
      <c r="A41" s="212"/>
      <c r="B41" s="222"/>
      <c r="C41" s="214" t="str">
        <f>VLOOKUP(I41,グリスオマット取付,VLOOKUP($E$1,車種仕様番号,2,0),0)</f>
        <v>標準</v>
      </c>
      <c r="D41" s="238" t="s">
        <v>0</v>
      </c>
      <c r="E41" s="215"/>
      <c r="F41" s="234"/>
      <c r="G41" s="217"/>
      <c r="H41" s="218"/>
      <c r="I41" s="208" t="s">
        <v>792</v>
      </c>
      <c r="J41" s="420" t="str">
        <f t="shared" si="0"/>
        <v>5-21．</v>
      </c>
      <c r="K41" s="421" t="str">
        <f t="shared" si="1"/>
        <v/>
      </c>
    </row>
    <row r="42" spans="1:11" s="208" customFormat="1" ht="34.5" customHeight="1" x14ac:dyDescent="0.25">
      <c r="A42" s="212"/>
      <c r="B42" s="222"/>
      <c r="C42" s="214" t="str">
        <f>VLOOKUP(I42,テールゲート上昇時後部安全棒セット警報,VLOOKUP($E$1,車種仕様番号,2,0),0)</f>
        <v>標準</v>
      </c>
      <c r="D42" s="238" t="s">
        <v>1</v>
      </c>
      <c r="E42" s="215"/>
      <c r="F42" s="234"/>
      <c r="G42" s="217"/>
      <c r="H42" s="218"/>
      <c r="I42" s="208" t="s">
        <v>792</v>
      </c>
      <c r="J42" s="420" t="str">
        <f t="shared" si="0"/>
        <v>5-22．</v>
      </c>
      <c r="K42" s="421" t="str">
        <f t="shared" si="1"/>
        <v/>
      </c>
    </row>
    <row r="43" spans="1:11" s="208" customFormat="1" ht="34.5" customHeight="1" x14ac:dyDescent="0.25">
      <c r="A43" s="212"/>
      <c r="B43" s="277"/>
      <c r="C43" s="214" t="str">
        <f>VLOOKUP(I43,テールゲートリフト緊急用強制降下装置,VLOOKUP($E$1,車種仕様番号,2,0),0)</f>
        <v>標準</v>
      </c>
      <c r="D43" s="282" t="s">
        <v>2</v>
      </c>
      <c r="E43" s="215"/>
      <c r="F43" s="234"/>
      <c r="G43" s="217"/>
      <c r="H43" s="218"/>
      <c r="I43" s="208" t="s">
        <v>792</v>
      </c>
      <c r="J43" s="420" t="str">
        <f t="shared" si="0"/>
        <v>5-23．</v>
      </c>
      <c r="K43" s="421" t="str">
        <f t="shared" si="1"/>
        <v/>
      </c>
    </row>
    <row r="44" spans="1:11" s="208" customFormat="1" ht="34.5" customHeight="1" x14ac:dyDescent="0.25">
      <c r="A44" s="212"/>
      <c r="B44" s="213" t="s">
        <v>785</v>
      </c>
      <c r="C44" s="214" t="str">
        <f>VLOOKUP(I44,フレームカバー,VLOOKUP($E$1,車種仕様番号,2,0),0)</f>
        <v>標準</v>
      </c>
      <c r="D44" s="282" t="s">
        <v>631</v>
      </c>
      <c r="E44" s="215"/>
      <c r="F44" s="234"/>
      <c r="G44" s="217"/>
      <c r="H44" s="218"/>
      <c r="I44" s="208" t="s">
        <v>909</v>
      </c>
      <c r="J44" s="420" t="str">
        <f t="shared" si="0"/>
        <v>6-1．</v>
      </c>
      <c r="K44" s="421" t="str">
        <f t="shared" si="1"/>
        <v/>
      </c>
    </row>
    <row r="45" spans="1:11" s="208" customFormat="1" ht="34.5" customHeight="1" x14ac:dyDescent="0.25">
      <c r="A45" s="212"/>
      <c r="B45" s="222"/>
      <c r="C45" s="214" t="str">
        <f>VLOOKUP(I45,Ｔ型マフラー取付,VLOOKUP($E$1,車種仕様番号,2,0),0)</f>
        <v>標準</v>
      </c>
      <c r="D45" s="282" t="s">
        <v>632</v>
      </c>
      <c r="E45" s="215"/>
      <c r="F45" s="234"/>
      <c r="G45" s="217"/>
      <c r="H45" s="218"/>
      <c r="I45" s="208" t="s">
        <v>792</v>
      </c>
      <c r="J45" s="420" t="str">
        <f t="shared" si="0"/>
        <v>6-2．</v>
      </c>
      <c r="K45" s="421" t="str">
        <f t="shared" si="1"/>
        <v/>
      </c>
    </row>
    <row r="46" spans="1:11" s="208" customFormat="1" ht="34.5" customHeight="1" x14ac:dyDescent="0.25">
      <c r="A46" s="212"/>
      <c r="B46" s="222"/>
      <c r="C46" s="214" t="str">
        <f>VLOOKUP(I46,油圧ポンプ,VLOOKUP($E$1,車種仕様番号,2,0),0)</f>
        <v>標準</v>
      </c>
      <c r="D46" s="282" t="s">
        <v>612</v>
      </c>
      <c r="E46" s="215"/>
      <c r="F46" s="234"/>
      <c r="G46" s="217"/>
      <c r="H46" s="218"/>
      <c r="I46" s="208" t="s">
        <v>537</v>
      </c>
      <c r="J46" s="420" t="str">
        <f t="shared" si="0"/>
        <v>6-3．</v>
      </c>
      <c r="K46" s="421" t="str">
        <f t="shared" si="1"/>
        <v/>
      </c>
    </row>
    <row r="47" spans="1:11" s="208" customFormat="1" ht="34.5" customHeight="1" x14ac:dyDescent="0.25">
      <c r="A47" s="212"/>
      <c r="B47" s="222"/>
      <c r="C47" s="214" t="str">
        <f>VLOOKUP(I47,後部フェンダ,VLOOKUP($E$1,車種仕様番号,2,0),0)</f>
        <v>標準</v>
      </c>
      <c r="D47" s="282" t="s">
        <v>613</v>
      </c>
      <c r="E47" s="215"/>
      <c r="F47" s="234"/>
      <c r="G47" s="217"/>
      <c r="H47" s="218"/>
      <c r="I47" s="208" t="s">
        <v>911</v>
      </c>
      <c r="J47" s="420" t="str">
        <f t="shared" si="0"/>
        <v>6-4．</v>
      </c>
      <c r="K47" s="421" t="str">
        <f t="shared" si="1"/>
        <v/>
      </c>
    </row>
    <row r="48" spans="1:11" s="208" customFormat="1" ht="34.5" customHeight="1" x14ac:dyDescent="0.25">
      <c r="A48" s="212"/>
      <c r="B48" s="222"/>
      <c r="C48" s="214" t="str">
        <f>VLOOKUP(I48,泥除けゴムに巻き込み防止枠兼振れ止め取付,VLOOKUP($E$1,車種仕様番号,2,0),0)</f>
        <v>標準</v>
      </c>
      <c r="D48" s="282" t="s">
        <v>848</v>
      </c>
      <c r="E48" s="215"/>
      <c r="F48" s="234"/>
      <c r="G48" s="217"/>
      <c r="H48" s="218"/>
      <c r="I48" s="208" t="s">
        <v>1482</v>
      </c>
      <c r="J48" s="420" t="str">
        <f t="shared" si="0"/>
        <v>6-5．</v>
      </c>
      <c r="K48" s="421" t="str">
        <f t="shared" si="1"/>
        <v/>
      </c>
    </row>
    <row r="49" spans="1:11" s="208" customFormat="1" ht="34.5" customHeight="1" x14ac:dyDescent="0.25">
      <c r="A49" s="212"/>
      <c r="B49" s="222"/>
      <c r="C49" s="214" t="str">
        <f>VLOOKUP(I49,泥除ゴムに後方移設プレート取付,VLOOKUP($E$1,車種仕様番号,2,0),0)</f>
        <v>標準</v>
      </c>
      <c r="D49" s="282" t="s">
        <v>435</v>
      </c>
      <c r="E49" s="215"/>
      <c r="F49" s="239"/>
      <c r="G49" s="217"/>
      <c r="H49" s="218"/>
      <c r="I49" s="208" t="s">
        <v>1483</v>
      </c>
      <c r="J49" s="420" t="str">
        <f t="shared" si="0"/>
        <v>6-6．</v>
      </c>
      <c r="K49" s="421" t="str">
        <f t="shared" si="1"/>
        <v/>
      </c>
    </row>
    <row r="50" spans="1:11" s="208" customFormat="1" ht="34.5" customHeight="1" x14ac:dyDescent="0.25">
      <c r="A50" s="212"/>
      <c r="B50" s="222"/>
      <c r="C50" s="214" t="str">
        <f>VLOOKUP(I50,後部フェンダ泥除けゴム,VLOOKUP($E$1,車種仕様番号,2,0),0)</f>
        <v>標準</v>
      </c>
      <c r="D50" s="282" t="s">
        <v>622</v>
      </c>
      <c r="E50" s="215"/>
      <c r="F50" s="239"/>
      <c r="G50" s="217"/>
      <c r="H50" s="218"/>
      <c r="I50" s="208" t="s">
        <v>539</v>
      </c>
      <c r="J50" s="420" t="str">
        <f t="shared" si="0"/>
        <v>6-7．</v>
      </c>
      <c r="K50" s="421" t="str">
        <f t="shared" si="1"/>
        <v/>
      </c>
    </row>
    <row r="51" spans="1:11" s="208" customFormat="1" ht="34.5" customHeight="1" x14ac:dyDescent="0.25">
      <c r="A51" s="212"/>
      <c r="B51" s="446"/>
      <c r="C51" s="214" t="str">
        <f>VLOOKUP(I51,後輪前に泥除け鋼板,VLOOKUP($E$1,車種仕様番号,2,0),0)</f>
        <v>標準</v>
      </c>
      <c r="D51" s="282" t="s">
        <v>17</v>
      </c>
      <c r="E51" s="215"/>
      <c r="F51" s="234"/>
      <c r="G51" s="217"/>
      <c r="H51" s="218"/>
      <c r="I51" s="208" t="s">
        <v>792</v>
      </c>
      <c r="J51" s="420" t="str">
        <f t="shared" si="0"/>
        <v>6-8．</v>
      </c>
      <c r="K51" s="421" t="str">
        <f t="shared" si="1"/>
        <v/>
      </c>
    </row>
    <row r="52" spans="1:11" s="208" customFormat="1" ht="34.5" customHeight="1" x14ac:dyDescent="0.25">
      <c r="A52" s="212"/>
      <c r="B52" s="222"/>
      <c r="C52" s="214" t="str">
        <f>VLOOKUP(I52,作動油ドレンホース取付,VLOOKUP($E$1,車種仕様番号,2,0),0)</f>
        <v>標準</v>
      </c>
      <c r="D52" s="282" t="s">
        <v>18</v>
      </c>
      <c r="E52" s="215"/>
      <c r="F52" s="234"/>
      <c r="G52" s="217"/>
      <c r="H52" s="218"/>
      <c r="I52" s="208" t="s">
        <v>912</v>
      </c>
      <c r="J52" s="420" t="str">
        <f t="shared" si="0"/>
        <v>6-9．</v>
      </c>
      <c r="K52" s="421" t="str">
        <f t="shared" si="1"/>
        <v/>
      </c>
    </row>
    <row r="53" spans="1:11" s="208" customFormat="1" ht="34.5" customHeight="1" x14ac:dyDescent="0.25">
      <c r="A53" s="212"/>
      <c r="B53" s="277"/>
      <c r="C53" s="214" t="str">
        <f>VLOOKUP(I53,サイドガード,VLOOKUP($E$1,車種仕様番号,2,0),0)</f>
        <v>標準</v>
      </c>
      <c r="D53" s="282" t="s">
        <v>19</v>
      </c>
      <c r="E53" s="215"/>
      <c r="F53" s="234"/>
      <c r="G53" s="217"/>
      <c r="H53" s="218"/>
      <c r="I53" s="208" t="s">
        <v>540</v>
      </c>
      <c r="J53" s="420" t="str">
        <f t="shared" si="0"/>
        <v>6-10．</v>
      </c>
      <c r="K53" s="421" t="str">
        <f t="shared" si="1"/>
        <v/>
      </c>
    </row>
    <row r="54" spans="1:11" s="208" customFormat="1" ht="34.5" customHeight="1" x14ac:dyDescent="0.25">
      <c r="A54" s="212"/>
      <c r="B54" s="213" t="s">
        <v>786</v>
      </c>
      <c r="C54" s="214" t="str">
        <f>VLOOKUP(I54,テールランプ取付位置,VLOOKUP($E$1,車種仕様番号,2,0),0)</f>
        <v>標準</v>
      </c>
      <c r="D54" s="282" t="s">
        <v>623</v>
      </c>
      <c r="E54" s="215"/>
      <c r="F54" s="234"/>
      <c r="G54" s="217"/>
      <c r="H54" s="218"/>
      <c r="I54" s="208" t="s">
        <v>1485</v>
      </c>
      <c r="J54" s="420" t="str">
        <f t="shared" si="0"/>
        <v>7-1．</v>
      </c>
      <c r="K54" s="421" t="str">
        <f t="shared" si="1"/>
        <v/>
      </c>
    </row>
    <row r="55" spans="1:11" s="208" customFormat="1" ht="34.5" customHeight="1" x14ac:dyDescent="0.25">
      <c r="A55" s="212"/>
      <c r="B55" s="222"/>
      <c r="C55" s="214" t="str">
        <f>VLOOKUP(I55,電装パネル,VLOOKUP($E$1,車種仕様番号,2,0),0)</f>
        <v>標準</v>
      </c>
      <c r="D55" s="282" t="s">
        <v>20</v>
      </c>
      <c r="E55" s="215"/>
      <c r="F55" s="234"/>
      <c r="G55" s="217"/>
      <c r="H55" s="218"/>
      <c r="I55" s="208" t="s">
        <v>913</v>
      </c>
      <c r="J55" s="420" t="str">
        <f t="shared" si="0"/>
        <v>7-2．</v>
      </c>
      <c r="K55" s="421" t="str">
        <f t="shared" si="1"/>
        <v/>
      </c>
    </row>
    <row r="56" spans="1:11" s="208" customFormat="1" ht="34.5" customHeight="1" x14ac:dyDescent="0.25">
      <c r="A56" s="212"/>
      <c r="B56" s="222"/>
      <c r="C56" s="214" t="str">
        <f>VLOOKUP(I56,設定・解除スイッチ,VLOOKUP($E$1,車種仕様番号,2,0),0)</f>
        <v>標準</v>
      </c>
      <c r="D56" s="282" t="s">
        <v>21</v>
      </c>
      <c r="E56" s="215"/>
      <c r="F56" s="234"/>
      <c r="G56" s="217"/>
      <c r="H56" s="218"/>
      <c r="I56" s="208" t="s">
        <v>1477</v>
      </c>
      <c r="J56" s="420" t="str">
        <f t="shared" si="0"/>
        <v>7-3．</v>
      </c>
      <c r="K56" s="421" t="str">
        <f t="shared" si="1"/>
        <v/>
      </c>
    </row>
    <row r="57" spans="1:11" s="208" customFormat="1" ht="34.5" customHeight="1" x14ac:dyDescent="0.25">
      <c r="A57" s="212"/>
      <c r="B57" s="222"/>
      <c r="C57" s="214" t="str">
        <f>VLOOKUP(I57,ＰＴＯ「ＯＮ」連動ハザード,VLOOKUP($E$1,車種仕様番号,2,0),0)</f>
        <v>ＯＰ</v>
      </c>
      <c r="D57" s="282" t="s">
        <v>22</v>
      </c>
      <c r="E57" s="215"/>
      <c r="F57" s="234"/>
      <c r="G57" s="217"/>
      <c r="H57" s="218"/>
      <c r="I57" s="208" t="s">
        <v>1526</v>
      </c>
      <c r="J57" s="420" t="str">
        <f t="shared" si="0"/>
        <v>7-4．</v>
      </c>
      <c r="K57" s="421" t="str">
        <f t="shared" si="1"/>
        <v/>
      </c>
    </row>
    <row r="58" spans="1:11" s="208" customFormat="1" ht="34.5" customHeight="1" x14ac:dyDescent="0.25">
      <c r="A58" s="212"/>
      <c r="B58" s="222"/>
      <c r="C58" s="214" t="str">
        <f>VLOOKUP(I58,ライセンスプレート受,VLOOKUP($E$1,車種仕様番号,2,0),0)</f>
        <v>標準</v>
      </c>
      <c r="D58" s="282" t="s">
        <v>624</v>
      </c>
      <c r="E58" s="215"/>
      <c r="F58" s="234"/>
      <c r="G58" s="217"/>
      <c r="H58" s="218"/>
      <c r="I58" s="208" t="s">
        <v>1486</v>
      </c>
      <c r="J58" s="420" t="str">
        <f t="shared" si="0"/>
        <v>7-5．</v>
      </c>
      <c r="K58" s="421" t="str">
        <f t="shared" si="1"/>
        <v/>
      </c>
    </row>
    <row r="59" spans="1:11" s="208" customFormat="1" ht="34.5" customHeight="1" x14ac:dyDescent="0.25">
      <c r="A59" s="212"/>
      <c r="B59" s="222"/>
      <c r="C59" s="214" t="str">
        <f>VLOOKUP(I59,「作業中」表示燈,VLOOKUP($E$1,車種仕様番号,2,0),0)</f>
        <v>標準</v>
      </c>
      <c r="D59" s="282" t="s">
        <v>633</v>
      </c>
      <c r="E59" s="215"/>
      <c r="F59" s="234"/>
      <c r="G59" s="217"/>
      <c r="H59" s="218"/>
      <c r="I59" s="208" t="s">
        <v>792</v>
      </c>
      <c r="J59" s="420" t="str">
        <f t="shared" si="0"/>
        <v>7-6．</v>
      </c>
      <c r="K59" s="421" t="str">
        <f t="shared" si="1"/>
        <v/>
      </c>
    </row>
    <row r="60" spans="1:11" s="208" customFormat="1" ht="34.5" customHeight="1" x14ac:dyDescent="0.25">
      <c r="A60" s="212"/>
      <c r="B60" s="222"/>
      <c r="C60" s="214" t="str">
        <f>VLOOKUP(I60,バックランプ取付位置,VLOOKUP($E$1,車種仕様番号,2,0),0)</f>
        <v>標準</v>
      </c>
      <c r="D60" s="282" t="s">
        <v>625</v>
      </c>
      <c r="E60" s="215"/>
      <c r="F60" s="234"/>
      <c r="G60" s="217"/>
      <c r="H60" s="218"/>
      <c r="I60" s="208" t="s">
        <v>1487</v>
      </c>
      <c r="J60" s="420" t="str">
        <f t="shared" si="0"/>
        <v>7-7．</v>
      </c>
      <c r="K60" s="421" t="str">
        <f t="shared" si="1"/>
        <v/>
      </c>
    </row>
    <row r="61" spans="1:11" s="208" customFormat="1" ht="34.5" customHeight="1" x14ac:dyDescent="0.25">
      <c r="A61" s="212"/>
      <c r="B61" s="222"/>
      <c r="C61" s="214" t="str">
        <f>VLOOKUP(I61,バックランププロテクタ,VLOOKUP($E$1,車種仕様番号,2,0),0)</f>
        <v>標準</v>
      </c>
      <c r="D61" s="282" t="s">
        <v>634</v>
      </c>
      <c r="E61" s="215"/>
      <c r="F61" s="234"/>
      <c r="G61" s="217"/>
      <c r="H61" s="218"/>
      <c r="I61" s="208" t="s">
        <v>792</v>
      </c>
      <c r="J61" s="420" t="str">
        <f t="shared" si="0"/>
        <v>7-8．</v>
      </c>
      <c r="K61" s="421" t="str">
        <f t="shared" si="1"/>
        <v/>
      </c>
    </row>
    <row r="62" spans="1:11" s="208" customFormat="1" ht="34.5" customHeight="1" x14ac:dyDescent="0.25">
      <c r="A62" s="212"/>
      <c r="B62" s="222"/>
      <c r="C62" s="214" t="str">
        <f>VLOOKUP(I62,後方確認用テレビカメラシステム,VLOOKUP($E$1,車種仕様番号,2,0),0)</f>
        <v>ＯＰ</v>
      </c>
      <c r="D62" s="282" t="s">
        <v>635</v>
      </c>
      <c r="E62" s="215"/>
      <c r="F62" s="234"/>
      <c r="G62" s="217"/>
      <c r="H62" s="218"/>
      <c r="I62" s="208" t="s">
        <v>1527</v>
      </c>
      <c r="J62" s="420" t="str">
        <f t="shared" si="0"/>
        <v>7-9．</v>
      </c>
      <c r="K62" s="421" t="str">
        <f t="shared" si="1"/>
        <v/>
      </c>
    </row>
    <row r="63" spans="1:11" s="208" customFormat="1" ht="34.5" customHeight="1" x14ac:dyDescent="0.25">
      <c r="A63" s="212"/>
      <c r="B63" s="447"/>
      <c r="C63" s="214" t="str">
        <f>VLOOKUP(I63,後方確認用テレビカメラＢＫＴ,VLOOKUP($E$1,車種仕様番号,2,0),0)</f>
        <v>ＯＰ</v>
      </c>
      <c r="D63" s="283" t="s">
        <v>23</v>
      </c>
      <c r="E63" s="215"/>
      <c r="F63" s="240"/>
      <c r="G63" s="217"/>
      <c r="H63" s="218"/>
      <c r="I63" s="208" t="s">
        <v>916</v>
      </c>
      <c r="J63" s="420" t="str">
        <f t="shared" si="0"/>
        <v>7-10．</v>
      </c>
      <c r="K63" s="421" t="str">
        <f t="shared" si="1"/>
        <v/>
      </c>
    </row>
    <row r="64" spans="1:11" s="208" customFormat="1" ht="34.5" customHeight="1" x14ac:dyDescent="0.25">
      <c r="A64" s="212"/>
      <c r="B64" s="446"/>
      <c r="C64" s="214" t="str">
        <f>VLOOKUP(I64,作業灯,VLOOKUP($E$1,車種仕様番号,2,0),0)</f>
        <v>ＯＰ</v>
      </c>
      <c r="D64" s="282" t="s">
        <v>693</v>
      </c>
      <c r="E64" s="215"/>
      <c r="F64" s="234"/>
      <c r="G64" s="217"/>
      <c r="H64" s="218"/>
      <c r="I64" s="208" t="s">
        <v>1544</v>
      </c>
      <c r="J64" s="420" t="str">
        <f t="shared" si="0"/>
        <v>7-11．</v>
      </c>
      <c r="K64" s="421" t="str">
        <f t="shared" si="1"/>
        <v/>
      </c>
    </row>
    <row r="65" spans="1:16" s="208" customFormat="1" ht="34.5" customHeight="1" x14ac:dyDescent="0.25">
      <c r="A65" s="212"/>
      <c r="B65" s="222"/>
      <c r="C65" s="214" t="str">
        <f>VLOOKUP(I65,作業灯スイッチ,VLOOKUP($E$1,車種仕様番号,2,0),0)</f>
        <v>ＯＰ</v>
      </c>
      <c r="D65" s="246" t="s">
        <v>694</v>
      </c>
      <c r="E65" s="236"/>
      <c r="F65" s="241"/>
      <c r="G65" s="217"/>
      <c r="H65" s="218"/>
      <c r="I65" s="208" t="s">
        <v>1543</v>
      </c>
      <c r="J65" s="420" t="str">
        <f t="shared" si="0"/>
        <v>7-12．</v>
      </c>
      <c r="K65" s="421" t="str">
        <f t="shared" si="1"/>
        <v/>
      </c>
    </row>
    <row r="66" spans="1:16" s="208" customFormat="1" ht="34.5" customHeight="1" x14ac:dyDescent="0.25">
      <c r="A66" s="212"/>
      <c r="B66" s="222"/>
      <c r="C66" s="214" t="str">
        <f>VLOOKUP(I66,補助方向指示器,VLOOKUP($E$1,車種仕様番号,2,0),0)</f>
        <v>標準</v>
      </c>
      <c r="D66" s="282" t="s">
        <v>24</v>
      </c>
      <c r="E66" s="215"/>
      <c r="F66" s="234"/>
      <c r="G66" s="217"/>
      <c r="H66" s="218"/>
      <c r="I66" s="208" t="s">
        <v>792</v>
      </c>
      <c r="J66" s="420" t="str">
        <f t="shared" si="0"/>
        <v>7-13．</v>
      </c>
      <c r="K66" s="421" t="str">
        <f t="shared" si="1"/>
        <v/>
      </c>
      <c r="L66" s="220"/>
      <c r="M66" s="220"/>
      <c r="N66" s="220"/>
      <c r="O66" s="220"/>
      <c r="P66" s="220"/>
    </row>
    <row r="67" spans="1:16" s="208" customFormat="1" ht="34.5" customHeight="1" x14ac:dyDescent="0.25">
      <c r="A67" s="212"/>
      <c r="B67" s="222"/>
      <c r="C67" s="214" t="str">
        <f>VLOOKUP(I67,タイヤ灯,VLOOKUP($E$1,車種仕様番号,2,0),0)</f>
        <v>特仕</v>
      </c>
      <c r="D67" s="282" t="s">
        <v>562</v>
      </c>
      <c r="E67" s="215"/>
      <c r="F67" s="234"/>
      <c r="G67" s="217"/>
      <c r="H67" s="218"/>
      <c r="I67" s="208" t="s">
        <v>524</v>
      </c>
      <c r="J67" s="420" t="str">
        <f t="shared" ref="J67:J117" si="2">LEFT(D67,FIND("．",D67))</f>
        <v>7-14．</v>
      </c>
      <c r="K67" s="421" t="str">
        <f t="shared" ref="K67:K117" si="3">IF(C67="特仕",J67,"")</f>
        <v>7-14．</v>
      </c>
      <c r="L67" s="220"/>
      <c r="M67" s="220"/>
      <c r="N67" s="220"/>
      <c r="O67" s="220"/>
      <c r="P67" s="220"/>
    </row>
    <row r="68" spans="1:16" s="208" customFormat="1" ht="34.5" customHeight="1" x14ac:dyDescent="0.25">
      <c r="A68" s="212"/>
      <c r="B68" s="222"/>
      <c r="C68" s="214" t="str">
        <f>VLOOKUP(I68,マーカーランプ,VLOOKUP($E$1,車種仕様番号,2,0),0)</f>
        <v>標準</v>
      </c>
      <c r="D68" s="282" t="s">
        <v>563</v>
      </c>
      <c r="E68" s="215"/>
      <c r="F68" s="242"/>
      <c r="G68" s="217"/>
      <c r="H68" s="218"/>
      <c r="I68" s="208" t="s">
        <v>792</v>
      </c>
      <c r="J68" s="420" t="str">
        <f t="shared" si="2"/>
        <v>7-15．</v>
      </c>
      <c r="K68" s="421" t="str">
        <f t="shared" si="3"/>
        <v/>
      </c>
      <c r="L68" s="220"/>
      <c r="M68" s="220"/>
      <c r="N68" s="220"/>
      <c r="O68" s="220"/>
      <c r="P68" s="220"/>
    </row>
    <row r="69" spans="1:16" s="208" customFormat="1" ht="34.5" customHeight="1" x14ac:dyDescent="0.25">
      <c r="A69" s="212"/>
      <c r="B69" s="222"/>
      <c r="C69" s="214" t="str">
        <f>VLOOKUP(I69,ロータリーソレノイド式エンジン制御,VLOOKUP($E$1,車種仕様番号,2,0),0)</f>
        <v>標準</v>
      </c>
      <c r="D69" s="282" t="s">
        <v>25</v>
      </c>
      <c r="E69" s="215"/>
      <c r="F69" s="234"/>
      <c r="G69" s="217"/>
      <c r="H69" s="218"/>
      <c r="I69" s="208" t="s">
        <v>792</v>
      </c>
      <c r="J69" s="420" t="str">
        <f t="shared" si="2"/>
        <v>7-16．</v>
      </c>
      <c r="K69" s="421" t="str">
        <f t="shared" si="3"/>
        <v/>
      </c>
    </row>
    <row r="70" spans="1:16" s="208" customFormat="1" ht="34.5" customHeight="1" x14ac:dyDescent="0.25">
      <c r="A70" s="212"/>
      <c r="B70" s="222"/>
      <c r="C70" s="214" t="str">
        <f>VLOOKUP(I70,オルゴール,VLOOKUP($E$1,車種仕様番号,2,0),0)</f>
        <v>ＯＰ</v>
      </c>
      <c r="D70" s="282" t="s">
        <v>32</v>
      </c>
      <c r="E70" s="215"/>
      <c r="F70" s="234"/>
      <c r="G70" s="217"/>
      <c r="H70" s="218"/>
      <c r="I70" s="208" t="s">
        <v>582</v>
      </c>
      <c r="J70" s="420" t="str">
        <f t="shared" si="2"/>
        <v>7-17．</v>
      </c>
      <c r="K70" s="421" t="str">
        <f t="shared" si="3"/>
        <v/>
      </c>
    </row>
    <row r="71" spans="1:16" s="208" customFormat="1" ht="34.5" customHeight="1" x14ac:dyDescent="0.25">
      <c r="A71" s="212"/>
      <c r="B71" s="222"/>
      <c r="C71" s="214" t="str">
        <f>VLOOKUP(I71,過積載警報装置,VLOOKUP($E$1,車種仕様番号,2,0),0)</f>
        <v>標準</v>
      </c>
      <c r="D71" s="282" t="s">
        <v>33</v>
      </c>
      <c r="E71" s="215"/>
      <c r="F71" s="240"/>
      <c r="G71" s="217"/>
      <c r="H71" s="218"/>
      <c r="I71" s="208" t="s">
        <v>792</v>
      </c>
      <c r="J71" s="420" t="str">
        <f t="shared" si="2"/>
        <v>7-18．</v>
      </c>
      <c r="K71" s="421" t="str">
        <f t="shared" si="3"/>
        <v/>
      </c>
    </row>
    <row r="72" spans="1:16" s="208" customFormat="1" ht="34.5" customHeight="1" x14ac:dyDescent="0.25">
      <c r="A72" s="212"/>
      <c r="B72" s="222"/>
      <c r="C72" s="214" t="str">
        <f>VLOOKUP(I72,アクセルストッパ,VLOOKUP($E$1,車種仕様番号,2,0),0)</f>
        <v>標準</v>
      </c>
      <c r="D72" s="282" t="s">
        <v>34</v>
      </c>
      <c r="E72" s="215"/>
      <c r="F72" s="234"/>
      <c r="G72" s="217"/>
      <c r="H72" s="218"/>
      <c r="I72" s="208" t="s">
        <v>792</v>
      </c>
      <c r="J72" s="420" t="str">
        <f t="shared" si="2"/>
        <v>7-19．</v>
      </c>
      <c r="K72" s="421" t="str">
        <f t="shared" si="3"/>
        <v/>
      </c>
    </row>
    <row r="73" spans="1:16" s="208" customFormat="1" ht="34.5" customHeight="1" x14ac:dyDescent="0.25">
      <c r="A73" s="212"/>
      <c r="B73" s="222"/>
      <c r="C73" s="214" t="str">
        <f>VLOOKUP(I73,ＰＴＯ表示ランプ,VLOOKUP($E$1,車種仕様番号,2,0),0)</f>
        <v>標準</v>
      </c>
      <c r="D73" s="282" t="s">
        <v>26</v>
      </c>
      <c r="E73" s="215"/>
      <c r="F73" s="234"/>
      <c r="G73" s="217"/>
      <c r="H73" s="218"/>
      <c r="I73" s="208" t="s">
        <v>792</v>
      </c>
      <c r="J73" s="420" t="str">
        <f t="shared" si="2"/>
        <v>7-20．</v>
      </c>
      <c r="K73" s="421" t="str">
        <f t="shared" si="3"/>
        <v/>
      </c>
    </row>
    <row r="74" spans="1:16" s="208" customFormat="1" ht="34.5" customHeight="1" x14ac:dyDescent="0.25">
      <c r="A74" s="212"/>
      <c r="B74" s="222"/>
      <c r="C74" s="214" t="str">
        <f>VLOOKUP(I74,配線接続位置,VLOOKUP($E$1,車種仕様番号,2,0),0)</f>
        <v>標準</v>
      </c>
      <c r="D74" s="282" t="s">
        <v>27</v>
      </c>
      <c r="E74" s="215"/>
      <c r="F74" s="234"/>
      <c r="G74" s="217"/>
      <c r="H74" s="218"/>
      <c r="I74" s="208" t="s">
        <v>926</v>
      </c>
      <c r="J74" s="420" t="str">
        <f t="shared" si="2"/>
        <v>7-21．</v>
      </c>
      <c r="K74" s="421" t="str">
        <f t="shared" si="3"/>
        <v/>
      </c>
    </row>
    <row r="75" spans="1:16" s="208" customFormat="1" ht="34.5" customHeight="1" x14ac:dyDescent="0.25">
      <c r="A75" s="212"/>
      <c r="B75" s="222"/>
      <c r="C75" s="214" t="str">
        <f>VLOOKUP(I75,ＰＴＯ抜き忘れ防止警報,VLOOKUP($E$1,車種仕様番号,2,0),0)</f>
        <v>標準</v>
      </c>
      <c r="D75" s="282" t="s">
        <v>28</v>
      </c>
      <c r="E75" s="215"/>
      <c r="F75" s="234"/>
      <c r="G75" s="217"/>
      <c r="H75" s="218"/>
      <c r="I75" s="208" t="s">
        <v>792</v>
      </c>
      <c r="J75" s="420" t="str">
        <f t="shared" si="2"/>
        <v>7-22．</v>
      </c>
      <c r="K75" s="421" t="str">
        <f t="shared" si="3"/>
        <v/>
      </c>
    </row>
    <row r="76" spans="1:16" s="208" customFormat="1" ht="34.5" customHeight="1" x14ac:dyDescent="0.25">
      <c r="A76" s="212"/>
      <c r="B76" s="222"/>
      <c r="C76" s="214" t="str">
        <f>VLOOKUP(I76,左折後退音声アラーム,VLOOKUP($E$1,車種仕様番号,2,0),0)</f>
        <v>標準</v>
      </c>
      <c r="D76" s="282" t="s">
        <v>29</v>
      </c>
      <c r="E76" s="215"/>
      <c r="F76" s="234"/>
      <c r="G76" s="217"/>
      <c r="H76" s="218"/>
      <c r="I76" s="208" t="s">
        <v>792</v>
      </c>
      <c r="J76" s="420" t="str">
        <f t="shared" si="2"/>
        <v>7-23．</v>
      </c>
      <c r="K76" s="421" t="str">
        <f t="shared" si="3"/>
        <v/>
      </c>
    </row>
    <row r="77" spans="1:16" s="208" customFormat="1" ht="34.5" customHeight="1" x14ac:dyDescent="0.25">
      <c r="A77" s="212"/>
      <c r="B77" s="222"/>
      <c r="C77" s="214" t="str">
        <f>VLOOKUP(I77,音声アラーム,VLOOKUP($E$1,車種仕様番号,2,0),0)</f>
        <v>標準</v>
      </c>
      <c r="D77" s="282" t="s">
        <v>1060</v>
      </c>
      <c r="E77" s="215"/>
      <c r="F77" s="234"/>
      <c r="G77" s="217"/>
      <c r="H77" s="218"/>
      <c r="I77" s="208" t="s">
        <v>792</v>
      </c>
      <c r="J77" s="420" t="str">
        <f t="shared" si="2"/>
        <v>7-24．</v>
      </c>
      <c r="K77" s="421" t="str">
        <f t="shared" si="3"/>
        <v/>
      </c>
    </row>
    <row r="78" spans="1:16" s="208" customFormat="1" ht="34.5" customHeight="1" x14ac:dyDescent="0.25">
      <c r="A78" s="212"/>
      <c r="B78" s="277"/>
      <c r="C78" s="214" t="str">
        <f>VLOOKUP(I78,難燃処理,VLOOKUP($E$1,車種仕様番号,2,0),0)</f>
        <v>標準</v>
      </c>
      <c r="D78" s="282" t="s">
        <v>1170</v>
      </c>
      <c r="E78" s="215"/>
      <c r="F78" s="234"/>
      <c r="G78" s="217"/>
      <c r="H78" s="218"/>
      <c r="I78" s="208" t="s">
        <v>1477</v>
      </c>
      <c r="J78" s="420" t="str">
        <f t="shared" si="2"/>
        <v>7-25．</v>
      </c>
      <c r="K78" s="421" t="str">
        <f t="shared" si="3"/>
        <v/>
      </c>
    </row>
    <row r="79" spans="1:16" s="208" customFormat="1" ht="34.5" customHeight="1" x14ac:dyDescent="0.25">
      <c r="A79" s="212"/>
      <c r="B79" s="213" t="s">
        <v>787</v>
      </c>
      <c r="C79" s="214" t="str">
        <f>VLOOKUP(I79,道具箱,VLOOKUP($E$1,車種仕様番号,2,0),0)</f>
        <v>ＯＰ</v>
      </c>
      <c r="D79" s="282" t="s">
        <v>626</v>
      </c>
      <c r="E79" s="215"/>
      <c r="F79" s="233"/>
      <c r="G79" s="217"/>
      <c r="H79" s="218"/>
      <c r="I79" s="208" t="s">
        <v>1071</v>
      </c>
      <c r="J79" s="420" t="str">
        <f t="shared" si="2"/>
        <v>8-1．</v>
      </c>
      <c r="K79" s="421" t="str">
        <f t="shared" si="3"/>
        <v/>
      </c>
    </row>
    <row r="80" spans="1:16" s="208" customFormat="1" ht="34.5" customHeight="1" x14ac:dyDescent="0.25">
      <c r="A80" s="212"/>
      <c r="B80" s="222"/>
      <c r="C80" s="214" t="str">
        <f>VLOOKUP(I80,道具箱追加,VLOOKUP($E$1,車種仕様番号,2,0),0)</f>
        <v>ＯＰ</v>
      </c>
      <c r="D80" s="282" t="s">
        <v>30</v>
      </c>
      <c r="E80" s="215"/>
      <c r="F80" s="234"/>
      <c r="G80" s="217"/>
      <c r="H80" s="218"/>
      <c r="I80" s="208" t="s">
        <v>1071</v>
      </c>
      <c r="J80" s="420" t="str">
        <f t="shared" si="2"/>
        <v>8-2．</v>
      </c>
      <c r="K80" s="421" t="str">
        <f t="shared" si="3"/>
        <v/>
      </c>
    </row>
    <row r="81" spans="1:11" s="208" customFormat="1" ht="34.5" customHeight="1" x14ac:dyDescent="0.25">
      <c r="A81" s="212"/>
      <c r="B81" s="222"/>
      <c r="C81" s="214" t="str">
        <f>VLOOKUP(I81,手袋入れ,VLOOKUP($E$1,車種仕様番号,2,0),0)</f>
        <v>標準</v>
      </c>
      <c r="D81" s="282" t="s">
        <v>684</v>
      </c>
      <c r="E81" s="215"/>
      <c r="F81" s="234"/>
      <c r="G81" s="217"/>
      <c r="H81" s="218"/>
      <c r="I81" s="208" t="s">
        <v>792</v>
      </c>
      <c r="J81" s="420" t="str">
        <f t="shared" si="2"/>
        <v>8-3．</v>
      </c>
      <c r="K81" s="421" t="str">
        <f t="shared" si="3"/>
        <v/>
      </c>
    </row>
    <row r="82" spans="1:11" s="208" customFormat="1" ht="34.5" customHeight="1" x14ac:dyDescent="0.25">
      <c r="A82" s="212"/>
      <c r="B82" s="222"/>
      <c r="C82" s="214" t="str">
        <f>VLOOKUP(I82,スコップ掛け取付,VLOOKUP($E$1,車種仕様番号,2,0),0)</f>
        <v>標準</v>
      </c>
      <c r="D82" s="282" t="s">
        <v>685</v>
      </c>
      <c r="E82" s="215"/>
      <c r="F82" s="234"/>
      <c r="G82" s="217"/>
      <c r="H82" s="218"/>
      <c r="I82" s="208" t="s">
        <v>792</v>
      </c>
      <c r="J82" s="420" t="str">
        <f t="shared" si="2"/>
        <v>8-4．</v>
      </c>
      <c r="K82" s="421" t="str">
        <f t="shared" si="3"/>
        <v/>
      </c>
    </row>
    <row r="83" spans="1:11" s="208" customFormat="1" ht="34.5" customHeight="1" x14ac:dyDescent="0.25">
      <c r="A83" s="212"/>
      <c r="B83" s="222"/>
      <c r="C83" s="214" t="str">
        <f>VLOOKUP(I83,ホーキ立て,VLOOKUP($E$1,車種仕様番号,2,0),0)</f>
        <v>ＯＰ</v>
      </c>
      <c r="D83" s="282" t="s">
        <v>564</v>
      </c>
      <c r="E83" s="215"/>
      <c r="F83" s="234"/>
      <c r="G83" s="217"/>
      <c r="H83" s="218"/>
      <c r="I83" s="208" t="s">
        <v>589</v>
      </c>
      <c r="J83" s="420" t="str">
        <f t="shared" si="2"/>
        <v>8-5．</v>
      </c>
      <c r="K83" s="421" t="str">
        <f t="shared" si="3"/>
        <v/>
      </c>
    </row>
    <row r="84" spans="1:11" s="208" customFormat="1" ht="34.5" customHeight="1" x14ac:dyDescent="0.25">
      <c r="A84" s="212"/>
      <c r="B84" s="222"/>
      <c r="C84" s="214" t="str">
        <f>VLOOKUP(I84,洗車ブラシ立て,VLOOKUP($E$1,車種仕様番号,2,0),0)</f>
        <v>標準</v>
      </c>
      <c r="D84" s="282" t="s">
        <v>686</v>
      </c>
      <c r="E84" s="215"/>
      <c r="F84" s="234"/>
      <c r="G84" s="217"/>
      <c r="H84" s="218"/>
      <c r="I84" s="208" t="s">
        <v>792</v>
      </c>
      <c r="J84" s="420" t="str">
        <f t="shared" si="2"/>
        <v>8-6．</v>
      </c>
      <c r="K84" s="421" t="str">
        <f t="shared" si="3"/>
        <v/>
      </c>
    </row>
    <row r="85" spans="1:11" s="208" customFormat="1" ht="34.5" customHeight="1" x14ac:dyDescent="0.25">
      <c r="A85" s="212"/>
      <c r="B85" s="222"/>
      <c r="C85" s="214" t="str">
        <f>VLOOKUP(I85,ちりとり入れ,VLOOKUP($E$1,車種仕様番号,2,0),0)</f>
        <v>標準</v>
      </c>
      <c r="D85" s="282" t="s">
        <v>687</v>
      </c>
      <c r="E85" s="215"/>
      <c r="F85" s="234"/>
      <c r="G85" s="217"/>
      <c r="H85" s="218"/>
      <c r="I85" s="208" t="s">
        <v>792</v>
      </c>
      <c r="J85" s="420" t="str">
        <f t="shared" si="2"/>
        <v>8-7．</v>
      </c>
      <c r="K85" s="421" t="str">
        <f t="shared" si="3"/>
        <v/>
      </c>
    </row>
    <row r="86" spans="1:11" s="208" customFormat="1" ht="34.5" customHeight="1" x14ac:dyDescent="0.25">
      <c r="A86" s="212"/>
      <c r="B86" s="222"/>
      <c r="C86" s="214" t="str">
        <f>VLOOKUP(I86,手板入れ,VLOOKUP($E$1,車種仕様番号,2,0),0)</f>
        <v>標準</v>
      </c>
      <c r="D86" s="282" t="s">
        <v>688</v>
      </c>
      <c r="E86" s="215"/>
      <c r="F86" s="234"/>
      <c r="G86" s="217"/>
      <c r="H86" s="218"/>
      <c r="I86" s="208" t="s">
        <v>792</v>
      </c>
      <c r="J86" s="420" t="str">
        <f t="shared" si="2"/>
        <v>8-8．</v>
      </c>
      <c r="K86" s="421" t="str">
        <f t="shared" si="3"/>
        <v/>
      </c>
    </row>
    <row r="87" spans="1:11" s="208" customFormat="1" ht="34.5" customHeight="1" x14ac:dyDescent="0.25">
      <c r="A87" s="212"/>
      <c r="B87" s="446"/>
      <c r="C87" s="214" t="str">
        <f>VLOOKUP(I87,箕掛け,VLOOKUP($E$1,車種仕様番号,2,0),0)</f>
        <v>標準</v>
      </c>
      <c r="D87" s="282" t="s">
        <v>689</v>
      </c>
      <c r="E87" s="215"/>
      <c r="F87" s="240"/>
      <c r="G87" s="217"/>
      <c r="H87" s="218"/>
      <c r="I87" s="208" t="s">
        <v>1477</v>
      </c>
      <c r="J87" s="420" t="str">
        <f t="shared" si="2"/>
        <v>8-9．</v>
      </c>
      <c r="K87" s="421" t="str">
        <f t="shared" si="3"/>
        <v/>
      </c>
    </row>
    <row r="88" spans="1:11" s="208" customFormat="1" ht="34.5" customHeight="1" x14ac:dyDescent="0.25">
      <c r="A88" s="212"/>
      <c r="B88" s="222"/>
      <c r="C88" s="214" t="str">
        <f>VLOOKUP(I88,タオル掛け,VLOOKUP($E$1,車種仕様番号,2,0),0)</f>
        <v>標準</v>
      </c>
      <c r="D88" s="282" t="s">
        <v>690</v>
      </c>
      <c r="E88" s="215"/>
      <c r="F88" s="240"/>
      <c r="G88" s="217"/>
      <c r="H88" s="218"/>
      <c r="I88" s="208" t="s">
        <v>1477</v>
      </c>
      <c r="J88" s="420" t="str">
        <f t="shared" si="2"/>
        <v>8-10．</v>
      </c>
      <c r="K88" s="421" t="str">
        <f t="shared" si="3"/>
        <v/>
      </c>
    </row>
    <row r="89" spans="1:11" s="208" customFormat="1" ht="34.5" customHeight="1" x14ac:dyDescent="0.25">
      <c r="A89" s="212"/>
      <c r="B89" s="222"/>
      <c r="C89" s="214" t="str">
        <f>VLOOKUP(I89,車輪止め,VLOOKUP($E$1,車種仕様番号,2,0),0)</f>
        <v>ＯＰ</v>
      </c>
      <c r="D89" s="282" t="s">
        <v>565</v>
      </c>
      <c r="E89" s="215"/>
      <c r="F89" s="234"/>
      <c r="G89" s="217"/>
      <c r="H89" s="218"/>
      <c r="I89" s="208" t="s">
        <v>599</v>
      </c>
      <c r="J89" s="420" t="str">
        <f t="shared" si="2"/>
        <v>8-11．</v>
      </c>
      <c r="K89" s="421" t="str">
        <f t="shared" si="3"/>
        <v/>
      </c>
    </row>
    <row r="90" spans="1:11" s="208" customFormat="1" ht="34.5" customHeight="1" x14ac:dyDescent="0.25">
      <c r="A90" s="212"/>
      <c r="B90" s="222"/>
      <c r="C90" s="214" t="str">
        <f>VLOOKUP(I90,消火器,VLOOKUP($E$1,車種仕様番号,2,0),0)</f>
        <v>標準</v>
      </c>
      <c r="D90" s="282" t="s">
        <v>691</v>
      </c>
      <c r="E90" s="215"/>
      <c r="F90" s="234"/>
      <c r="G90" s="217"/>
      <c r="H90" s="218"/>
      <c r="I90" s="208" t="s">
        <v>600</v>
      </c>
      <c r="J90" s="420" t="str">
        <f t="shared" si="2"/>
        <v>8-12．</v>
      </c>
      <c r="K90" s="421" t="str">
        <f t="shared" si="3"/>
        <v/>
      </c>
    </row>
    <row r="91" spans="1:11" s="208" customFormat="1" ht="34.5" customHeight="1" x14ac:dyDescent="0.25">
      <c r="A91" s="212"/>
      <c r="B91" s="277"/>
      <c r="C91" s="214" t="str">
        <f>VLOOKUP(I91,消火器カバー,VLOOKUP($E$1,車種仕様番号,2,0),0)</f>
        <v>標準</v>
      </c>
      <c r="D91" s="282" t="s">
        <v>692</v>
      </c>
      <c r="E91" s="680"/>
      <c r="F91" s="681"/>
      <c r="G91" s="243"/>
      <c r="H91" s="244"/>
      <c r="I91" s="208" t="s">
        <v>1477</v>
      </c>
      <c r="J91" s="420" t="str">
        <f t="shared" si="2"/>
        <v>8-13．</v>
      </c>
      <c r="K91" s="421" t="str">
        <f t="shared" si="3"/>
        <v/>
      </c>
    </row>
    <row r="92" spans="1:11" s="208" customFormat="1" ht="34.5" customHeight="1" x14ac:dyDescent="0.25">
      <c r="A92" s="212"/>
      <c r="B92" s="213" t="s">
        <v>638</v>
      </c>
      <c r="C92" s="214" t="str">
        <f>VLOOKUP(I92,耐寒グリース,VLOOKUP($E$1,車種仕様番号,2,0),0)</f>
        <v>標準</v>
      </c>
      <c r="D92" s="282" t="s">
        <v>191</v>
      </c>
      <c r="E92" s="215"/>
      <c r="F92" s="234"/>
      <c r="G92" s="243"/>
      <c r="H92" s="244"/>
      <c r="I92" s="208" t="s">
        <v>1477</v>
      </c>
      <c r="J92" s="420" t="str">
        <f t="shared" si="2"/>
        <v>9-1．</v>
      </c>
      <c r="K92" s="421" t="str">
        <f t="shared" si="3"/>
        <v/>
      </c>
    </row>
    <row r="93" spans="1:11" s="208" customFormat="1" ht="34.5" customHeight="1" x14ac:dyDescent="0.25">
      <c r="A93" s="212"/>
      <c r="B93" s="222"/>
      <c r="C93" s="214" t="str">
        <f>VLOOKUP(I93,積込操作盤ヒーター,VLOOKUP($E$1,車種仕様番号,2,0),0)</f>
        <v>標準</v>
      </c>
      <c r="D93" s="282" t="s">
        <v>192</v>
      </c>
      <c r="E93" s="215"/>
      <c r="F93" s="234"/>
      <c r="G93" s="243"/>
      <c r="H93" s="244"/>
      <c r="I93" s="208" t="s">
        <v>1477</v>
      </c>
      <c r="J93" s="420" t="str">
        <f t="shared" si="2"/>
        <v>9-2．</v>
      </c>
      <c r="K93" s="421" t="str">
        <f t="shared" si="3"/>
        <v/>
      </c>
    </row>
    <row r="94" spans="1:11" s="208" customFormat="1" ht="34.5" customHeight="1" x14ac:dyDescent="0.25">
      <c r="A94" s="212"/>
      <c r="B94" s="277"/>
      <c r="C94" s="214" t="str">
        <f>VLOOKUP(I94,ロータリーソレノイドカバー,VLOOKUP($E$1,車種仕様番号,2,0),0)</f>
        <v>標準</v>
      </c>
      <c r="D94" s="282" t="s">
        <v>193</v>
      </c>
      <c r="E94" s="215"/>
      <c r="F94" s="234"/>
      <c r="G94" s="243"/>
      <c r="H94" s="244"/>
      <c r="I94" s="208" t="s">
        <v>1477</v>
      </c>
      <c r="J94" s="420" t="str">
        <f t="shared" si="2"/>
        <v>9-3．</v>
      </c>
      <c r="K94" s="421" t="str">
        <f t="shared" si="3"/>
        <v/>
      </c>
    </row>
    <row r="95" spans="1:11" s="208" customFormat="1" ht="34.5" customHeight="1" x14ac:dyDescent="0.25">
      <c r="A95" s="212"/>
      <c r="B95" s="213" t="s">
        <v>639</v>
      </c>
      <c r="C95" s="214" t="str">
        <f>VLOOKUP(I95,タイヤキャリア,VLOOKUP($E$1,車種仕様番号,2,0),0)</f>
        <v>標準</v>
      </c>
      <c r="D95" s="282" t="s">
        <v>640</v>
      </c>
      <c r="E95" s="215"/>
      <c r="F95" s="234"/>
      <c r="G95" s="243"/>
      <c r="H95" s="244"/>
      <c r="I95" s="208" t="s">
        <v>1477</v>
      </c>
      <c r="J95" s="420" t="str">
        <f t="shared" si="2"/>
        <v>10-1．</v>
      </c>
      <c r="K95" s="421" t="str">
        <f t="shared" si="3"/>
        <v/>
      </c>
    </row>
    <row r="96" spans="1:11" s="208" customFormat="1" ht="34.5" customHeight="1" x14ac:dyDescent="0.25">
      <c r="A96" s="212"/>
      <c r="B96" s="222"/>
      <c r="C96" s="214" t="str">
        <f>VLOOKUP(I96,ダンボール仕様,VLOOKUP($E$1,車種仕様番号,2,0),0)</f>
        <v>標準</v>
      </c>
      <c r="D96" s="282" t="s">
        <v>31</v>
      </c>
      <c r="E96" s="215"/>
      <c r="F96" s="234"/>
      <c r="G96" s="243"/>
      <c r="H96" s="244"/>
      <c r="I96" s="208" t="s">
        <v>1477</v>
      </c>
      <c r="J96" s="420" t="str">
        <f t="shared" si="2"/>
        <v>10-2．</v>
      </c>
      <c r="K96" s="421" t="str">
        <f t="shared" si="3"/>
        <v/>
      </c>
    </row>
    <row r="97" spans="1:11" s="208" customFormat="1" ht="34.5" customHeight="1" x14ac:dyDescent="0.25">
      <c r="A97" s="212"/>
      <c r="B97" s="277"/>
      <c r="C97" s="214" t="str">
        <f>VLOOKUP(I97,特殊仕様,VLOOKUP($E$1,車種仕様番号,2,0),0)</f>
        <v>特仕</v>
      </c>
      <c r="D97" s="282" t="s">
        <v>35</v>
      </c>
      <c r="E97" s="215"/>
      <c r="F97" s="234"/>
      <c r="G97" s="243"/>
      <c r="H97" s="244"/>
      <c r="I97" s="208" t="s">
        <v>868</v>
      </c>
      <c r="J97" s="420" t="str">
        <f t="shared" si="2"/>
        <v>10-3．</v>
      </c>
      <c r="K97" s="421" t="str">
        <f t="shared" si="3"/>
        <v>10-3．</v>
      </c>
    </row>
    <row r="98" spans="1:11" s="208" customFormat="1" ht="34.5" customHeight="1" x14ac:dyDescent="0.25">
      <c r="A98" s="212"/>
      <c r="B98" s="213" t="s">
        <v>646</v>
      </c>
      <c r="C98" s="214" t="str">
        <f>VLOOKUP(I98,アンダーコート塗布,VLOOKUP($E$1,車種仕様番号,2,0),0)</f>
        <v>標準</v>
      </c>
      <c r="D98" s="282" t="s">
        <v>197</v>
      </c>
      <c r="E98" s="215"/>
      <c r="F98" s="234"/>
      <c r="G98" s="217"/>
      <c r="H98" s="218"/>
      <c r="I98" s="208" t="s">
        <v>1477</v>
      </c>
      <c r="J98" s="420" t="str">
        <f t="shared" si="2"/>
        <v>11-1．</v>
      </c>
      <c r="K98" s="421" t="str">
        <f t="shared" si="3"/>
        <v/>
      </c>
    </row>
    <row r="99" spans="1:11" s="208" customFormat="1" ht="34.5" customHeight="1" x14ac:dyDescent="0.25">
      <c r="A99" s="448"/>
      <c r="B99" s="277"/>
      <c r="C99" s="214" t="str">
        <f>VLOOKUP(I99,標準ラベル類,VLOOKUP($E$1,車種仕様番号,2,0),0)</f>
        <v>標準</v>
      </c>
      <c r="D99" s="282" t="s">
        <v>450</v>
      </c>
      <c r="E99" s="215"/>
      <c r="F99" s="234"/>
      <c r="G99" s="217"/>
      <c r="H99" s="218"/>
      <c r="I99" s="208" t="s">
        <v>1488</v>
      </c>
      <c r="J99" s="415"/>
      <c r="K99" s="220"/>
    </row>
    <row r="100" spans="1:11" s="208" customFormat="1" ht="34.5" customHeight="1" x14ac:dyDescent="0.3">
      <c r="A100" s="448"/>
      <c r="B100" s="392" t="s">
        <v>647</v>
      </c>
      <c r="C100" s="214" t="str">
        <f>IF(I100="無し",IF(G100="","標準","数量削除"),IF(I100="別紙（補助仕様書）参照",IF(G100="","数量入力","特仕"),IF(G100="","数量入力","ＯＰ")))</f>
        <v>標準</v>
      </c>
      <c r="D100" s="282" t="s">
        <v>641</v>
      </c>
      <c r="E100" s="215"/>
      <c r="F100" s="245"/>
      <c r="G100" s="217" t="s">
        <v>1081</v>
      </c>
      <c r="H100" s="218"/>
      <c r="I100" s="208" t="s">
        <v>1477</v>
      </c>
      <c r="J100" s="420" t="str">
        <f t="shared" si="2"/>
        <v>12-1．</v>
      </c>
      <c r="K100" s="421" t="str">
        <f t="shared" si="3"/>
        <v/>
      </c>
    </row>
    <row r="101" spans="1:11" s="208" customFormat="1" ht="34.5" customHeight="1" x14ac:dyDescent="0.3">
      <c r="A101" s="448"/>
      <c r="B101" s="406" t="s">
        <v>647</v>
      </c>
      <c r="C101" s="214" t="str">
        <f t="shared" ref="C101:C111" si="4">IF(I101="無し",IF(G101="","標準","数量削除"),IF(I101="別紙（補助仕様書）参照",IF(G101="","数量入力","特仕"),IF(G101="","数量入力","ＯＰ")))</f>
        <v>標準</v>
      </c>
      <c r="D101" s="449" t="s">
        <v>642</v>
      </c>
      <c r="E101" s="215"/>
      <c r="F101" s="245"/>
      <c r="G101" s="217"/>
      <c r="H101" s="218"/>
      <c r="I101" s="208" t="s">
        <v>1477</v>
      </c>
      <c r="J101" s="420" t="str">
        <f t="shared" si="2"/>
        <v>12-2．</v>
      </c>
      <c r="K101" s="421" t="str">
        <f t="shared" si="3"/>
        <v/>
      </c>
    </row>
    <row r="102" spans="1:11" s="208" customFormat="1" ht="34.5" customHeight="1" x14ac:dyDescent="0.3">
      <c r="A102" s="448"/>
      <c r="B102" s="406" t="s">
        <v>647</v>
      </c>
      <c r="C102" s="214" t="str">
        <f t="shared" si="4"/>
        <v>標準</v>
      </c>
      <c r="D102" s="450" t="s">
        <v>844</v>
      </c>
      <c r="E102" s="215"/>
      <c r="F102" s="245"/>
      <c r="G102" s="217"/>
      <c r="H102" s="218"/>
      <c r="I102" s="208" t="s">
        <v>1477</v>
      </c>
      <c r="J102" s="420" t="str">
        <f t="shared" si="2"/>
        <v>12-2．</v>
      </c>
      <c r="K102" s="421" t="str">
        <f t="shared" si="3"/>
        <v/>
      </c>
    </row>
    <row r="103" spans="1:11" s="208" customFormat="1" ht="34.5" customHeight="1" x14ac:dyDescent="0.3">
      <c r="A103" s="448"/>
      <c r="B103" s="406" t="s">
        <v>647</v>
      </c>
      <c r="C103" s="214" t="str">
        <f t="shared" si="4"/>
        <v>標準</v>
      </c>
      <c r="D103" s="449" t="s">
        <v>643</v>
      </c>
      <c r="E103" s="215"/>
      <c r="F103" s="245"/>
      <c r="G103" s="217"/>
      <c r="H103" s="218"/>
      <c r="I103" s="208" t="s">
        <v>1477</v>
      </c>
      <c r="J103" s="420" t="str">
        <f t="shared" si="2"/>
        <v>12-3．</v>
      </c>
      <c r="K103" s="421" t="str">
        <f t="shared" si="3"/>
        <v/>
      </c>
    </row>
    <row r="104" spans="1:11" s="208" customFormat="1" ht="34.5" customHeight="1" x14ac:dyDescent="0.3">
      <c r="A104" s="448"/>
      <c r="B104" s="406" t="s">
        <v>647</v>
      </c>
      <c r="C104" s="214" t="str">
        <f t="shared" si="4"/>
        <v>標準</v>
      </c>
      <c r="D104" s="417" t="s">
        <v>845</v>
      </c>
      <c r="E104" s="680"/>
      <c r="F104" s="681"/>
      <c r="G104" s="217"/>
      <c r="H104" s="218"/>
      <c r="I104" s="220" t="s">
        <v>1477</v>
      </c>
      <c r="J104" s="420" t="str">
        <f t="shared" si="2"/>
        <v>12-3．</v>
      </c>
      <c r="K104" s="421" t="str">
        <f t="shared" si="3"/>
        <v/>
      </c>
    </row>
    <row r="105" spans="1:11" s="208" customFormat="1" ht="34.5" customHeight="1" x14ac:dyDescent="0.3">
      <c r="A105" s="448"/>
      <c r="B105" s="406" t="s">
        <v>647</v>
      </c>
      <c r="C105" s="214" t="str">
        <f t="shared" si="4"/>
        <v>標準</v>
      </c>
      <c r="D105" s="246" t="s">
        <v>830</v>
      </c>
      <c r="E105" s="279"/>
      <c r="F105" s="280"/>
      <c r="G105" s="281"/>
      <c r="H105" s="244"/>
      <c r="I105" s="220" t="s">
        <v>1477</v>
      </c>
      <c r="J105" s="420" t="str">
        <f t="shared" si="2"/>
        <v>12-4．</v>
      </c>
      <c r="K105" s="421" t="str">
        <f t="shared" si="3"/>
        <v/>
      </c>
    </row>
    <row r="106" spans="1:11" s="208" customFormat="1" ht="34.5" customHeight="1" x14ac:dyDescent="0.3">
      <c r="A106" s="448"/>
      <c r="B106" s="406" t="s">
        <v>647</v>
      </c>
      <c r="C106" s="214" t="str">
        <f t="shared" si="4"/>
        <v>標準</v>
      </c>
      <c r="D106" s="213" t="s">
        <v>198</v>
      </c>
      <c r="E106" s="229"/>
      <c r="F106" s="234"/>
      <c r="G106" s="243"/>
      <c r="H106" s="244"/>
      <c r="I106" s="220" t="s">
        <v>1477</v>
      </c>
      <c r="J106" s="420" t="str">
        <f t="shared" si="2"/>
        <v>12-5．</v>
      </c>
      <c r="K106" s="421" t="str">
        <f t="shared" si="3"/>
        <v/>
      </c>
    </row>
    <row r="107" spans="1:11" ht="34.5" customHeight="1" x14ac:dyDescent="0.3">
      <c r="B107" s="406" t="s">
        <v>647</v>
      </c>
      <c r="C107" s="214" t="str">
        <f t="shared" si="4"/>
        <v>標準</v>
      </c>
      <c r="D107" s="418" t="s">
        <v>846</v>
      </c>
      <c r="E107" s="393"/>
      <c r="F107" s="394"/>
      <c r="G107" s="403"/>
      <c r="I107" s="220" t="s">
        <v>1477</v>
      </c>
      <c r="J107" s="420" t="str">
        <f t="shared" si="2"/>
        <v>12-5．</v>
      </c>
      <c r="K107" s="421" t="str">
        <f t="shared" si="3"/>
        <v/>
      </c>
    </row>
    <row r="108" spans="1:11" ht="34.5" customHeight="1" x14ac:dyDescent="0.3">
      <c r="B108" s="406" t="s">
        <v>647</v>
      </c>
      <c r="C108" s="214" t="str">
        <f t="shared" si="4"/>
        <v>標準</v>
      </c>
      <c r="D108" s="418" t="s">
        <v>846</v>
      </c>
      <c r="E108" s="393"/>
      <c r="F108" s="394"/>
      <c r="G108" s="403"/>
      <c r="I108" s="220" t="s">
        <v>1477</v>
      </c>
      <c r="J108" s="420" t="str">
        <f t="shared" si="2"/>
        <v>12-5．</v>
      </c>
      <c r="K108" s="421" t="str">
        <f t="shared" si="3"/>
        <v/>
      </c>
    </row>
    <row r="109" spans="1:11" ht="34.5" customHeight="1" x14ac:dyDescent="0.3">
      <c r="B109" s="406" t="s">
        <v>647</v>
      </c>
      <c r="C109" s="214" t="str">
        <f t="shared" si="4"/>
        <v>標準</v>
      </c>
      <c r="D109" s="417" t="s">
        <v>846</v>
      </c>
      <c r="E109" s="393"/>
      <c r="F109" s="394"/>
      <c r="G109" s="403"/>
      <c r="I109" s="220" t="s">
        <v>1477</v>
      </c>
      <c r="J109" s="420" t="str">
        <f t="shared" si="2"/>
        <v>12-5．</v>
      </c>
      <c r="K109" s="421" t="str">
        <f t="shared" si="3"/>
        <v/>
      </c>
    </row>
    <row r="110" spans="1:11" ht="34.5" customHeight="1" x14ac:dyDescent="0.3">
      <c r="B110" s="406" t="s">
        <v>647</v>
      </c>
      <c r="C110" s="214" t="str">
        <f t="shared" si="4"/>
        <v>標準</v>
      </c>
      <c r="D110" s="213" t="s">
        <v>199</v>
      </c>
      <c r="E110" s="393"/>
      <c r="F110" s="394"/>
      <c r="G110" s="403"/>
      <c r="I110" s="220" t="s">
        <v>1477</v>
      </c>
      <c r="J110" s="420" t="str">
        <f t="shared" si="2"/>
        <v>12-6．</v>
      </c>
      <c r="K110" s="421" t="str">
        <f t="shared" si="3"/>
        <v/>
      </c>
    </row>
    <row r="111" spans="1:11" ht="34.5" customHeight="1" x14ac:dyDescent="0.3">
      <c r="B111" s="406" t="s">
        <v>647</v>
      </c>
      <c r="C111" s="214" t="str">
        <f t="shared" si="4"/>
        <v>標準</v>
      </c>
      <c r="D111" s="417" t="s">
        <v>199</v>
      </c>
      <c r="E111" s="393"/>
      <c r="F111" s="394"/>
      <c r="G111" s="403"/>
      <c r="I111" s="220" t="s">
        <v>1477</v>
      </c>
      <c r="J111" s="420" t="str">
        <f t="shared" si="2"/>
        <v>12-6．</v>
      </c>
      <c r="K111" s="421" t="str">
        <f t="shared" si="3"/>
        <v/>
      </c>
    </row>
    <row r="112" spans="1:11" ht="34.5" customHeight="1" x14ac:dyDescent="0.3">
      <c r="B112" s="406" t="s">
        <v>647</v>
      </c>
      <c r="C112" s="214" t="str">
        <f t="shared" ref="C112:C117" si="5">IF(I112="無し",IF(G112="","標準","数量削除"),IF(I112="別紙（補助仕様書）参照",IF(G112="","数量入力","特仕"),IF(G112="","数量入力","ＯＰ")))</f>
        <v>標準</v>
      </c>
      <c r="D112" s="246" t="s">
        <v>831</v>
      </c>
      <c r="E112" s="393"/>
      <c r="F112" s="394"/>
      <c r="G112" s="403"/>
      <c r="I112" s="220" t="s">
        <v>1477</v>
      </c>
      <c r="J112" s="420" t="str">
        <f t="shared" si="2"/>
        <v>12-7．</v>
      </c>
      <c r="K112" s="421" t="str">
        <f t="shared" si="3"/>
        <v/>
      </c>
    </row>
    <row r="113" spans="2:11" ht="34.5" customHeight="1" x14ac:dyDescent="0.3">
      <c r="B113" s="406" t="s">
        <v>647</v>
      </c>
      <c r="C113" s="214" t="str">
        <f t="shared" si="5"/>
        <v>標準</v>
      </c>
      <c r="D113" s="213" t="s">
        <v>200</v>
      </c>
      <c r="E113" s="393"/>
      <c r="F113" s="394"/>
      <c r="G113" s="403"/>
      <c r="I113" s="220" t="s">
        <v>1477</v>
      </c>
      <c r="J113" s="420" t="str">
        <f t="shared" si="2"/>
        <v>12-8．</v>
      </c>
      <c r="K113" s="421" t="str">
        <f t="shared" si="3"/>
        <v/>
      </c>
    </row>
    <row r="114" spans="2:11" ht="34.5" customHeight="1" x14ac:dyDescent="0.3">
      <c r="B114" s="406" t="s">
        <v>647</v>
      </c>
      <c r="C114" s="214" t="str">
        <f t="shared" si="5"/>
        <v>標準</v>
      </c>
      <c r="D114" s="418" t="s">
        <v>200</v>
      </c>
      <c r="E114" s="393"/>
      <c r="F114" s="394"/>
      <c r="G114" s="403"/>
      <c r="I114" s="220" t="s">
        <v>1477</v>
      </c>
      <c r="J114" s="420" t="str">
        <f t="shared" si="2"/>
        <v>12-8．</v>
      </c>
      <c r="K114" s="421" t="str">
        <f t="shared" si="3"/>
        <v/>
      </c>
    </row>
    <row r="115" spans="2:11" ht="34.5" customHeight="1" x14ac:dyDescent="0.3">
      <c r="B115" s="406" t="s">
        <v>647</v>
      </c>
      <c r="C115" s="214" t="str">
        <f t="shared" si="5"/>
        <v>標準</v>
      </c>
      <c r="D115" s="418" t="s">
        <v>200</v>
      </c>
      <c r="E115" s="393"/>
      <c r="F115" s="394"/>
      <c r="G115" s="403"/>
      <c r="I115" s="220" t="s">
        <v>1477</v>
      </c>
      <c r="J115" s="420" t="str">
        <f t="shared" si="2"/>
        <v>12-8．</v>
      </c>
      <c r="K115" s="421" t="str">
        <f>IF(C115="特仕",J115,"")</f>
        <v/>
      </c>
    </row>
    <row r="116" spans="2:11" ht="34.5" customHeight="1" x14ac:dyDescent="0.3">
      <c r="B116" s="406" t="s">
        <v>647</v>
      </c>
      <c r="C116" s="214" t="str">
        <f t="shared" si="5"/>
        <v>標準</v>
      </c>
      <c r="D116" s="418" t="s">
        <v>200</v>
      </c>
      <c r="E116" s="393"/>
      <c r="F116" s="394"/>
      <c r="G116" s="403"/>
      <c r="I116" s="220" t="s">
        <v>1477</v>
      </c>
      <c r="J116" s="420" t="str">
        <f t="shared" si="2"/>
        <v>12-8．</v>
      </c>
      <c r="K116" s="421" t="str">
        <f t="shared" si="3"/>
        <v/>
      </c>
    </row>
    <row r="117" spans="2:11" ht="34.5" customHeight="1" x14ac:dyDescent="0.3">
      <c r="B117" s="407" t="s">
        <v>647</v>
      </c>
      <c r="C117" s="214" t="str">
        <f t="shared" si="5"/>
        <v>標準</v>
      </c>
      <c r="D117" s="417" t="s">
        <v>200</v>
      </c>
      <c r="E117" s="393"/>
      <c r="F117" s="394"/>
      <c r="G117" s="403"/>
      <c r="I117" s="220" t="s">
        <v>1477</v>
      </c>
      <c r="J117" s="420" t="str">
        <f t="shared" si="2"/>
        <v>12-8．</v>
      </c>
      <c r="K117" s="421" t="str">
        <f t="shared" si="3"/>
        <v/>
      </c>
    </row>
    <row r="118" spans="2:11" ht="34.5" customHeight="1" x14ac:dyDescent="0.25">
      <c r="B118" s="451" t="s">
        <v>695</v>
      </c>
      <c r="E118" s="250"/>
      <c r="I118" s="220" t="s">
        <v>167</v>
      </c>
      <c r="J118" s="415"/>
      <c r="K118" s="220"/>
    </row>
    <row r="119" spans="2:11" ht="34.5" customHeight="1" x14ac:dyDescent="0.25">
      <c r="E119" s="250"/>
      <c r="I119" s="220" t="s">
        <v>167</v>
      </c>
      <c r="J119" s="416"/>
      <c r="K119" s="422" t="str">
        <f>ConcatenateRangeText(K4:K118)</f>
        <v>3-4．5-12．7-14．10-3．</v>
      </c>
    </row>
    <row r="120" spans="2:11" ht="34.5" customHeight="1" x14ac:dyDescent="0.25">
      <c r="E120" s="250"/>
      <c r="I120" s="220" t="s">
        <v>167</v>
      </c>
      <c r="J120" s="416"/>
      <c r="K120" s="416"/>
    </row>
    <row r="121" spans="2:11" ht="34.5" customHeight="1" x14ac:dyDescent="0.25">
      <c r="E121" s="250"/>
      <c r="I121" s="220" t="s">
        <v>167</v>
      </c>
      <c r="J121" s="416"/>
      <c r="K121" s="416"/>
    </row>
    <row r="122" spans="2:11" ht="34.5" customHeight="1" x14ac:dyDescent="0.25">
      <c r="E122" s="250"/>
      <c r="I122" s="220" t="s">
        <v>167</v>
      </c>
      <c r="J122" s="416"/>
      <c r="K122" s="416"/>
    </row>
    <row r="123" spans="2:11" ht="34.5" customHeight="1" x14ac:dyDescent="0.25">
      <c r="E123" s="250"/>
      <c r="I123" s="220" t="s">
        <v>167</v>
      </c>
      <c r="J123" s="416"/>
      <c r="K123" s="416"/>
    </row>
    <row r="124" spans="2:11" ht="34.5" customHeight="1" x14ac:dyDescent="0.25">
      <c r="E124" s="250"/>
      <c r="I124" s="220" t="s">
        <v>167</v>
      </c>
      <c r="J124" s="416"/>
      <c r="K124" s="416"/>
    </row>
    <row r="125" spans="2:11" ht="34.5" customHeight="1" x14ac:dyDescent="0.25">
      <c r="E125" s="250"/>
      <c r="I125" s="220"/>
      <c r="J125" s="416"/>
      <c r="K125" s="416"/>
    </row>
    <row r="126" spans="2:11" ht="34.5" customHeight="1" x14ac:dyDescent="0.25">
      <c r="E126" s="250"/>
      <c r="I126" s="208"/>
      <c r="J126" s="416"/>
      <c r="K126" s="416"/>
    </row>
    <row r="127" spans="2:11" ht="34.5" customHeight="1" x14ac:dyDescent="0.25">
      <c r="E127" s="250"/>
      <c r="I127" s="208"/>
      <c r="J127" s="416"/>
      <c r="K127" s="416"/>
    </row>
    <row r="128" spans="2:11" ht="34.5" customHeight="1" x14ac:dyDescent="0.25">
      <c r="E128" s="250"/>
      <c r="I128" s="208"/>
      <c r="J128" s="416"/>
      <c r="K128" s="416"/>
    </row>
    <row r="129" spans="5:11" ht="34.5" customHeight="1" x14ac:dyDescent="0.25">
      <c r="E129" s="250"/>
      <c r="I129" s="208"/>
      <c r="J129" s="416"/>
      <c r="K129" s="416"/>
    </row>
    <row r="130" spans="5:11" ht="34.5" customHeight="1" x14ac:dyDescent="0.25">
      <c r="E130" s="250"/>
      <c r="I130" s="208"/>
      <c r="J130" s="416"/>
      <c r="K130" s="416"/>
    </row>
    <row r="131" spans="5:11" ht="34.5" customHeight="1" x14ac:dyDescent="0.25">
      <c r="E131" s="250"/>
      <c r="I131" s="208"/>
      <c r="J131" s="416"/>
      <c r="K131" s="416"/>
    </row>
    <row r="132" spans="5:11" ht="34.5" customHeight="1" x14ac:dyDescent="0.25">
      <c r="E132" s="250"/>
      <c r="I132" s="208"/>
      <c r="J132" s="416"/>
      <c r="K132" s="416"/>
    </row>
    <row r="133" spans="5:11" ht="34.5" customHeight="1" x14ac:dyDescent="0.25">
      <c r="E133" s="250"/>
      <c r="I133" s="208"/>
      <c r="J133" s="416"/>
      <c r="K133" s="416"/>
    </row>
    <row r="134" spans="5:11" ht="34.5" customHeight="1" x14ac:dyDescent="0.25">
      <c r="E134" s="250"/>
      <c r="I134" s="208"/>
      <c r="J134" s="416"/>
      <c r="K134" s="416"/>
    </row>
    <row r="135" spans="5:11" ht="34.5" customHeight="1" x14ac:dyDescent="0.25">
      <c r="E135" s="250"/>
      <c r="I135" s="208"/>
      <c r="J135" s="416"/>
      <c r="K135" s="416"/>
    </row>
    <row r="136" spans="5:11" ht="34.5" customHeight="1" x14ac:dyDescent="0.25">
      <c r="E136" s="250"/>
      <c r="I136" s="208"/>
      <c r="J136" s="416"/>
      <c r="K136" s="416"/>
    </row>
    <row r="137" spans="5:11" ht="34.5" customHeight="1" x14ac:dyDescent="0.25">
      <c r="E137" s="250"/>
      <c r="I137" s="208"/>
      <c r="J137" s="416"/>
      <c r="K137" s="416"/>
    </row>
    <row r="138" spans="5:11" ht="34.5" customHeight="1" x14ac:dyDescent="0.25">
      <c r="E138" s="250"/>
      <c r="I138" s="208"/>
      <c r="J138" s="416"/>
      <c r="K138" s="416"/>
    </row>
    <row r="139" spans="5:11" ht="34.5" customHeight="1" x14ac:dyDescent="0.25">
      <c r="E139" s="250"/>
      <c r="I139" s="208"/>
      <c r="J139" s="416"/>
      <c r="K139" s="416"/>
    </row>
    <row r="140" spans="5:11" ht="34.5" customHeight="1" x14ac:dyDescent="0.25">
      <c r="E140" s="250"/>
      <c r="I140" s="208"/>
      <c r="J140" s="416"/>
      <c r="K140" s="416"/>
    </row>
    <row r="141" spans="5:11" ht="34.5" customHeight="1" x14ac:dyDescent="0.25">
      <c r="E141" s="250"/>
      <c r="I141" s="208"/>
      <c r="J141" s="416"/>
      <c r="K141" s="416"/>
    </row>
    <row r="142" spans="5:11" ht="34.5" customHeight="1" x14ac:dyDescent="0.25">
      <c r="E142" s="250"/>
      <c r="I142" s="208"/>
      <c r="J142" s="416"/>
      <c r="K142" s="416"/>
    </row>
    <row r="143" spans="5:11" ht="34.5" customHeight="1" x14ac:dyDescent="0.25">
      <c r="E143" s="250"/>
      <c r="I143" s="208"/>
      <c r="J143" s="416"/>
      <c r="K143" s="416"/>
    </row>
    <row r="144" spans="5:11" ht="34.5" customHeight="1" x14ac:dyDescent="0.25">
      <c r="E144" s="250"/>
      <c r="I144" s="208"/>
      <c r="J144" s="416"/>
      <c r="K144" s="416"/>
    </row>
    <row r="145" spans="5:11" ht="34.5" customHeight="1" x14ac:dyDescent="0.25">
      <c r="E145" s="250"/>
      <c r="I145" s="208"/>
      <c r="J145" s="416"/>
      <c r="K145" s="416"/>
    </row>
    <row r="146" spans="5:11" ht="34.5" customHeight="1" x14ac:dyDescent="0.25">
      <c r="E146" s="250"/>
      <c r="I146" s="208"/>
      <c r="J146" s="416"/>
      <c r="K146" s="416"/>
    </row>
    <row r="147" spans="5:11" ht="34.5" customHeight="1" x14ac:dyDescent="0.25">
      <c r="E147" s="250"/>
      <c r="I147" s="208"/>
      <c r="J147" s="416"/>
      <c r="K147" s="416"/>
    </row>
    <row r="148" spans="5:11" ht="34.5" customHeight="1" x14ac:dyDescent="0.25">
      <c r="E148" s="250"/>
      <c r="I148" s="208"/>
      <c r="J148" s="416"/>
      <c r="K148" s="416"/>
    </row>
    <row r="149" spans="5:11" ht="34.5" customHeight="1" x14ac:dyDescent="0.25">
      <c r="E149" s="250"/>
      <c r="I149" s="208"/>
      <c r="J149" s="416"/>
      <c r="K149" s="416"/>
    </row>
    <row r="150" spans="5:11" ht="34.5" customHeight="1" x14ac:dyDescent="0.25">
      <c r="E150" s="250"/>
      <c r="I150" s="208"/>
      <c r="J150" s="416"/>
      <c r="K150" s="416"/>
    </row>
    <row r="151" spans="5:11" ht="34.5" customHeight="1" x14ac:dyDescent="0.25">
      <c r="E151" s="250"/>
      <c r="I151" s="208"/>
      <c r="J151" s="416"/>
      <c r="K151" s="416"/>
    </row>
    <row r="152" spans="5:11" ht="34.5" customHeight="1" x14ac:dyDescent="0.25">
      <c r="E152" s="250"/>
      <c r="I152" s="208"/>
      <c r="J152" s="416"/>
      <c r="K152" s="416"/>
    </row>
    <row r="153" spans="5:11" ht="34.5" customHeight="1" x14ac:dyDescent="0.25">
      <c r="E153" s="250"/>
      <c r="I153" s="208"/>
      <c r="J153" s="416"/>
      <c r="K153" s="416"/>
    </row>
    <row r="154" spans="5:11" ht="34.5" customHeight="1" x14ac:dyDescent="0.25">
      <c r="E154" s="250"/>
      <c r="I154" s="208"/>
      <c r="J154" s="416"/>
      <c r="K154" s="416"/>
    </row>
    <row r="155" spans="5:11" ht="34.5" customHeight="1" x14ac:dyDescent="0.25">
      <c r="E155" s="250"/>
      <c r="I155" s="208"/>
      <c r="J155" s="416"/>
      <c r="K155" s="416"/>
    </row>
    <row r="156" spans="5:11" ht="34.5" customHeight="1" x14ac:dyDescent="0.25">
      <c r="E156" s="250"/>
      <c r="I156" s="208"/>
      <c r="J156" s="416"/>
      <c r="K156" s="416"/>
    </row>
    <row r="157" spans="5:11" ht="34.5" customHeight="1" x14ac:dyDescent="0.25">
      <c r="E157" s="250"/>
      <c r="I157" s="208"/>
      <c r="J157" s="416"/>
      <c r="K157" s="416"/>
    </row>
    <row r="158" spans="5:11" ht="34.5" customHeight="1" x14ac:dyDescent="0.25">
      <c r="E158" s="250"/>
      <c r="I158" s="208"/>
      <c r="J158" s="416"/>
      <c r="K158" s="416"/>
    </row>
    <row r="159" spans="5:11" ht="34.5" customHeight="1" x14ac:dyDescent="0.25">
      <c r="E159" s="250"/>
      <c r="I159" s="208"/>
      <c r="J159" s="416"/>
      <c r="K159" s="416"/>
    </row>
    <row r="160" spans="5:11" ht="34.5" customHeight="1" x14ac:dyDescent="0.25">
      <c r="E160" s="250"/>
      <c r="I160" s="208"/>
      <c r="J160" s="416"/>
      <c r="K160" s="416"/>
    </row>
    <row r="161" spans="5:11" ht="34.5" customHeight="1" x14ac:dyDescent="0.25">
      <c r="E161" s="250"/>
      <c r="I161" s="208"/>
      <c r="J161" s="416"/>
      <c r="K161" s="416"/>
    </row>
    <row r="162" spans="5:11" ht="34.5" customHeight="1" x14ac:dyDescent="0.25">
      <c r="E162" s="250"/>
      <c r="I162" s="208"/>
      <c r="J162" s="416"/>
      <c r="K162" s="416"/>
    </row>
    <row r="163" spans="5:11" ht="34.5" customHeight="1" x14ac:dyDescent="0.25">
      <c r="E163" s="250"/>
      <c r="I163" s="208"/>
      <c r="J163" s="416"/>
      <c r="K163" s="416"/>
    </row>
    <row r="164" spans="5:11" ht="34.5" customHeight="1" x14ac:dyDescent="0.25">
      <c r="E164" s="250"/>
      <c r="I164" s="208"/>
      <c r="J164" s="416"/>
      <c r="K164" s="416"/>
    </row>
    <row r="165" spans="5:11" ht="34.5" customHeight="1" x14ac:dyDescent="0.25">
      <c r="E165" s="250"/>
      <c r="I165" s="208"/>
      <c r="J165" s="416"/>
      <c r="K165" s="416"/>
    </row>
    <row r="166" spans="5:11" ht="34.5" customHeight="1" x14ac:dyDescent="0.25">
      <c r="E166" s="250"/>
      <c r="I166" s="208"/>
      <c r="J166" s="416"/>
      <c r="K166" s="416"/>
    </row>
    <row r="167" spans="5:11" ht="34.5" customHeight="1" x14ac:dyDescent="0.25">
      <c r="E167" s="250"/>
      <c r="I167" s="208"/>
      <c r="J167" s="416"/>
      <c r="K167" s="416"/>
    </row>
    <row r="168" spans="5:11" ht="34.5" customHeight="1" x14ac:dyDescent="0.25">
      <c r="E168" s="250"/>
      <c r="I168" s="208"/>
      <c r="J168" s="416"/>
      <c r="K168" s="416"/>
    </row>
    <row r="169" spans="5:11" ht="34.5" customHeight="1" x14ac:dyDescent="0.25">
      <c r="E169" s="250"/>
      <c r="I169" s="208"/>
      <c r="J169" s="416"/>
      <c r="K169" s="416"/>
    </row>
    <row r="170" spans="5:11" ht="34.5" customHeight="1" x14ac:dyDescent="0.25">
      <c r="E170" s="250"/>
      <c r="I170" s="208"/>
      <c r="J170" s="416"/>
      <c r="K170" s="416"/>
    </row>
    <row r="171" spans="5:11" ht="34.5" customHeight="1" x14ac:dyDescent="0.25">
      <c r="E171" s="250"/>
      <c r="I171" s="208"/>
      <c r="J171" s="416"/>
      <c r="K171" s="416"/>
    </row>
    <row r="172" spans="5:11" ht="34.5" customHeight="1" x14ac:dyDescent="0.25">
      <c r="E172" s="250"/>
      <c r="I172" s="208"/>
      <c r="J172" s="416"/>
      <c r="K172" s="416"/>
    </row>
    <row r="173" spans="5:11" ht="34.5" customHeight="1" x14ac:dyDescent="0.25">
      <c r="I173" s="208"/>
      <c r="J173" s="416"/>
      <c r="K173" s="416"/>
    </row>
    <row r="174" spans="5:11" ht="34.5" customHeight="1" x14ac:dyDescent="0.25">
      <c r="I174" s="208"/>
      <c r="J174" s="416"/>
      <c r="K174" s="416"/>
    </row>
    <row r="175" spans="5:11" ht="34.5" customHeight="1" x14ac:dyDescent="0.25">
      <c r="I175" s="208"/>
      <c r="J175" s="416"/>
      <c r="K175" s="416"/>
    </row>
    <row r="176" spans="5:11" ht="34.5" customHeight="1" x14ac:dyDescent="0.25">
      <c r="I176" s="208"/>
      <c r="J176" s="416"/>
      <c r="K176" s="416"/>
    </row>
    <row r="177" spans="9:11" ht="34.5" customHeight="1" x14ac:dyDescent="0.25">
      <c r="I177" s="208"/>
      <c r="J177" s="416"/>
      <c r="K177" s="416"/>
    </row>
    <row r="178" spans="9:11" ht="34.5" customHeight="1" x14ac:dyDescent="0.25">
      <c r="I178" s="208"/>
      <c r="J178" s="416"/>
      <c r="K178" s="416"/>
    </row>
    <row r="179" spans="9:11" ht="34.5" customHeight="1" x14ac:dyDescent="0.25">
      <c r="I179" s="208"/>
      <c r="J179" s="416"/>
      <c r="K179" s="416"/>
    </row>
    <row r="180" spans="9:11" ht="34.5" customHeight="1" x14ac:dyDescent="0.25">
      <c r="I180" s="208"/>
      <c r="J180" s="416"/>
      <c r="K180" s="416"/>
    </row>
    <row r="181" spans="9:11" ht="34.5" customHeight="1" x14ac:dyDescent="0.25">
      <c r="I181" s="208"/>
      <c r="J181" s="416"/>
      <c r="K181" s="416"/>
    </row>
    <row r="182" spans="9:11" ht="34.5" customHeight="1" x14ac:dyDescent="0.25">
      <c r="I182" s="208"/>
      <c r="J182" s="416"/>
      <c r="K182" s="416"/>
    </row>
    <row r="183" spans="9:11" ht="34.5" customHeight="1" x14ac:dyDescent="0.25">
      <c r="I183" s="208"/>
      <c r="J183" s="416"/>
      <c r="K183" s="416"/>
    </row>
    <row r="184" spans="9:11" ht="34.5" customHeight="1" x14ac:dyDescent="0.25">
      <c r="I184" s="208"/>
      <c r="J184" s="416"/>
      <c r="K184" s="416"/>
    </row>
    <row r="185" spans="9:11" ht="34.5" customHeight="1" x14ac:dyDescent="0.25">
      <c r="I185" s="208"/>
      <c r="J185" s="416"/>
      <c r="K185" s="416"/>
    </row>
    <row r="186" spans="9:11" ht="34.5" customHeight="1" x14ac:dyDescent="0.25">
      <c r="I186" s="208"/>
      <c r="J186" s="416"/>
      <c r="K186" s="416"/>
    </row>
    <row r="187" spans="9:11" ht="34.5" customHeight="1" x14ac:dyDescent="0.25">
      <c r="I187" s="208"/>
      <c r="J187" s="416"/>
      <c r="K187" s="416"/>
    </row>
    <row r="188" spans="9:11" ht="34.5" customHeight="1" x14ac:dyDescent="0.25">
      <c r="I188" s="208"/>
      <c r="J188" s="416"/>
      <c r="K188" s="416"/>
    </row>
    <row r="189" spans="9:11" ht="34.5" customHeight="1" x14ac:dyDescent="0.25">
      <c r="I189" s="208"/>
      <c r="J189" s="416"/>
      <c r="K189" s="416"/>
    </row>
    <row r="190" spans="9:11" ht="34.5" customHeight="1" x14ac:dyDescent="0.25">
      <c r="I190" s="208"/>
      <c r="J190" s="416"/>
      <c r="K190" s="416"/>
    </row>
    <row r="191" spans="9:11" ht="34.5" customHeight="1" x14ac:dyDescent="0.25">
      <c r="I191" s="208"/>
      <c r="J191" s="416"/>
      <c r="K191" s="416"/>
    </row>
    <row r="192" spans="9:11" ht="34.5" customHeight="1" x14ac:dyDescent="0.25">
      <c r="I192" s="208"/>
      <c r="J192" s="416"/>
      <c r="K192" s="416"/>
    </row>
    <row r="193" spans="9:11" ht="34.5" customHeight="1" x14ac:dyDescent="0.25">
      <c r="I193" s="208"/>
      <c r="J193" s="416"/>
      <c r="K193" s="416"/>
    </row>
    <row r="194" spans="9:11" ht="34.5" customHeight="1" x14ac:dyDescent="0.25">
      <c r="I194" s="208"/>
      <c r="J194" s="416"/>
      <c r="K194" s="416"/>
    </row>
    <row r="195" spans="9:11" ht="34.5" customHeight="1" x14ac:dyDescent="0.25">
      <c r="I195" s="208"/>
      <c r="J195" s="416"/>
      <c r="K195" s="416"/>
    </row>
    <row r="196" spans="9:11" ht="34.5" customHeight="1" x14ac:dyDescent="0.25">
      <c r="I196" s="208"/>
      <c r="J196" s="416"/>
      <c r="K196" s="416"/>
    </row>
    <row r="197" spans="9:11" ht="34.5" customHeight="1" x14ac:dyDescent="0.25">
      <c r="I197" s="208"/>
      <c r="J197" s="416"/>
      <c r="K197" s="416"/>
    </row>
    <row r="198" spans="9:11" ht="34.5" customHeight="1" x14ac:dyDescent="0.25">
      <c r="I198" s="208"/>
      <c r="J198" s="416"/>
      <c r="K198" s="416"/>
    </row>
    <row r="199" spans="9:11" ht="34.5" customHeight="1" x14ac:dyDescent="0.25">
      <c r="I199" s="208"/>
      <c r="J199" s="416"/>
      <c r="K199" s="416"/>
    </row>
    <row r="200" spans="9:11" ht="34.5" customHeight="1" x14ac:dyDescent="0.25">
      <c r="I200" s="208"/>
      <c r="J200" s="416"/>
      <c r="K200" s="416"/>
    </row>
    <row r="201" spans="9:11" ht="34.5" customHeight="1" x14ac:dyDescent="0.25">
      <c r="I201" s="208"/>
      <c r="J201" s="416"/>
      <c r="K201" s="416"/>
    </row>
    <row r="202" spans="9:11" ht="34.5" customHeight="1" x14ac:dyDescent="0.25">
      <c r="I202" s="208"/>
      <c r="J202" s="416"/>
      <c r="K202" s="416"/>
    </row>
    <row r="203" spans="9:11" ht="34.5" customHeight="1" x14ac:dyDescent="0.25">
      <c r="I203" s="208"/>
      <c r="J203" s="416"/>
      <c r="K203" s="416"/>
    </row>
    <row r="204" spans="9:11" ht="34.5" customHeight="1" x14ac:dyDescent="0.25">
      <c r="I204" s="208"/>
      <c r="J204" s="416"/>
      <c r="K204" s="416"/>
    </row>
    <row r="205" spans="9:11" ht="34.5" customHeight="1" x14ac:dyDescent="0.25">
      <c r="I205" s="208"/>
      <c r="J205" s="416"/>
      <c r="K205" s="416"/>
    </row>
    <row r="206" spans="9:11" ht="34.5" customHeight="1" x14ac:dyDescent="0.25">
      <c r="I206" s="208"/>
      <c r="J206" s="416"/>
      <c r="K206" s="416"/>
    </row>
    <row r="207" spans="9:11" ht="34.5" customHeight="1" x14ac:dyDescent="0.25">
      <c r="I207" s="208"/>
      <c r="J207" s="416"/>
      <c r="K207" s="416"/>
    </row>
    <row r="208" spans="9:11" ht="34.5" customHeight="1" x14ac:dyDescent="0.25">
      <c r="I208" s="208"/>
      <c r="J208" s="416"/>
      <c r="K208" s="416"/>
    </row>
    <row r="209" spans="9:11" ht="34.5" customHeight="1" x14ac:dyDescent="0.25">
      <c r="I209" s="208"/>
      <c r="J209" s="416"/>
      <c r="K209" s="416"/>
    </row>
    <row r="210" spans="9:11" ht="34.5" customHeight="1" x14ac:dyDescent="0.25">
      <c r="I210" s="208"/>
      <c r="J210" s="416"/>
      <c r="K210" s="416"/>
    </row>
    <row r="211" spans="9:11" ht="34.5" customHeight="1" x14ac:dyDescent="0.25">
      <c r="I211" s="208"/>
      <c r="J211" s="416"/>
      <c r="K211" s="416"/>
    </row>
    <row r="212" spans="9:11" ht="34.5" customHeight="1" x14ac:dyDescent="0.25">
      <c r="I212" s="208"/>
      <c r="J212" s="416"/>
      <c r="K212" s="416"/>
    </row>
    <row r="213" spans="9:11" ht="34.5" customHeight="1" x14ac:dyDescent="0.25">
      <c r="I213" s="208"/>
      <c r="J213" s="416"/>
      <c r="K213" s="416"/>
    </row>
    <row r="214" spans="9:11" ht="34.5" customHeight="1" x14ac:dyDescent="0.25">
      <c r="I214" s="208"/>
      <c r="J214" s="416"/>
      <c r="K214" s="416"/>
    </row>
    <row r="215" spans="9:11" ht="34.5" customHeight="1" x14ac:dyDescent="0.3">
      <c r="J215" s="416"/>
      <c r="K215" s="416"/>
    </row>
    <row r="216" spans="9:11" ht="34.5" customHeight="1" x14ac:dyDescent="0.3">
      <c r="J216" s="416"/>
      <c r="K216" s="416"/>
    </row>
    <row r="217" spans="9:11" ht="34.5" customHeight="1" x14ac:dyDescent="0.3">
      <c r="J217" s="416"/>
      <c r="K217" s="416"/>
    </row>
    <row r="218" spans="9:11" ht="34.5" customHeight="1" x14ac:dyDescent="0.3">
      <c r="J218" s="416"/>
      <c r="K218" s="416"/>
    </row>
    <row r="219" spans="9:11" ht="34.5" customHeight="1" x14ac:dyDescent="0.3">
      <c r="J219" s="416"/>
      <c r="K219" s="416"/>
    </row>
    <row r="220" spans="9:11" ht="34.5" customHeight="1" x14ac:dyDescent="0.3">
      <c r="J220" s="416"/>
      <c r="K220" s="416"/>
    </row>
    <row r="221" spans="9:11" ht="34.5" customHeight="1" x14ac:dyDescent="0.3">
      <c r="J221" s="416"/>
      <c r="K221" s="416"/>
    </row>
    <row r="222" spans="9:11" ht="34.5" customHeight="1" x14ac:dyDescent="0.3">
      <c r="J222" s="416"/>
      <c r="K222" s="416"/>
    </row>
    <row r="223" spans="9:11" ht="34.5" customHeight="1" x14ac:dyDescent="0.3">
      <c r="J223" s="416"/>
      <c r="K223" s="416"/>
    </row>
    <row r="224" spans="9:11" ht="34.5" customHeight="1" x14ac:dyDescent="0.3">
      <c r="J224" s="416"/>
      <c r="K224" s="416"/>
    </row>
    <row r="225" spans="10:11" ht="34.5" customHeight="1" x14ac:dyDescent="0.3">
      <c r="J225" s="416"/>
      <c r="K225" s="416"/>
    </row>
    <row r="226" spans="10:11" ht="34.5" customHeight="1" x14ac:dyDescent="0.3">
      <c r="J226" s="416"/>
      <c r="K226" s="416"/>
    </row>
    <row r="227" spans="10:11" ht="34.5" customHeight="1" x14ac:dyDescent="0.3">
      <c r="J227" s="416"/>
      <c r="K227" s="416"/>
    </row>
    <row r="228" spans="10:11" ht="34.5" customHeight="1" x14ac:dyDescent="0.3">
      <c r="J228" s="416"/>
      <c r="K228" s="416"/>
    </row>
    <row r="229" spans="10:11" ht="34.5" customHeight="1" x14ac:dyDescent="0.3">
      <c r="J229" s="416"/>
      <c r="K229" s="416"/>
    </row>
    <row r="230" spans="10:11" ht="34.5" customHeight="1" x14ac:dyDescent="0.3">
      <c r="J230" s="416"/>
      <c r="K230" s="416"/>
    </row>
    <row r="231" spans="10:11" ht="34.5" customHeight="1" x14ac:dyDescent="0.3">
      <c r="J231" s="416"/>
      <c r="K231" s="416"/>
    </row>
    <row r="232" spans="10:11" ht="34.5" customHeight="1" x14ac:dyDescent="0.3">
      <c r="J232" s="416"/>
      <c r="K232" s="416"/>
    </row>
    <row r="233" spans="10:11" ht="34.5" customHeight="1" x14ac:dyDescent="0.3">
      <c r="J233" s="416"/>
      <c r="K233" s="416"/>
    </row>
    <row r="234" spans="10:11" ht="34.5" customHeight="1" x14ac:dyDescent="0.3">
      <c r="J234" s="416"/>
      <c r="K234" s="416"/>
    </row>
    <row r="235" spans="10:11" ht="34.5" customHeight="1" x14ac:dyDescent="0.3">
      <c r="J235" s="416"/>
      <c r="K235" s="416"/>
    </row>
    <row r="236" spans="10:11" ht="34.5" customHeight="1" x14ac:dyDescent="0.3">
      <c r="J236" s="416"/>
      <c r="K236" s="416"/>
    </row>
    <row r="237" spans="10:11" ht="34.5" customHeight="1" x14ac:dyDescent="0.3">
      <c r="J237" s="416"/>
      <c r="K237" s="416"/>
    </row>
    <row r="238" spans="10:11" ht="34.5" customHeight="1" x14ac:dyDescent="0.3">
      <c r="J238" s="416"/>
      <c r="K238" s="416"/>
    </row>
    <row r="239" spans="10:11" ht="34.5" customHeight="1" x14ac:dyDescent="0.3">
      <c r="J239" s="416"/>
      <c r="K239" s="416"/>
    </row>
    <row r="240" spans="10:11" ht="34.5" customHeight="1" x14ac:dyDescent="0.3">
      <c r="J240" s="416"/>
      <c r="K240" s="416"/>
    </row>
    <row r="241" spans="10:11" ht="34.5" customHeight="1" x14ac:dyDescent="0.3">
      <c r="J241" s="416"/>
      <c r="K241" s="416"/>
    </row>
    <row r="242" spans="10:11" ht="34.5" customHeight="1" x14ac:dyDescent="0.3">
      <c r="J242" s="416"/>
      <c r="K242" s="416"/>
    </row>
    <row r="243" spans="10:11" ht="34.5" customHeight="1" x14ac:dyDescent="0.3">
      <c r="J243" s="416"/>
      <c r="K243" s="416"/>
    </row>
    <row r="244" spans="10:11" ht="34.5" customHeight="1" x14ac:dyDescent="0.3">
      <c r="J244" s="416"/>
      <c r="K244" s="416"/>
    </row>
    <row r="245" spans="10:11" ht="34.5" customHeight="1" x14ac:dyDescent="0.3">
      <c r="J245" s="416"/>
      <c r="K245" s="416"/>
    </row>
    <row r="246" spans="10:11" ht="34.5" customHeight="1" x14ac:dyDescent="0.3">
      <c r="J246" s="416"/>
      <c r="K246" s="416"/>
    </row>
    <row r="247" spans="10:11" ht="34.5" customHeight="1" x14ac:dyDescent="0.3">
      <c r="J247" s="416"/>
      <c r="K247" s="416"/>
    </row>
    <row r="248" spans="10:11" ht="34.5" customHeight="1" x14ac:dyDescent="0.3">
      <c r="J248" s="416"/>
      <c r="K248" s="416"/>
    </row>
    <row r="249" spans="10:11" ht="34.5" customHeight="1" x14ac:dyDescent="0.3">
      <c r="J249" s="416"/>
      <c r="K249" s="416"/>
    </row>
    <row r="250" spans="10:11" ht="34.5" customHeight="1" x14ac:dyDescent="0.3">
      <c r="J250" s="416"/>
      <c r="K250" s="416"/>
    </row>
    <row r="251" spans="10:11" ht="34.5" customHeight="1" x14ac:dyDescent="0.3">
      <c r="J251" s="416"/>
      <c r="K251" s="416"/>
    </row>
    <row r="252" spans="10:11" ht="34.5" customHeight="1" x14ac:dyDescent="0.3">
      <c r="J252" s="416"/>
      <c r="K252" s="416"/>
    </row>
    <row r="253" spans="10:11" ht="34.5" customHeight="1" x14ac:dyDescent="0.3">
      <c r="J253" s="416"/>
      <c r="K253" s="416"/>
    </row>
    <row r="254" spans="10:11" ht="34.5" customHeight="1" x14ac:dyDescent="0.3">
      <c r="J254" s="416"/>
      <c r="K254" s="416"/>
    </row>
    <row r="255" spans="10:11" ht="34.5" customHeight="1" x14ac:dyDescent="0.3">
      <c r="J255" s="416"/>
      <c r="K255" s="416"/>
    </row>
    <row r="256" spans="10:11" ht="34.5" customHeight="1" x14ac:dyDescent="0.3">
      <c r="J256" s="416"/>
      <c r="K256" s="416"/>
    </row>
    <row r="257" spans="10:11" ht="34.5" customHeight="1" x14ac:dyDescent="0.3">
      <c r="J257" s="416"/>
      <c r="K257" s="416"/>
    </row>
    <row r="258" spans="10:11" ht="34.5" customHeight="1" x14ac:dyDescent="0.3">
      <c r="J258" s="416"/>
      <c r="K258" s="416"/>
    </row>
    <row r="259" spans="10:11" ht="34.5" customHeight="1" x14ac:dyDescent="0.3">
      <c r="J259" s="416"/>
      <c r="K259" s="416"/>
    </row>
    <row r="260" spans="10:11" ht="34.5" customHeight="1" x14ac:dyDescent="0.3">
      <c r="J260" s="416"/>
      <c r="K260" s="416"/>
    </row>
    <row r="261" spans="10:11" ht="34.5" customHeight="1" x14ac:dyDescent="0.3">
      <c r="J261" s="416"/>
      <c r="K261" s="416"/>
    </row>
    <row r="262" spans="10:11" ht="34.5" customHeight="1" x14ac:dyDescent="0.3">
      <c r="J262" s="416"/>
      <c r="K262" s="416"/>
    </row>
    <row r="263" spans="10:11" ht="34.5" customHeight="1" x14ac:dyDescent="0.3">
      <c r="J263" s="416"/>
      <c r="K263" s="416"/>
    </row>
    <row r="264" spans="10:11" ht="34.5" customHeight="1" x14ac:dyDescent="0.3">
      <c r="J264" s="416"/>
      <c r="K264" s="416"/>
    </row>
    <row r="265" spans="10:11" ht="34.5" customHeight="1" x14ac:dyDescent="0.3">
      <c r="J265" s="416"/>
      <c r="K265" s="416"/>
    </row>
    <row r="266" spans="10:11" ht="34.5" customHeight="1" x14ac:dyDescent="0.3">
      <c r="J266" s="416"/>
      <c r="K266" s="416"/>
    </row>
    <row r="267" spans="10:11" ht="34.5" customHeight="1" x14ac:dyDescent="0.3">
      <c r="J267" s="416"/>
      <c r="K267" s="416"/>
    </row>
    <row r="268" spans="10:11" ht="34.5" customHeight="1" x14ac:dyDescent="0.3">
      <c r="J268" s="416"/>
      <c r="K268" s="416"/>
    </row>
    <row r="269" spans="10:11" ht="34.5" customHeight="1" x14ac:dyDescent="0.3">
      <c r="J269" s="416"/>
      <c r="K269" s="416"/>
    </row>
    <row r="270" spans="10:11" ht="34.5" customHeight="1" x14ac:dyDescent="0.3">
      <c r="J270" s="416"/>
      <c r="K270" s="416"/>
    </row>
    <row r="271" spans="10:11" ht="34.5" customHeight="1" x14ac:dyDescent="0.3">
      <c r="J271" s="416"/>
      <c r="K271" s="416"/>
    </row>
    <row r="272" spans="10:11" ht="34.5" customHeight="1" x14ac:dyDescent="0.3">
      <c r="J272" s="416"/>
      <c r="K272" s="416"/>
    </row>
    <row r="273" spans="10:11" ht="34.5" customHeight="1" x14ac:dyDescent="0.3">
      <c r="J273" s="416"/>
      <c r="K273" s="416"/>
    </row>
    <row r="274" spans="10:11" ht="34.5" customHeight="1" x14ac:dyDescent="0.3">
      <c r="J274" s="416"/>
      <c r="K274" s="416"/>
    </row>
    <row r="275" spans="10:11" ht="34.5" customHeight="1" x14ac:dyDescent="0.3">
      <c r="J275" s="416"/>
      <c r="K275" s="416"/>
    </row>
    <row r="276" spans="10:11" ht="34.5" customHeight="1" x14ac:dyDescent="0.3">
      <c r="J276" s="416"/>
      <c r="K276" s="416"/>
    </row>
    <row r="277" spans="10:11" ht="34.5" customHeight="1" x14ac:dyDescent="0.3">
      <c r="J277" s="416"/>
      <c r="K277" s="416"/>
    </row>
    <row r="278" spans="10:11" ht="34.5" customHeight="1" x14ac:dyDescent="0.3">
      <c r="J278" s="416"/>
      <c r="K278" s="416"/>
    </row>
    <row r="279" spans="10:11" ht="34.5" customHeight="1" x14ac:dyDescent="0.3">
      <c r="J279" s="416"/>
      <c r="K279" s="416"/>
    </row>
    <row r="280" spans="10:11" ht="34.5" customHeight="1" x14ac:dyDescent="0.3">
      <c r="J280" s="416"/>
      <c r="K280" s="416"/>
    </row>
    <row r="281" spans="10:11" ht="34.5" customHeight="1" x14ac:dyDescent="0.3">
      <c r="J281" s="416"/>
      <c r="K281" s="416"/>
    </row>
    <row r="282" spans="10:11" ht="34.5" customHeight="1" x14ac:dyDescent="0.3">
      <c r="J282" s="416"/>
      <c r="K282" s="416"/>
    </row>
    <row r="283" spans="10:11" ht="34.5" customHeight="1" x14ac:dyDescent="0.3">
      <c r="J283" s="416"/>
      <c r="K283" s="416"/>
    </row>
    <row r="284" spans="10:11" ht="34.5" customHeight="1" x14ac:dyDescent="0.3">
      <c r="J284" s="416"/>
      <c r="K284" s="416"/>
    </row>
    <row r="285" spans="10:11" ht="34.5" customHeight="1" x14ac:dyDescent="0.3">
      <c r="J285" s="416"/>
      <c r="K285" s="416"/>
    </row>
    <row r="286" spans="10:11" ht="34.5" customHeight="1" x14ac:dyDescent="0.3">
      <c r="J286" s="416"/>
      <c r="K286" s="416"/>
    </row>
    <row r="287" spans="10:11" ht="34.5" customHeight="1" x14ac:dyDescent="0.3">
      <c r="J287" s="416"/>
      <c r="K287" s="416"/>
    </row>
    <row r="288" spans="10:11" ht="34.5" customHeight="1" x14ac:dyDescent="0.3">
      <c r="J288" s="416"/>
      <c r="K288" s="416"/>
    </row>
    <row r="289" spans="10:11" ht="34.5" customHeight="1" x14ac:dyDescent="0.3">
      <c r="J289" s="416"/>
      <c r="K289" s="416"/>
    </row>
    <row r="290" spans="10:11" ht="34.5" customHeight="1" x14ac:dyDescent="0.3">
      <c r="J290" s="416"/>
      <c r="K290" s="416"/>
    </row>
    <row r="291" spans="10:11" ht="34.5" customHeight="1" x14ac:dyDescent="0.3">
      <c r="J291" s="416"/>
      <c r="K291" s="416"/>
    </row>
    <row r="292" spans="10:11" ht="34.5" customHeight="1" x14ac:dyDescent="0.3">
      <c r="J292" s="416"/>
      <c r="K292" s="416"/>
    </row>
    <row r="293" spans="10:11" ht="34.5" customHeight="1" x14ac:dyDescent="0.3">
      <c r="J293" s="416"/>
      <c r="K293" s="416"/>
    </row>
    <row r="294" spans="10:11" ht="34.5" customHeight="1" x14ac:dyDescent="0.3">
      <c r="J294" s="416"/>
      <c r="K294" s="416"/>
    </row>
    <row r="295" spans="10:11" ht="34.5" customHeight="1" x14ac:dyDescent="0.3">
      <c r="J295" s="416"/>
      <c r="K295" s="416"/>
    </row>
    <row r="296" spans="10:11" ht="34.5" customHeight="1" x14ac:dyDescent="0.3">
      <c r="J296" s="416"/>
      <c r="K296" s="416"/>
    </row>
    <row r="297" spans="10:11" ht="34.5" customHeight="1" x14ac:dyDescent="0.3">
      <c r="J297" s="416"/>
      <c r="K297" s="416"/>
    </row>
    <row r="298" spans="10:11" ht="34.5" customHeight="1" x14ac:dyDescent="0.3">
      <c r="J298" s="416"/>
      <c r="K298" s="416"/>
    </row>
    <row r="299" spans="10:11" ht="34.5" customHeight="1" x14ac:dyDescent="0.3">
      <c r="J299" s="416"/>
      <c r="K299" s="416"/>
    </row>
    <row r="300" spans="10:11" ht="34.5" customHeight="1" x14ac:dyDescent="0.3">
      <c r="J300" s="416"/>
      <c r="K300" s="416"/>
    </row>
    <row r="301" spans="10:11" ht="34.5" customHeight="1" x14ac:dyDescent="0.3">
      <c r="J301" s="416"/>
      <c r="K301" s="416"/>
    </row>
    <row r="302" spans="10:11" ht="34.5" customHeight="1" x14ac:dyDescent="0.3">
      <c r="J302" s="416"/>
      <c r="K302" s="416"/>
    </row>
    <row r="303" spans="10:11" ht="34.5" customHeight="1" x14ac:dyDescent="0.3">
      <c r="J303" s="416"/>
      <c r="K303" s="416"/>
    </row>
    <row r="304" spans="10:11" ht="34.5" customHeight="1" x14ac:dyDescent="0.3">
      <c r="J304" s="416"/>
      <c r="K304" s="416"/>
    </row>
    <row r="305" spans="10:11" ht="34.5" customHeight="1" x14ac:dyDescent="0.3">
      <c r="J305" s="416"/>
      <c r="K305" s="416"/>
    </row>
    <row r="306" spans="10:11" ht="34.5" customHeight="1" x14ac:dyDescent="0.3">
      <c r="J306" s="416"/>
      <c r="K306" s="416"/>
    </row>
    <row r="307" spans="10:11" ht="34.5" customHeight="1" x14ac:dyDescent="0.3">
      <c r="J307" s="416"/>
      <c r="K307" s="416"/>
    </row>
    <row r="308" spans="10:11" ht="34.5" customHeight="1" x14ac:dyDescent="0.3">
      <c r="J308" s="416"/>
      <c r="K308" s="416"/>
    </row>
    <row r="309" spans="10:11" ht="34.5" customHeight="1" x14ac:dyDescent="0.3">
      <c r="J309" s="416"/>
      <c r="K309" s="416"/>
    </row>
    <row r="310" spans="10:11" ht="34.5" customHeight="1" x14ac:dyDescent="0.3">
      <c r="J310" s="416"/>
      <c r="K310" s="416"/>
    </row>
    <row r="311" spans="10:11" ht="34.5" customHeight="1" x14ac:dyDescent="0.3">
      <c r="J311" s="416"/>
      <c r="K311" s="416"/>
    </row>
    <row r="312" spans="10:11" ht="34.5" customHeight="1" x14ac:dyDescent="0.3">
      <c r="J312" s="416"/>
      <c r="K312" s="416"/>
    </row>
    <row r="313" spans="10:11" ht="34.5" customHeight="1" x14ac:dyDescent="0.3">
      <c r="J313" s="416"/>
      <c r="K313" s="416"/>
    </row>
    <row r="314" spans="10:11" ht="34.5" customHeight="1" x14ac:dyDescent="0.3">
      <c r="J314" s="416"/>
      <c r="K314" s="416"/>
    </row>
    <row r="315" spans="10:11" ht="34.5" customHeight="1" x14ac:dyDescent="0.3">
      <c r="J315" s="416"/>
      <c r="K315" s="416"/>
    </row>
    <row r="316" spans="10:11" ht="34.5" customHeight="1" x14ac:dyDescent="0.3">
      <c r="J316" s="416"/>
      <c r="K316" s="416"/>
    </row>
    <row r="317" spans="10:11" ht="34.5" customHeight="1" x14ac:dyDescent="0.3">
      <c r="J317" s="416"/>
      <c r="K317" s="416"/>
    </row>
    <row r="318" spans="10:11" ht="34.5" customHeight="1" x14ac:dyDescent="0.3">
      <c r="J318" s="416"/>
      <c r="K318" s="416"/>
    </row>
    <row r="319" spans="10:11" ht="34.5" customHeight="1" x14ac:dyDescent="0.3">
      <c r="J319" s="416"/>
      <c r="K319" s="416"/>
    </row>
    <row r="320" spans="10:11" ht="34.5" customHeight="1" x14ac:dyDescent="0.3">
      <c r="J320" s="416"/>
      <c r="K320" s="416"/>
    </row>
    <row r="321" spans="10:11" ht="34.5" customHeight="1" x14ac:dyDescent="0.3">
      <c r="J321" s="416"/>
      <c r="K321" s="416"/>
    </row>
    <row r="322" spans="10:11" ht="34.5" customHeight="1" x14ac:dyDescent="0.3">
      <c r="J322" s="416"/>
      <c r="K322" s="416"/>
    </row>
    <row r="323" spans="10:11" ht="34.5" customHeight="1" x14ac:dyDescent="0.3">
      <c r="J323" s="416"/>
      <c r="K323" s="416"/>
    </row>
    <row r="324" spans="10:11" ht="34.5" customHeight="1" x14ac:dyDescent="0.3">
      <c r="J324" s="416"/>
      <c r="K324" s="416"/>
    </row>
    <row r="325" spans="10:11" ht="34.5" customHeight="1" x14ac:dyDescent="0.3">
      <c r="J325" s="416"/>
      <c r="K325" s="416"/>
    </row>
    <row r="326" spans="10:11" ht="34.5" customHeight="1" x14ac:dyDescent="0.3">
      <c r="J326" s="416"/>
      <c r="K326" s="416"/>
    </row>
    <row r="327" spans="10:11" ht="34.5" customHeight="1" x14ac:dyDescent="0.3">
      <c r="J327" s="416"/>
      <c r="K327" s="416"/>
    </row>
    <row r="328" spans="10:11" ht="34.5" customHeight="1" x14ac:dyDescent="0.3">
      <c r="J328" s="416"/>
      <c r="K328" s="416"/>
    </row>
    <row r="329" spans="10:11" ht="34.5" customHeight="1" x14ac:dyDescent="0.3">
      <c r="J329" s="416"/>
      <c r="K329" s="416"/>
    </row>
    <row r="330" spans="10:11" ht="34.5" customHeight="1" x14ac:dyDescent="0.3">
      <c r="J330" s="416"/>
      <c r="K330" s="416"/>
    </row>
    <row r="331" spans="10:11" ht="34.5" customHeight="1" x14ac:dyDescent="0.3">
      <c r="J331" s="416"/>
      <c r="K331" s="416"/>
    </row>
    <row r="332" spans="10:11" ht="34.5" customHeight="1" x14ac:dyDescent="0.3">
      <c r="J332" s="416"/>
      <c r="K332" s="416"/>
    </row>
    <row r="333" spans="10:11" ht="34.5" customHeight="1" x14ac:dyDescent="0.3">
      <c r="J333" s="416"/>
      <c r="K333" s="416"/>
    </row>
    <row r="334" spans="10:11" ht="34.5" customHeight="1" x14ac:dyDescent="0.3">
      <c r="J334" s="416"/>
      <c r="K334" s="416"/>
    </row>
    <row r="335" spans="10:11" ht="34.5" customHeight="1" x14ac:dyDescent="0.3">
      <c r="J335" s="416"/>
      <c r="K335" s="416"/>
    </row>
    <row r="336" spans="10:11" ht="34.5" customHeight="1" x14ac:dyDescent="0.3">
      <c r="J336" s="416"/>
      <c r="K336" s="416"/>
    </row>
    <row r="337" spans="10:11" ht="34.5" customHeight="1" x14ac:dyDescent="0.3">
      <c r="J337" s="416"/>
      <c r="K337" s="416"/>
    </row>
    <row r="338" spans="10:11" ht="34.5" customHeight="1" x14ac:dyDescent="0.3">
      <c r="J338" s="416"/>
      <c r="K338" s="416"/>
    </row>
    <row r="339" spans="10:11" ht="34.5" customHeight="1" x14ac:dyDescent="0.3">
      <c r="J339" s="416"/>
      <c r="K339" s="416"/>
    </row>
    <row r="340" spans="10:11" ht="34.5" customHeight="1" x14ac:dyDescent="0.3">
      <c r="J340" s="416"/>
      <c r="K340" s="416"/>
    </row>
    <row r="341" spans="10:11" ht="34.5" customHeight="1" x14ac:dyDescent="0.3">
      <c r="J341" s="416"/>
      <c r="K341" s="416"/>
    </row>
    <row r="342" spans="10:11" ht="34.5" customHeight="1" x14ac:dyDescent="0.3"/>
    <row r="343" spans="10:11" ht="34.5" customHeight="1" x14ac:dyDescent="0.3"/>
    <row r="344" spans="10:11" ht="34.5" customHeight="1" x14ac:dyDescent="0.3"/>
    <row r="345" spans="10:11" ht="34.5" customHeight="1" x14ac:dyDescent="0.3"/>
    <row r="346" spans="10:11" ht="34.5" customHeight="1" x14ac:dyDescent="0.3"/>
    <row r="347" spans="10:11" ht="34.5" customHeight="1" x14ac:dyDescent="0.3"/>
    <row r="348" spans="10:11" ht="34.5" customHeight="1" x14ac:dyDescent="0.3"/>
    <row r="349" spans="10:11" ht="34.5" customHeight="1" x14ac:dyDescent="0.3"/>
    <row r="350" spans="10:11" ht="34.5" customHeight="1" x14ac:dyDescent="0.3"/>
    <row r="351" spans="10:11" ht="34.5" customHeight="1" x14ac:dyDescent="0.3"/>
    <row r="352" spans="10:11" ht="34.5" customHeight="1" x14ac:dyDescent="0.3"/>
    <row r="353" ht="34.5" customHeight="1" x14ac:dyDescent="0.3"/>
    <row r="354" ht="34.5" customHeight="1" x14ac:dyDescent="0.3"/>
    <row r="355" ht="34.5" customHeight="1" x14ac:dyDescent="0.3"/>
    <row r="356" ht="34.5" customHeight="1" x14ac:dyDescent="0.3"/>
    <row r="357" ht="34.5" customHeight="1" x14ac:dyDescent="0.3"/>
    <row r="358" ht="34.5" customHeight="1" x14ac:dyDescent="0.3"/>
    <row r="359" ht="34.5" customHeight="1" x14ac:dyDescent="0.3"/>
    <row r="360" ht="34.5" customHeight="1" x14ac:dyDescent="0.3"/>
    <row r="361" ht="34.5" customHeight="1" x14ac:dyDescent="0.3"/>
    <row r="362" ht="34.5" customHeight="1" x14ac:dyDescent="0.3"/>
    <row r="363" ht="34.5" customHeight="1" x14ac:dyDescent="0.3"/>
    <row r="364" ht="34.5" customHeight="1" x14ac:dyDescent="0.3"/>
    <row r="365" ht="34.5" customHeight="1" x14ac:dyDescent="0.3"/>
    <row r="366" ht="34.5" customHeight="1" x14ac:dyDescent="0.3"/>
    <row r="367" ht="34.5" customHeight="1" x14ac:dyDescent="0.3"/>
    <row r="368" ht="34.5" customHeight="1" x14ac:dyDescent="0.3"/>
    <row r="369" ht="34.5" customHeight="1" x14ac:dyDescent="0.3"/>
    <row r="370" ht="34.5" customHeight="1" x14ac:dyDescent="0.3"/>
    <row r="371" ht="34.5" customHeight="1" x14ac:dyDescent="0.3"/>
    <row r="372" ht="34.5" customHeight="1" x14ac:dyDescent="0.3"/>
    <row r="373" ht="34.5" customHeight="1" x14ac:dyDescent="0.3"/>
    <row r="374" ht="34.5" customHeight="1" x14ac:dyDescent="0.3"/>
    <row r="375" ht="34.5" customHeight="1" x14ac:dyDescent="0.3"/>
    <row r="376" ht="34.5" customHeight="1" x14ac:dyDescent="0.3"/>
    <row r="377" ht="34.5" customHeight="1" x14ac:dyDescent="0.3"/>
    <row r="378" ht="34.5" customHeight="1" x14ac:dyDescent="0.3"/>
    <row r="379" ht="34.5" customHeight="1" x14ac:dyDescent="0.3"/>
    <row r="380" ht="34.5" customHeight="1" x14ac:dyDescent="0.3"/>
    <row r="381" ht="34.5" customHeight="1" x14ac:dyDescent="0.3"/>
    <row r="382" ht="34.5" customHeight="1" x14ac:dyDescent="0.3"/>
    <row r="383" ht="34.5" customHeight="1" x14ac:dyDescent="0.3"/>
    <row r="384" ht="34.5" customHeight="1" x14ac:dyDescent="0.3"/>
    <row r="385" ht="34.5" customHeight="1" x14ac:dyDescent="0.3"/>
    <row r="386" ht="34.5" customHeight="1" x14ac:dyDescent="0.3"/>
    <row r="387" ht="34.5" customHeight="1" x14ac:dyDescent="0.3"/>
    <row r="388" ht="34.5" customHeight="1" x14ac:dyDescent="0.3"/>
    <row r="389" ht="34.5" customHeight="1" x14ac:dyDescent="0.3"/>
    <row r="390" ht="34.5" customHeight="1" x14ac:dyDescent="0.3"/>
    <row r="391" ht="34.5" customHeight="1" x14ac:dyDescent="0.3"/>
    <row r="392" ht="34.5" customHeight="1" x14ac:dyDescent="0.3"/>
    <row r="393" ht="34.5" customHeight="1" x14ac:dyDescent="0.3"/>
    <row r="394" ht="34.5" customHeight="1" x14ac:dyDescent="0.3"/>
    <row r="395" ht="34.5" customHeight="1" x14ac:dyDescent="0.3"/>
    <row r="396" ht="34.5" customHeight="1" x14ac:dyDescent="0.3"/>
    <row r="397" ht="34.5" customHeight="1" x14ac:dyDescent="0.3"/>
    <row r="398" ht="34.5" customHeight="1" x14ac:dyDescent="0.3"/>
    <row r="399" ht="34.5" customHeight="1" x14ac:dyDescent="0.3"/>
    <row r="400" ht="34.5" customHeight="1" x14ac:dyDescent="0.3"/>
    <row r="401" ht="34.5" customHeight="1" x14ac:dyDescent="0.3"/>
    <row r="402" ht="34.5" customHeight="1" x14ac:dyDescent="0.3"/>
    <row r="403" ht="34.5" customHeight="1" x14ac:dyDescent="0.3"/>
    <row r="404" ht="34.5" customHeight="1" x14ac:dyDescent="0.3"/>
    <row r="405" ht="34.5" customHeight="1" x14ac:dyDescent="0.3"/>
    <row r="406" ht="34.5" customHeight="1" x14ac:dyDescent="0.3"/>
    <row r="407" ht="34.5" customHeight="1" x14ac:dyDescent="0.3"/>
    <row r="408" ht="34.5" customHeight="1" x14ac:dyDescent="0.3"/>
    <row r="409" ht="34.5" customHeight="1" x14ac:dyDescent="0.3"/>
    <row r="410" ht="34.5" customHeight="1" x14ac:dyDescent="0.3"/>
    <row r="411" ht="34.5" customHeight="1" x14ac:dyDescent="0.3"/>
    <row r="412" ht="34.5" customHeight="1" x14ac:dyDescent="0.3"/>
    <row r="413" ht="34.5" customHeight="1" x14ac:dyDescent="0.3"/>
    <row r="414" ht="34.5" customHeight="1" x14ac:dyDescent="0.3"/>
    <row r="415" ht="34.5" customHeight="1" x14ac:dyDescent="0.3"/>
    <row r="416" ht="34.5" customHeight="1" x14ac:dyDescent="0.3"/>
    <row r="417" ht="34.5" customHeight="1" x14ac:dyDescent="0.3"/>
    <row r="418" ht="34.5" customHeight="1" x14ac:dyDescent="0.3"/>
    <row r="419" ht="34.5" customHeight="1" x14ac:dyDescent="0.3"/>
    <row r="420" ht="34.5" customHeight="1" x14ac:dyDescent="0.3"/>
    <row r="421" ht="34.5" customHeight="1" x14ac:dyDescent="0.3"/>
    <row r="422" ht="34.5" customHeight="1" x14ac:dyDescent="0.3"/>
    <row r="423" ht="34.5" customHeight="1" x14ac:dyDescent="0.3"/>
    <row r="424" ht="34.5" customHeight="1" x14ac:dyDescent="0.3"/>
    <row r="425" ht="34.5" customHeight="1" x14ac:dyDescent="0.3"/>
    <row r="426" ht="34.5" customHeight="1" x14ac:dyDescent="0.3"/>
    <row r="427" ht="34.5" customHeight="1" x14ac:dyDescent="0.3"/>
    <row r="428" ht="34.5" customHeight="1" x14ac:dyDescent="0.3"/>
    <row r="429" ht="34.5" customHeight="1" x14ac:dyDescent="0.3"/>
    <row r="430" ht="34.5" customHeight="1" x14ac:dyDescent="0.3"/>
    <row r="431" ht="34.5" customHeight="1" x14ac:dyDescent="0.3"/>
    <row r="432" ht="34.5" customHeight="1" x14ac:dyDescent="0.3"/>
    <row r="433" ht="34.5" customHeight="1" x14ac:dyDescent="0.3"/>
    <row r="434" ht="34.5" customHeight="1" x14ac:dyDescent="0.3"/>
    <row r="435" ht="34.5" customHeight="1" x14ac:dyDescent="0.3"/>
    <row r="436" ht="34.5" customHeight="1" x14ac:dyDescent="0.3"/>
    <row r="437" ht="34.5" customHeight="1" x14ac:dyDescent="0.3"/>
    <row r="438" ht="34.5" customHeight="1" x14ac:dyDescent="0.3"/>
    <row r="439" ht="34.5" customHeight="1" x14ac:dyDescent="0.3"/>
    <row r="440" ht="34.5" customHeight="1" x14ac:dyDescent="0.3"/>
    <row r="441" ht="34.5" customHeight="1" x14ac:dyDescent="0.3"/>
    <row r="442" ht="34.5" customHeight="1" x14ac:dyDescent="0.3"/>
    <row r="443" ht="34.5" customHeight="1" x14ac:dyDescent="0.3"/>
    <row r="444" ht="34.5" customHeight="1" x14ac:dyDescent="0.3"/>
    <row r="445" ht="34.5" customHeight="1" x14ac:dyDescent="0.3"/>
    <row r="446" ht="34.5" customHeight="1" x14ac:dyDescent="0.3"/>
    <row r="447" ht="34.5" customHeight="1" x14ac:dyDescent="0.3"/>
    <row r="448" ht="34.5" customHeight="1" x14ac:dyDescent="0.3"/>
    <row r="449" ht="34.5" customHeight="1" x14ac:dyDescent="0.3"/>
    <row r="450" ht="34.5" customHeight="1" x14ac:dyDescent="0.3"/>
    <row r="451" ht="34.5" customHeight="1" x14ac:dyDescent="0.3"/>
    <row r="452" ht="34.5" customHeight="1" x14ac:dyDescent="0.3"/>
    <row r="453" ht="34.5" customHeight="1" x14ac:dyDescent="0.3"/>
    <row r="454" ht="34.5" customHeight="1" x14ac:dyDescent="0.3"/>
    <row r="455" ht="34.5" customHeight="1" x14ac:dyDescent="0.3"/>
    <row r="456" ht="34.5" customHeight="1" x14ac:dyDescent="0.3"/>
    <row r="457" ht="34.5" customHeight="1" x14ac:dyDescent="0.3"/>
    <row r="458" ht="34.5" customHeight="1" x14ac:dyDescent="0.3"/>
    <row r="459" ht="34.5" customHeight="1" x14ac:dyDescent="0.3"/>
    <row r="460" ht="34.5" customHeight="1" x14ac:dyDescent="0.3"/>
    <row r="461" ht="34.5" customHeight="1" x14ac:dyDescent="0.3"/>
    <row r="462" ht="34.5" customHeight="1" x14ac:dyDescent="0.3"/>
    <row r="463" ht="34.5" customHeight="1" x14ac:dyDescent="0.3"/>
    <row r="464" ht="34.5" customHeight="1" x14ac:dyDescent="0.3"/>
    <row r="465" ht="34.5" customHeight="1" x14ac:dyDescent="0.3"/>
    <row r="466" ht="34.5" customHeight="1" x14ac:dyDescent="0.3"/>
    <row r="467" ht="34.5" customHeight="1" x14ac:dyDescent="0.3"/>
    <row r="468" ht="34.5" customHeight="1" x14ac:dyDescent="0.3"/>
    <row r="469" ht="34.5" customHeight="1" x14ac:dyDescent="0.3"/>
    <row r="470" ht="34.5" customHeight="1" x14ac:dyDescent="0.3"/>
    <row r="471" ht="34.5" customHeight="1" x14ac:dyDescent="0.3"/>
    <row r="472" ht="34.5" customHeight="1" x14ac:dyDescent="0.3"/>
    <row r="473" ht="34.5" customHeight="1" x14ac:dyDescent="0.3"/>
    <row r="474" ht="34.5" customHeight="1" x14ac:dyDescent="0.3"/>
    <row r="475" ht="34.5" customHeight="1" x14ac:dyDescent="0.3"/>
    <row r="476" ht="34.5" customHeight="1" x14ac:dyDescent="0.3"/>
    <row r="477" ht="34.5" customHeight="1" x14ac:dyDescent="0.3"/>
    <row r="478" ht="34.5" customHeight="1" x14ac:dyDescent="0.3"/>
    <row r="479" ht="34.5" customHeight="1" x14ac:dyDescent="0.3"/>
    <row r="480" ht="34.5" customHeight="1" x14ac:dyDescent="0.3"/>
    <row r="481" ht="34.5" customHeight="1" x14ac:dyDescent="0.3"/>
    <row r="482" ht="34.5" customHeight="1" x14ac:dyDescent="0.3"/>
    <row r="483" ht="34.5" customHeight="1" x14ac:dyDescent="0.3"/>
    <row r="484" ht="34.5" customHeight="1" x14ac:dyDescent="0.3"/>
    <row r="485" ht="34.5" customHeight="1" x14ac:dyDescent="0.3"/>
    <row r="486" ht="34.5" customHeight="1" x14ac:dyDescent="0.3"/>
    <row r="487" ht="34.5" customHeight="1" x14ac:dyDescent="0.3"/>
    <row r="488" ht="34.5" customHeight="1" x14ac:dyDescent="0.3"/>
    <row r="489" ht="34.5" customHeight="1" x14ac:dyDescent="0.3"/>
    <row r="490" ht="34.5" customHeight="1" x14ac:dyDescent="0.3"/>
    <row r="491" ht="34.5" customHeight="1" x14ac:dyDescent="0.3"/>
    <row r="492" ht="34.5" customHeight="1" x14ac:dyDescent="0.3"/>
    <row r="493" ht="34.5" customHeight="1" x14ac:dyDescent="0.3"/>
    <row r="494" ht="34.5" customHeight="1" x14ac:dyDescent="0.3"/>
    <row r="495" ht="34.5" customHeight="1" x14ac:dyDescent="0.3"/>
    <row r="496" ht="34.5" customHeight="1" x14ac:dyDescent="0.3"/>
    <row r="497" ht="34.5" customHeight="1" x14ac:dyDescent="0.3"/>
    <row r="498" ht="34.5" customHeight="1" x14ac:dyDescent="0.3"/>
    <row r="499" ht="34.5" customHeight="1" x14ac:dyDescent="0.3"/>
    <row r="500" ht="34.5" customHeight="1" x14ac:dyDescent="0.3"/>
    <row r="501" ht="34.5" customHeight="1" x14ac:dyDescent="0.3"/>
    <row r="502" ht="34.5" customHeight="1" x14ac:dyDescent="0.3"/>
    <row r="503" ht="34.5" customHeight="1" x14ac:dyDescent="0.3"/>
    <row r="504" ht="34.5" customHeight="1" x14ac:dyDescent="0.3"/>
    <row r="505" ht="34.5" customHeight="1" x14ac:dyDescent="0.3"/>
    <row r="506" ht="34.5" customHeight="1" x14ac:dyDescent="0.3"/>
    <row r="507" ht="34.5" customHeight="1" x14ac:dyDescent="0.3"/>
    <row r="508" ht="34.5" customHeight="1" x14ac:dyDescent="0.3"/>
    <row r="509" ht="34.5" customHeight="1" x14ac:dyDescent="0.3"/>
    <row r="510" ht="34.5" customHeight="1" x14ac:dyDescent="0.3"/>
    <row r="511" ht="34.5" customHeight="1" x14ac:dyDescent="0.3"/>
    <row r="512" ht="34.5" customHeight="1" x14ac:dyDescent="0.3"/>
    <row r="513" ht="34.5" customHeight="1" x14ac:dyDescent="0.3"/>
    <row r="514" ht="34.5" customHeight="1" x14ac:dyDescent="0.3"/>
    <row r="515" ht="34.5" customHeight="1" x14ac:dyDescent="0.3"/>
    <row r="516" ht="34.5" customHeight="1" x14ac:dyDescent="0.3"/>
    <row r="517" ht="34.5" customHeight="1" x14ac:dyDescent="0.3"/>
    <row r="518" ht="34.5" customHeight="1" x14ac:dyDescent="0.3"/>
    <row r="519" ht="34.5" customHeight="1" x14ac:dyDescent="0.3"/>
    <row r="520" ht="34.5" customHeight="1" x14ac:dyDescent="0.3"/>
    <row r="521" ht="34.5" customHeight="1" x14ac:dyDescent="0.3"/>
    <row r="522" ht="34.5" customHeight="1" x14ac:dyDescent="0.3"/>
    <row r="523" ht="34.5" customHeight="1" x14ac:dyDescent="0.3"/>
    <row r="524" ht="34.5" customHeight="1" x14ac:dyDescent="0.3"/>
    <row r="525" ht="34.5" customHeight="1" x14ac:dyDescent="0.3"/>
    <row r="526" ht="34.5" customHeight="1" x14ac:dyDescent="0.3"/>
    <row r="527" ht="34.5" customHeight="1" x14ac:dyDescent="0.3"/>
    <row r="528" ht="34.5" customHeight="1" x14ac:dyDescent="0.3"/>
    <row r="529" ht="34.5" customHeight="1" x14ac:dyDescent="0.3"/>
    <row r="530" ht="34.5" customHeight="1" x14ac:dyDescent="0.3"/>
    <row r="531" ht="34.5" customHeight="1" x14ac:dyDescent="0.3"/>
    <row r="532" ht="34.5" customHeight="1" x14ac:dyDescent="0.3"/>
    <row r="533" ht="34.5" customHeight="1" x14ac:dyDescent="0.3"/>
    <row r="534" ht="34.5" customHeight="1" x14ac:dyDescent="0.3"/>
    <row r="535" ht="34.5" customHeight="1" x14ac:dyDescent="0.3"/>
    <row r="536" ht="34.5" customHeight="1" x14ac:dyDescent="0.3"/>
    <row r="537" ht="34.5" customHeight="1" x14ac:dyDescent="0.3"/>
    <row r="538" ht="34.5" customHeight="1" x14ac:dyDescent="0.3"/>
    <row r="539" ht="34.5" customHeight="1" x14ac:dyDescent="0.3"/>
    <row r="540" ht="34.5" customHeight="1" x14ac:dyDescent="0.3"/>
    <row r="541" ht="34.5" customHeight="1" x14ac:dyDescent="0.3"/>
    <row r="542" ht="34.5" customHeight="1" x14ac:dyDescent="0.3"/>
    <row r="543" ht="34.5" customHeight="1" x14ac:dyDescent="0.3"/>
    <row r="544" ht="34.5" customHeight="1" x14ac:dyDescent="0.3"/>
    <row r="545" ht="34.5" customHeight="1" x14ac:dyDescent="0.3"/>
    <row r="546" ht="34.5" customHeight="1" x14ac:dyDescent="0.3"/>
    <row r="547" ht="34.5" customHeight="1" x14ac:dyDescent="0.3"/>
    <row r="548" ht="34.5" customHeight="1" x14ac:dyDescent="0.3"/>
    <row r="549" ht="34.5" customHeight="1" x14ac:dyDescent="0.3"/>
    <row r="550" ht="34.5" customHeight="1" x14ac:dyDescent="0.3"/>
    <row r="551" ht="34.5" customHeight="1" x14ac:dyDescent="0.3"/>
    <row r="552" ht="34.5" customHeight="1" x14ac:dyDescent="0.3"/>
    <row r="553" ht="34.5" customHeight="1" x14ac:dyDescent="0.3"/>
    <row r="554" ht="34.5" customHeight="1" x14ac:dyDescent="0.3"/>
    <row r="555" ht="34.5" customHeight="1" x14ac:dyDescent="0.3"/>
    <row r="556" ht="34.5" customHeight="1" x14ac:dyDescent="0.3"/>
    <row r="557" ht="34.5" customHeight="1" x14ac:dyDescent="0.3"/>
    <row r="558" ht="34.5" customHeight="1" x14ac:dyDescent="0.3"/>
    <row r="559" ht="34.5" customHeight="1" x14ac:dyDescent="0.3"/>
    <row r="560" ht="34.5" customHeight="1" x14ac:dyDescent="0.3"/>
    <row r="561" ht="34.5" customHeight="1" x14ac:dyDescent="0.3"/>
    <row r="562" ht="34.5" customHeight="1" x14ac:dyDescent="0.3"/>
    <row r="563" ht="34.5" customHeight="1" x14ac:dyDescent="0.3"/>
    <row r="564" ht="34.5" customHeight="1" x14ac:dyDescent="0.3"/>
    <row r="565" ht="34.5" customHeight="1" x14ac:dyDescent="0.3"/>
    <row r="566" ht="34.5" customHeight="1" x14ac:dyDescent="0.3"/>
    <row r="567" ht="34.5" customHeight="1" x14ac:dyDescent="0.3"/>
    <row r="568" ht="34.5" customHeight="1" x14ac:dyDescent="0.3"/>
    <row r="569" ht="34.5" customHeight="1" x14ac:dyDescent="0.3"/>
    <row r="570" ht="34.5" customHeight="1" x14ac:dyDescent="0.3"/>
    <row r="571" ht="34.5" customHeight="1" x14ac:dyDescent="0.3"/>
    <row r="572" ht="34.5" customHeight="1" x14ac:dyDescent="0.3"/>
    <row r="573" ht="34.5" customHeight="1" x14ac:dyDescent="0.3"/>
    <row r="574" ht="34.5" customHeight="1" x14ac:dyDescent="0.3"/>
    <row r="575" ht="34.5" customHeight="1" x14ac:dyDescent="0.3"/>
    <row r="576" ht="34.5" customHeight="1" x14ac:dyDescent="0.3"/>
    <row r="577" ht="34.5" customHeight="1" x14ac:dyDescent="0.3"/>
    <row r="578" ht="34.5" customHeight="1" x14ac:dyDescent="0.3"/>
    <row r="579" ht="34.5" customHeight="1" x14ac:dyDescent="0.3"/>
    <row r="580" ht="34.5" customHeight="1" x14ac:dyDescent="0.3"/>
    <row r="581" ht="34.5" customHeight="1" x14ac:dyDescent="0.3"/>
    <row r="582" ht="34.5" customHeight="1" x14ac:dyDescent="0.3"/>
    <row r="583" ht="34.5" customHeight="1" x14ac:dyDescent="0.3"/>
    <row r="584" ht="34.5" customHeight="1" x14ac:dyDescent="0.3"/>
    <row r="585" ht="34.5" customHeight="1" x14ac:dyDescent="0.3"/>
    <row r="586" ht="34.5" customHeight="1" x14ac:dyDescent="0.3"/>
    <row r="587" ht="34.5" customHeight="1" x14ac:dyDescent="0.3"/>
    <row r="588" ht="34.5" customHeight="1" x14ac:dyDescent="0.3"/>
    <row r="589" ht="34.5" customHeight="1" x14ac:dyDescent="0.3"/>
    <row r="590" ht="34.5" customHeight="1" x14ac:dyDescent="0.3"/>
    <row r="591" ht="34.5" customHeight="1" x14ac:dyDescent="0.3"/>
    <row r="592" ht="34.5" customHeight="1" x14ac:dyDescent="0.3"/>
    <row r="593" ht="34.5" customHeight="1" x14ac:dyDescent="0.3"/>
    <row r="594" ht="34.5" customHeight="1" x14ac:dyDescent="0.3"/>
    <row r="595" ht="34.5" customHeight="1" x14ac:dyDescent="0.3"/>
    <row r="596" ht="34.5" customHeight="1" x14ac:dyDescent="0.3"/>
    <row r="597" ht="34.5" customHeight="1" x14ac:dyDescent="0.3"/>
    <row r="598" ht="34.5" customHeight="1" x14ac:dyDescent="0.3"/>
    <row r="599" ht="34.5" customHeight="1" x14ac:dyDescent="0.3"/>
    <row r="600" ht="34.5" customHeight="1" x14ac:dyDescent="0.3"/>
    <row r="601" ht="34.5" customHeight="1" x14ac:dyDescent="0.3"/>
    <row r="602" ht="34.5" customHeight="1" x14ac:dyDescent="0.3"/>
    <row r="603" ht="34.5" customHeight="1" x14ac:dyDescent="0.3"/>
    <row r="604" ht="34.5" customHeight="1" x14ac:dyDescent="0.3"/>
    <row r="605" ht="34.5" customHeight="1" x14ac:dyDescent="0.3"/>
    <row r="606" ht="34.5" customHeight="1" x14ac:dyDescent="0.3"/>
    <row r="607" ht="34.5" customHeight="1" x14ac:dyDescent="0.3"/>
    <row r="608" ht="34.5" customHeight="1" x14ac:dyDescent="0.3"/>
    <row r="609" ht="34.5" customHeight="1" x14ac:dyDescent="0.3"/>
    <row r="610" ht="34.5" customHeight="1" x14ac:dyDescent="0.3"/>
    <row r="611" ht="34.5" customHeight="1" x14ac:dyDescent="0.3"/>
    <row r="612" ht="34.5" customHeight="1" x14ac:dyDescent="0.3"/>
    <row r="613" ht="34.5" customHeight="1" x14ac:dyDescent="0.3"/>
    <row r="614" ht="34.5" customHeight="1" x14ac:dyDescent="0.3"/>
    <row r="615" ht="34.5" customHeight="1" x14ac:dyDescent="0.3"/>
    <row r="616" ht="34.5" customHeight="1" x14ac:dyDescent="0.3"/>
  </sheetData>
  <mergeCells count="4">
    <mergeCell ref="E104:F104"/>
    <mergeCell ref="F1:G1"/>
    <mergeCell ref="E3:F3"/>
    <mergeCell ref="E91:F91"/>
  </mergeCells>
  <phoneticPr fontId="2"/>
  <conditionalFormatting sqref="C100:C117">
    <cfRule type="cellIs" dxfId="10" priority="5" stopIfTrue="1" operator="between">
      <formula>"数量入力"</formula>
      <formula>"数量削除"</formula>
    </cfRule>
  </conditionalFormatting>
  <conditionalFormatting sqref="C3:C117">
    <cfRule type="cellIs" dxfId="9" priority="4" stopIfTrue="1" operator="equal">
      <formula>"標準"</formula>
    </cfRule>
    <cfRule type="cellIs" dxfId="8" priority="8" stopIfTrue="1" operator="equal">
      <formula>"不可"</formula>
    </cfRule>
  </conditionalFormatting>
  <dataValidations disablePrompts="1" count="2">
    <dataValidation type="list" allowBlank="1" showInputMessage="1" showErrorMessage="1" sqref="E1" xr:uid="{00000000-0002-0000-0100-000000000000}">
      <formula1>車種仕様</formula1>
    </dataValidation>
    <dataValidation type="list" allowBlank="1" showInputMessage="1" showErrorMessage="1" sqref="G107:G117" xr:uid="{00000000-0002-0000-0100-000001000000}">
      <formula1>数量</formula1>
    </dataValidation>
  </dataValidations>
  <pageMargins left="0.23" right="0.2" top="0.35" bottom="0.28000000000000003" header="0.2" footer="0.2"/>
  <pageSetup paperSize="9" scale="44" orientation="portrait" r:id="rId1"/>
  <headerFooter alignWithMargins="0"/>
  <drawing r:id="rId2"/>
  <legacyDrawing r:id="rId3"/>
  <controls>
    <mc:AlternateContent xmlns:mc="http://schemas.openxmlformats.org/markup-compatibility/2006">
      <mc:Choice Requires="x14">
        <control shapeId="8382" r:id="rId4" name="ComboBox138">
          <controlPr locked="0" defaultSize="0" autoLine="0" autoPict="0" linkedCell="I73" listFillRange="ＰＴＯ表示ランプ" r:id="rId5">
            <anchor moveWithCells="1" sizeWithCells="1">
              <from>
                <xdr:col>4</xdr:col>
                <xdr:colOff>9525</xdr:colOff>
                <xdr:row>72</xdr:row>
                <xdr:rowOff>19050</xdr:rowOff>
              </from>
              <to>
                <xdr:col>6</xdr:col>
                <xdr:colOff>9525</xdr:colOff>
                <xdr:row>73</xdr:row>
                <xdr:rowOff>38100</xdr:rowOff>
              </to>
            </anchor>
          </controlPr>
        </control>
      </mc:Choice>
      <mc:Fallback>
        <control shapeId="8382" r:id="rId4" name="ComboBox138"/>
      </mc:Fallback>
    </mc:AlternateContent>
    <mc:AlternateContent xmlns:mc="http://schemas.openxmlformats.org/markup-compatibility/2006">
      <mc:Choice Requires="x14">
        <control shapeId="8274" r:id="rId6" name="ComboBox79">
          <controlPr locked="0" defaultSize="0" autoLine="0" autoPict="0" linkedCell="I74" listFillRange="配線接続位置" r:id="rId7">
            <anchor moveWithCells="1" sizeWithCells="1">
              <from>
                <xdr:col>4</xdr:col>
                <xdr:colOff>9525</xdr:colOff>
                <xdr:row>73</xdr:row>
                <xdr:rowOff>0</xdr:rowOff>
              </from>
              <to>
                <xdr:col>6</xdr:col>
                <xdr:colOff>9525</xdr:colOff>
                <xdr:row>74</xdr:row>
                <xdr:rowOff>19050</xdr:rowOff>
              </to>
            </anchor>
          </controlPr>
        </control>
      </mc:Choice>
      <mc:Fallback>
        <control shapeId="8274" r:id="rId6" name="ComboBox79"/>
      </mc:Fallback>
    </mc:AlternateContent>
    <mc:AlternateContent xmlns:mc="http://schemas.openxmlformats.org/markup-compatibility/2006">
      <mc:Choice Requires="x14">
        <control shapeId="8383" r:id="rId8" name="ComboBox141">
          <controlPr locked="0" defaultSize="0" autoLine="0" autoPict="0" linkedCell="I75" listFillRange="ＰＴＯ抜き忘れ防止警報" r:id="rId9">
            <anchor moveWithCells="1" sizeWithCells="1">
              <from>
                <xdr:col>4</xdr:col>
                <xdr:colOff>9525</xdr:colOff>
                <xdr:row>74</xdr:row>
                <xdr:rowOff>0</xdr:rowOff>
              </from>
              <to>
                <xdr:col>6</xdr:col>
                <xdr:colOff>9525</xdr:colOff>
                <xdr:row>75</xdr:row>
                <xdr:rowOff>19050</xdr:rowOff>
              </to>
            </anchor>
          </controlPr>
        </control>
      </mc:Choice>
      <mc:Fallback>
        <control shapeId="8383" r:id="rId8" name="ComboBox141"/>
      </mc:Fallback>
    </mc:AlternateContent>
    <mc:AlternateContent xmlns:mc="http://schemas.openxmlformats.org/markup-compatibility/2006">
      <mc:Choice Requires="x14">
        <control shapeId="8195" r:id="rId10" name="ComboBox2">
          <controlPr locked="0" defaultSize="0" autoLine="0" autoPict="0" linkedCell="I4" listFillRange="シャシ型式" r:id="rId11">
            <anchor moveWithCells="1" sizeWithCells="1">
              <from>
                <xdr:col>4</xdr:col>
                <xdr:colOff>0</xdr:colOff>
                <xdr:row>3</xdr:row>
                <xdr:rowOff>0</xdr:rowOff>
              </from>
              <to>
                <xdr:col>6</xdr:col>
                <xdr:colOff>0</xdr:colOff>
                <xdr:row>4</xdr:row>
                <xdr:rowOff>28575</xdr:rowOff>
              </to>
            </anchor>
          </controlPr>
        </control>
      </mc:Choice>
      <mc:Fallback>
        <control shapeId="8195" r:id="rId10" name="ComboBox2"/>
      </mc:Fallback>
    </mc:AlternateContent>
    <mc:AlternateContent xmlns:mc="http://schemas.openxmlformats.org/markup-compatibility/2006">
      <mc:Choice Requires="x14">
        <control shapeId="8196" r:id="rId12" name="ComboBox3">
          <controlPr locked="0" defaultSize="0" autoLine="0" autoPict="0" linkedCell="I5" listFillRange="ボデー床板" r:id="rId13">
            <anchor moveWithCells="1" sizeWithCells="1">
              <from>
                <xdr:col>4</xdr:col>
                <xdr:colOff>0</xdr:colOff>
                <xdr:row>3</xdr:row>
                <xdr:rowOff>428625</xdr:rowOff>
              </from>
              <to>
                <xdr:col>6</xdr:col>
                <xdr:colOff>0</xdr:colOff>
                <xdr:row>5</xdr:row>
                <xdr:rowOff>19050</xdr:rowOff>
              </to>
            </anchor>
          </controlPr>
        </control>
      </mc:Choice>
      <mc:Fallback>
        <control shapeId="8196" r:id="rId12" name="ComboBox3"/>
      </mc:Fallback>
    </mc:AlternateContent>
    <mc:AlternateContent xmlns:mc="http://schemas.openxmlformats.org/markup-compatibility/2006">
      <mc:Choice Requires="x14">
        <control shapeId="8197" r:id="rId14" name="ComboBox4">
          <controlPr locked="0" defaultSize="0" autoLine="0" autoPict="0" linkedCell="I6" listFillRange="ボデー前面臭気対策" r:id="rId15">
            <anchor moveWithCells="1" sizeWithCells="1">
              <from>
                <xdr:col>4</xdr:col>
                <xdr:colOff>0</xdr:colOff>
                <xdr:row>4</xdr:row>
                <xdr:rowOff>428625</xdr:rowOff>
              </from>
              <to>
                <xdr:col>6</xdr:col>
                <xdr:colOff>0</xdr:colOff>
                <xdr:row>6</xdr:row>
                <xdr:rowOff>19050</xdr:rowOff>
              </to>
            </anchor>
          </controlPr>
        </control>
      </mc:Choice>
      <mc:Fallback>
        <control shapeId="8197" r:id="rId14" name="ComboBox4"/>
      </mc:Fallback>
    </mc:AlternateContent>
    <mc:AlternateContent xmlns:mc="http://schemas.openxmlformats.org/markup-compatibility/2006">
      <mc:Choice Requires="x14">
        <control shapeId="8198" r:id="rId16" name="ComboBox5">
          <controlPr locked="0" defaultSize="0" autoLine="0" autoPict="0" linkedCell="I7" listFillRange="のぞき窓" r:id="rId17">
            <anchor moveWithCells="1" sizeWithCells="1">
              <from>
                <xdr:col>4</xdr:col>
                <xdr:colOff>0</xdr:colOff>
                <xdr:row>5</xdr:row>
                <xdr:rowOff>428625</xdr:rowOff>
              </from>
              <to>
                <xdr:col>6</xdr:col>
                <xdr:colOff>0</xdr:colOff>
                <xdr:row>7</xdr:row>
                <xdr:rowOff>19050</xdr:rowOff>
              </to>
            </anchor>
          </controlPr>
        </control>
      </mc:Choice>
      <mc:Fallback>
        <control shapeId="8198" r:id="rId16" name="ComboBox5"/>
      </mc:Fallback>
    </mc:AlternateContent>
    <mc:AlternateContent xmlns:mc="http://schemas.openxmlformats.org/markup-compatibility/2006">
      <mc:Choice Requires="x14">
        <control shapeId="8199" r:id="rId18" name="ComboBox6">
          <controlPr locked="0" defaultSize="0" autoLine="0" autoPict="0" linkedCell="I8" listFillRange="排出板下にゴム板" r:id="rId19">
            <anchor moveWithCells="1" sizeWithCells="1">
              <from>
                <xdr:col>4</xdr:col>
                <xdr:colOff>0</xdr:colOff>
                <xdr:row>6</xdr:row>
                <xdr:rowOff>428625</xdr:rowOff>
              </from>
              <to>
                <xdr:col>6</xdr:col>
                <xdr:colOff>0</xdr:colOff>
                <xdr:row>8</xdr:row>
                <xdr:rowOff>19050</xdr:rowOff>
              </to>
            </anchor>
          </controlPr>
        </control>
      </mc:Choice>
      <mc:Fallback>
        <control shapeId="8199" r:id="rId18" name="ComboBox6"/>
      </mc:Fallback>
    </mc:AlternateContent>
    <mc:AlternateContent xmlns:mc="http://schemas.openxmlformats.org/markup-compatibility/2006">
      <mc:Choice Requires="x14">
        <control shapeId="8200" r:id="rId20" name="ComboBox1">
          <controlPr locked="0" defaultSize="0" autoLine="0" autoPict="0" linkedCell="I9" listFillRange="掃除口取付" r:id="rId21">
            <anchor moveWithCells="1" sizeWithCells="1">
              <from>
                <xdr:col>4</xdr:col>
                <xdr:colOff>0</xdr:colOff>
                <xdr:row>7</xdr:row>
                <xdr:rowOff>428625</xdr:rowOff>
              </from>
              <to>
                <xdr:col>6</xdr:col>
                <xdr:colOff>0</xdr:colOff>
                <xdr:row>9</xdr:row>
                <xdr:rowOff>19050</xdr:rowOff>
              </to>
            </anchor>
          </controlPr>
        </control>
      </mc:Choice>
      <mc:Fallback>
        <control shapeId="8200" r:id="rId20" name="ComboBox1"/>
      </mc:Fallback>
    </mc:AlternateContent>
    <mc:AlternateContent xmlns:mc="http://schemas.openxmlformats.org/markup-compatibility/2006">
      <mc:Choice Requires="x14">
        <control shapeId="8202" r:id="rId22" name="ComboBox7">
          <controlPr locked="0" defaultSize="0" autoLine="0" autoPict="0" linkedCell="I10" listFillRange="ＴＧ降下防止スイッチ取付" r:id="rId23">
            <anchor moveWithCells="1" sizeWithCells="1">
              <from>
                <xdr:col>4</xdr:col>
                <xdr:colOff>9525</xdr:colOff>
                <xdr:row>8</xdr:row>
                <xdr:rowOff>428625</xdr:rowOff>
              </from>
              <to>
                <xdr:col>6</xdr:col>
                <xdr:colOff>9525</xdr:colOff>
                <xdr:row>10</xdr:row>
                <xdr:rowOff>9525</xdr:rowOff>
              </to>
            </anchor>
          </controlPr>
        </control>
      </mc:Choice>
      <mc:Fallback>
        <control shapeId="8202" r:id="rId22" name="ComboBox7"/>
      </mc:Fallback>
    </mc:AlternateContent>
    <mc:AlternateContent xmlns:mc="http://schemas.openxmlformats.org/markup-compatibility/2006">
      <mc:Choice Requires="x14">
        <control shapeId="8210" r:id="rId24" name="ComboBox15">
          <controlPr locked="0" defaultSize="0" autoLine="0" autoPict="0" linkedCell="I11" listFillRange="ステップ取付" r:id="rId25">
            <anchor moveWithCells="1" sizeWithCells="1">
              <from>
                <xdr:col>4</xdr:col>
                <xdr:colOff>9525</xdr:colOff>
                <xdr:row>9</xdr:row>
                <xdr:rowOff>428625</xdr:rowOff>
              </from>
              <to>
                <xdr:col>6</xdr:col>
                <xdr:colOff>9525</xdr:colOff>
                <xdr:row>11</xdr:row>
                <xdr:rowOff>9525</xdr:rowOff>
              </to>
            </anchor>
          </controlPr>
        </control>
      </mc:Choice>
      <mc:Fallback>
        <control shapeId="8210" r:id="rId24" name="ComboBox15"/>
      </mc:Fallback>
    </mc:AlternateContent>
    <mc:AlternateContent xmlns:mc="http://schemas.openxmlformats.org/markup-compatibility/2006">
      <mc:Choice Requires="x14">
        <control shapeId="8211" r:id="rId26" name="ComboBox16">
          <controlPr locked="0" defaultSize="0" autoLine="0" autoPict="0" linkedCell="I12" listFillRange="天井枠取付" r:id="rId27">
            <anchor moveWithCells="1" sizeWithCells="1">
              <from>
                <xdr:col>4</xdr:col>
                <xdr:colOff>9525</xdr:colOff>
                <xdr:row>10</xdr:row>
                <xdr:rowOff>419100</xdr:rowOff>
              </from>
              <to>
                <xdr:col>6</xdr:col>
                <xdr:colOff>9525</xdr:colOff>
                <xdr:row>12</xdr:row>
                <xdr:rowOff>9525</xdr:rowOff>
              </to>
            </anchor>
          </controlPr>
        </control>
      </mc:Choice>
      <mc:Fallback>
        <control shapeId="8211" r:id="rId26" name="ComboBox16"/>
      </mc:Fallback>
    </mc:AlternateContent>
    <mc:AlternateContent xmlns:mc="http://schemas.openxmlformats.org/markup-compatibility/2006">
      <mc:Choice Requires="x14">
        <control shapeId="8212" r:id="rId28" name="ComboBox17">
          <controlPr locked="0" defaultSize="0" autoLine="0" autoPict="0" linkedCell="I13" listFillRange="天井枠フック" r:id="rId29">
            <anchor moveWithCells="1" sizeWithCells="1">
              <from>
                <xdr:col>4</xdr:col>
                <xdr:colOff>9525</xdr:colOff>
                <xdr:row>11</xdr:row>
                <xdr:rowOff>419100</xdr:rowOff>
              </from>
              <to>
                <xdr:col>6</xdr:col>
                <xdr:colOff>9525</xdr:colOff>
                <xdr:row>13</xdr:row>
                <xdr:rowOff>9525</xdr:rowOff>
              </to>
            </anchor>
          </controlPr>
        </control>
      </mc:Choice>
      <mc:Fallback>
        <control shapeId="8212" r:id="rId28" name="ComboBox17"/>
      </mc:Fallback>
    </mc:AlternateContent>
    <mc:AlternateContent xmlns:mc="http://schemas.openxmlformats.org/markup-compatibility/2006">
      <mc:Choice Requires="x14">
        <control shapeId="8213" r:id="rId30" name="ComboBox18">
          <controlPr locked="0" defaultSize="0" autoLine="0" autoPict="0" linkedCell="I14" listFillRange="バルブカバー" r:id="rId31">
            <anchor moveWithCells="1" sizeWithCells="1">
              <from>
                <xdr:col>4</xdr:col>
                <xdr:colOff>9525</xdr:colOff>
                <xdr:row>12</xdr:row>
                <xdr:rowOff>428625</xdr:rowOff>
              </from>
              <to>
                <xdr:col>6</xdr:col>
                <xdr:colOff>9525</xdr:colOff>
                <xdr:row>14</xdr:row>
                <xdr:rowOff>19050</xdr:rowOff>
              </to>
            </anchor>
          </controlPr>
        </control>
      </mc:Choice>
      <mc:Fallback>
        <control shapeId="8213" r:id="rId30" name="ComboBox18"/>
      </mc:Fallback>
    </mc:AlternateContent>
    <mc:AlternateContent xmlns:mc="http://schemas.openxmlformats.org/markup-compatibility/2006">
      <mc:Choice Requires="x14">
        <control shapeId="8214" r:id="rId32" name="ComboBox19">
          <controlPr locked="0" defaultSize="0" autoLine="0" autoPict="0" linkedCell="I15" listFillRange="ボデー天井注水口取付" r:id="rId33">
            <anchor moveWithCells="1" sizeWithCells="1">
              <from>
                <xdr:col>4</xdr:col>
                <xdr:colOff>9525</xdr:colOff>
                <xdr:row>13</xdr:row>
                <xdr:rowOff>428625</xdr:rowOff>
              </from>
              <to>
                <xdr:col>6</xdr:col>
                <xdr:colOff>9525</xdr:colOff>
                <xdr:row>15</xdr:row>
                <xdr:rowOff>19050</xdr:rowOff>
              </to>
            </anchor>
          </controlPr>
        </control>
      </mc:Choice>
      <mc:Fallback>
        <control shapeId="8214" r:id="rId32" name="ComboBox19"/>
      </mc:Fallback>
    </mc:AlternateContent>
    <mc:AlternateContent xmlns:mc="http://schemas.openxmlformats.org/markup-compatibility/2006">
      <mc:Choice Requires="x14">
        <control shapeId="8215" r:id="rId34" name="ComboBox20">
          <controlPr locked="0" defaultSize="0" autoLine="0" autoPict="0" linkedCell="I16" listFillRange="火災延焼抑制装置" r:id="rId35">
            <anchor moveWithCells="1" sizeWithCells="1">
              <from>
                <xdr:col>4</xdr:col>
                <xdr:colOff>9525</xdr:colOff>
                <xdr:row>14</xdr:row>
                <xdr:rowOff>419100</xdr:rowOff>
              </from>
              <to>
                <xdr:col>6</xdr:col>
                <xdr:colOff>9525</xdr:colOff>
                <xdr:row>16</xdr:row>
                <xdr:rowOff>9525</xdr:rowOff>
              </to>
            </anchor>
          </controlPr>
        </control>
      </mc:Choice>
      <mc:Fallback>
        <control shapeId="8215" r:id="rId34" name="ComboBox20"/>
      </mc:Fallback>
    </mc:AlternateContent>
    <mc:AlternateContent xmlns:mc="http://schemas.openxmlformats.org/markup-compatibility/2006">
      <mc:Choice Requires="x14">
        <control shapeId="8216" r:id="rId36" name="ComboBox21">
          <controlPr locked="0" defaultSize="0" autoLine="0" autoPict="0" linkedCell="I17" listFillRange="ドラム板" r:id="rId37">
            <anchor moveWithCells="1" sizeWithCells="1">
              <from>
                <xdr:col>4</xdr:col>
                <xdr:colOff>9525</xdr:colOff>
                <xdr:row>15</xdr:row>
                <xdr:rowOff>419100</xdr:rowOff>
              </from>
              <to>
                <xdr:col>6</xdr:col>
                <xdr:colOff>9525</xdr:colOff>
                <xdr:row>17</xdr:row>
                <xdr:rowOff>9525</xdr:rowOff>
              </to>
            </anchor>
          </controlPr>
        </control>
      </mc:Choice>
      <mc:Fallback>
        <control shapeId="8216" r:id="rId36" name="ComboBox21"/>
      </mc:Fallback>
    </mc:AlternateContent>
    <mc:AlternateContent xmlns:mc="http://schemas.openxmlformats.org/markup-compatibility/2006">
      <mc:Choice Requires="x14">
        <control shapeId="8217" r:id="rId38" name="ComboBox22">
          <controlPr locked="0" defaultSize="0" autoLine="0" autoPict="0" linkedCell="I18" listFillRange="ドラム板汚水抜き穴" r:id="rId39">
            <anchor moveWithCells="1" sizeWithCells="1">
              <from>
                <xdr:col>4</xdr:col>
                <xdr:colOff>9525</xdr:colOff>
                <xdr:row>17</xdr:row>
                <xdr:rowOff>0</xdr:rowOff>
              </from>
              <to>
                <xdr:col>6</xdr:col>
                <xdr:colOff>9525</xdr:colOff>
                <xdr:row>18</xdr:row>
                <xdr:rowOff>28575</xdr:rowOff>
              </to>
            </anchor>
          </controlPr>
        </control>
      </mc:Choice>
      <mc:Fallback>
        <control shapeId="8217" r:id="rId38" name="ComboBox22"/>
      </mc:Fallback>
    </mc:AlternateContent>
    <mc:AlternateContent xmlns:mc="http://schemas.openxmlformats.org/markup-compatibility/2006">
      <mc:Choice Requires="x14">
        <control shapeId="8218" r:id="rId40" name="ComboBox23">
          <controlPr locked="0" defaultSize="0" autoLine="0" autoPict="0" linkedCell="I19" listFillRange="汚水タンク" r:id="rId41">
            <anchor moveWithCells="1" sizeWithCells="1">
              <from>
                <xdr:col>4</xdr:col>
                <xdr:colOff>9525</xdr:colOff>
                <xdr:row>18</xdr:row>
                <xdr:rowOff>0</xdr:rowOff>
              </from>
              <to>
                <xdr:col>6</xdr:col>
                <xdr:colOff>9525</xdr:colOff>
                <xdr:row>19</xdr:row>
                <xdr:rowOff>19050</xdr:rowOff>
              </to>
            </anchor>
          </controlPr>
        </control>
      </mc:Choice>
      <mc:Fallback>
        <control shapeId="8218" r:id="rId40" name="ComboBox23"/>
      </mc:Fallback>
    </mc:AlternateContent>
    <mc:AlternateContent xmlns:mc="http://schemas.openxmlformats.org/markup-compatibility/2006">
      <mc:Choice Requires="x14">
        <control shapeId="8219" r:id="rId42" name="ComboBox24">
          <controlPr locked="0" defaultSize="0" autoLine="0" autoPict="0" linkedCell="I20" listFillRange="汚水パッキン枠" r:id="rId43">
            <anchor moveWithCells="1" sizeWithCells="1">
              <from>
                <xdr:col>4</xdr:col>
                <xdr:colOff>9525</xdr:colOff>
                <xdr:row>19</xdr:row>
                <xdr:rowOff>0</xdr:rowOff>
              </from>
              <to>
                <xdr:col>6</xdr:col>
                <xdr:colOff>9525</xdr:colOff>
                <xdr:row>20</xdr:row>
                <xdr:rowOff>19050</xdr:rowOff>
              </to>
            </anchor>
          </controlPr>
        </control>
      </mc:Choice>
      <mc:Fallback>
        <control shapeId="8219" r:id="rId42" name="ComboBox24"/>
      </mc:Fallback>
    </mc:AlternateContent>
    <mc:AlternateContent xmlns:mc="http://schemas.openxmlformats.org/markup-compatibility/2006">
      <mc:Choice Requires="x14">
        <control shapeId="8220" r:id="rId44" name="ComboBox25">
          <controlPr locked="0" defaultSize="0" autoLine="0" autoPict="0" linkedCell="I21" listFillRange="ドラム二重張り" r:id="rId45">
            <anchor moveWithCells="1" sizeWithCells="1">
              <from>
                <xdr:col>4</xdr:col>
                <xdr:colOff>9525</xdr:colOff>
                <xdr:row>19</xdr:row>
                <xdr:rowOff>428625</xdr:rowOff>
              </from>
              <to>
                <xdr:col>6</xdr:col>
                <xdr:colOff>9525</xdr:colOff>
                <xdr:row>21</xdr:row>
                <xdr:rowOff>9525</xdr:rowOff>
              </to>
            </anchor>
          </controlPr>
        </control>
      </mc:Choice>
      <mc:Fallback>
        <control shapeId="8220" r:id="rId44" name="ComboBox25"/>
      </mc:Fallback>
    </mc:AlternateContent>
    <mc:AlternateContent xmlns:mc="http://schemas.openxmlformats.org/markup-compatibility/2006">
      <mc:Choice Requires="x14">
        <control shapeId="8221" r:id="rId46" name="ComboBox26">
          <controlPr locked="0" defaultSize="0" autoLine="0" autoPict="0" linkedCell="I22" listFillRange="側板二重張り" r:id="rId47">
            <anchor moveWithCells="1" sizeWithCells="1">
              <from>
                <xdr:col>4</xdr:col>
                <xdr:colOff>9525</xdr:colOff>
                <xdr:row>20</xdr:row>
                <xdr:rowOff>428625</xdr:rowOff>
              </from>
              <to>
                <xdr:col>6</xdr:col>
                <xdr:colOff>9525</xdr:colOff>
                <xdr:row>22</xdr:row>
                <xdr:rowOff>9525</xdr:rowOff>
              </to>
            </anchor>
          </controlPr>
        </control>
      </mc:Choice>
      <mc:Fallback>
        <control shapeId="8221" r:id="rId46" name="ComboBox26"/>
      </mc:Fallback>
    </mc:AlternateContent>
    <mc:AlternateContent xmlns:mc="http://schemas.openxmlformats.org/markup-compatibility/2006">
      <mc:Choice Requires="x14">
        <control shapeId="8222" r:id="rId48" name="ComboBox27">
          <controlPr locked="0" defaultSize="0" autoLine="0" autoPict="0" linkedCell="I23" listFillRange="後部扉レール補強" r:id="rId49">
            <anchor moveWithCells="1" sizeWithCells="1">
              <from>
                <xdr:col>4</xdr:col>
                <xdr:colOff>9525</xdr:colOff>
                <xdr:row>21</xdr:row>
                <xdr:rowOff>419100</xdr:rowOff>
              </from>
              <to>
                <xdr:col>6</xdr:col>
                <xdr:colOff>9525</xdr:colOff>
                <xdr:row>23</xdr:row>
                <xdr:rowOff>0</xdr:rowOff>
              </to>
            </anchor>
          </controlPr>
        </control>
      </mc:Choice>
      <mc:Fallback>
        <control shapeId="8222" r:id="rId48" name="ComboBox27"/>
      </mc:Fallback>
    </mc:AlternateContent>
    <mc:AlternateContent xmlns:mc="http://schemas.openxmlformats.org/markup-compatibility/2006">
      <mc:Choice Requires="x14">
        <control shapeId="8223" r:id="rId50" name="ComboBox28">
          <controlPr locked="0" defaultSize="0" autoLine="0" autoPict="0" linkedCell="I24" listFillRange="汚水排出装置取付" r:id="rId51">
            <anchor moveWithCells="1" sizeWithCells="1">
              <from>
                <xdr:col>4</xdr:col>
                <xdr:colOff>9525</xdr:colOff>
                <xdr:row>22</xdr:row>
                <xdr:rowOff>428625</xdr:rowOff>
              </from>
              <to>
                <xdr:col>6</xdr:col>
                <xdr:colOff>9525</xdr:colOff>
                <xdr:row>24</xdr:row>
                <xdr:rowOff>9525</xdr:rowOff>
              </to>
            </anchor>
          </controlPr>
        </control>
      </mc:Choice>
      <mc:Fallback>
        <control shapeId="8223" r:id="rId50" name="ComboBox28"/>
      </mc:Fallback>
    </mc:AlternateContent>
    <mc:AlternateContent xmlns:mc="http://schemas.openxmlformats.org/markup-compatibility/2006">
      <mc:Choice Requires="x14">
        <control shapeId="8224" r:id="rId52" name="ComboBox29">
          <controlPr locked="0" defaultSize="0" autoLine="0" autoPict="0" linkedCell="I25" listFillRange="汚水タンク蓋" r:id="rId53">
            <anchor moveWithCells="1" sizeWithCells="1">
              <from>
                <xdr:col>4</xdr:col>
                <xdr:colOff>9525</xdr:colOff>
                <xdr:row>23</xdr:row>
                <xdr:rowOff>428625</xdr:rowOff>
              </from>
              <to>
                <xdr:col>6</xdr:col>
                <xdr:colOff>9525</xdr:colOff>
                <xdr:row>25</xdr:row>
                <xdr:rowOff>9525</xdr:rowOff>
              </to>
            </anchor>
          </controlPr>
        </control>
      </mc:Choice>
      <mc:Fallback>
        <control shapeId="8224" r:id="rId52" name="ComboBox29"/>
      </mc:Fallback>
    </mc:AlternateContent>
    <mc:AlternateContent xmlns:mc="http://schemas.openxmlformats.org/markup-compatibility/2006">
      <mc:Choice Requires="x14">
        <control shapeId="8225" r:id="rId54" name="ComboBox30">
          <controlPr locked="0" defaultSize="0" autoLine="0" autoPict="0" linkedCell="I26" listFillRange="汚水溜り取付" r:id="rId55">
            <anchor moveWithCells="1" sizeWithCells="1">
              <from>
                <xdr:col>4</xdr:col>
                <xdr:colOff>9525</xdr:colOff>
                <xdr:row>24</xdr:row>
                <xdr:rowOff>428625</xdr:rowOff>
              </from>
              <to>
                <xdr:col>6</xdr:col>
                <xdr:colOff>9525</xdr:colOff>
                <xdr:row>26</xdr:row>
                <xdr:rowOff>9525</xdr:rowOff>
              </to>
            </anchor>
          </controlPr>
        </control>
      </mc:Choice>
      <mc:Fallback>
        <control shapeId="8225" r:id="rId54" name="ComboBox30"/>
      </mc:Fallback>
    </mc:AlternateContent>
    <mc:AlternateContent xmlns:mc="http://schemas.openxmlformats.org/markup-compatibility/2006">
      <mc:Choice Requires="x14">
        <control shapeId="8226" r:id="rId56" name="ComboBox31">
          <controlPr locked="0" defaultSize="0" autoLine="0" autoPict="0" linkedCell="I27" listFillRange="飛散防止装置取付" r:id="rId57">
            <anchor moveWithCells="1" sizeWithCells="1">
              <from>
                <xdr:col>4</xdr:col>
                <xdr:colOff>9525</xdr:colOff>
                <xdr:row>26</xdr:row>
                <xdr:rowOff>0</xdr:rowOff>
              </from>
              <to>
                <xdr:col>6</xdr:col>
                <xdr:colOff>9525</xdr:colOff>
                <xdr:row>27</xdr:row>
                <xdr:rowOff>28575</xdr:rowOff>
              </to>
            </anchor>
          </controlPr>
        </control>
      </mc:Choice>
      <mc:Fallback>
        <control shapeId="8226" r:id="rId56" name="ComboBox31"/>
      </mc:Fallback>
    </mc:AlternateContent>
    <mc:AlternateContent xmlns:mc="http://schemas.openxmlformats.org/markup-compatibility/2006">
      <mc:Choice Requires="x14">
        <control shapeId="8227" r:id="rId58" name="ComboBox32">
          <controlPr locked="0" defaultSize="0" autoLine="0" autoPict="0" linkedCell="I28" listFillRange="後部扉" r:id="rId59">
            <anchor moveWithCells="1" sizeWithCells="1">
              <from>
                <xdr:col>4</xdr:col>
                <xdr:colOff>9525</xdr:colOff>
                <xdr:row>27</xdr:row>
                <xdr:rowOff>0</xdr:rowOff>
              </from>
              <to>
                <xdr:col>6</xdr:col>
                <xdr:colOff>9525</xdr:colOff>
                <xdr:row>28</xdr:row>
                <xdr:rowOff>19050</xdr:rowOff>
              </to>
            </anchor>
          </controlPr>
        </control>
      </mc:Choice>
      <mc:Fallback>
        <control shapeId="8227" r:id="rId58" name="ComboBox32"/>
      </mc:Fallback>
    </mc:AlternateContent>
    <mc:AlternateContent xmlns:mc="http://schemas.openxmlformats.org/markup-compatibility/2006">
      <mc:Choice Requires="x14">
        <control shapeId="8228" r:id="rId60" name="ComboBox33">
          <controlPr locked="0" defaultSize="0" autoLine="0" autoPict="0" linkedCell="I29" listFillRange="後部扉取っ手" r:id="rId61">
            <anchor moveWithCells="1" sizeWithCells="1">
              <from>
                <xdr:col>4</xdr:col>
                <xdr:colOff>9525</xdr:colOff>
                <xdr:row>28</xdr:row>
                <xdr:rowOff>0</xdr:rowOff>
              </from>
              <to>
                <xdr:col>6</xdr:col>
                <xdr:colOff>9525</xdr:colOff>
                <xdr:row>29</xdr:row>
                <xdr:rowOff>19050</xdr:rowOff>
              </to>
            </anchor>
          </controlPr>
        </control>
      </mc:Choice>
      <mc:Fallback>
        <control shapeId="8228" r:id="rId60" name="ComboBox33"/>
      </mc:Fallback>
    </mc:AlternateContent>
    <mc:AlternateContent xmlns:mc="http://schemas.openxmlformats.org/markup-compatibility/2006">
      <mc:Choice Requires="x14">
        <control shapeId="8229" r:id="rId62" name="ComboBox34">
          <controlPr locked="0" defaultSize="0" autoLine="0" autoPict="0" linkedCell="I30" listFillRange="後部扉取っ手部にφ１６丸棒追加" r:id="rId63">
            <anchor moveWithCells="1" sizeWithCells="1">
              <from>
                <xdr:col>4</xdr:col>
                <xdr:colOff>9525</xdr:colOff>
                <xdr:row>28</xdr:row>
                <xdr:rowOff>428625</xdr:rowOff>
              </from>
              <to>
                <xdr:col>6</xdr:col>
                <xdr:colOff>9525</xdr:colOff>
                <xdr:row>30</xdr:row>
                <xdr:rowOff>9525</xdr:rowOff>
              </to>
            </anchor>
          </controlPr>
        </control>
      </mc:Choice>
      <mc:Fallback>
        <control shapeId="8229" r:id="rId62" name="ComboBox34"/>
      </mc:Fallback>
    </mc:AlternateContent>
    <mc:AlternateContent xmlns:mc="http://schemas.openxmlformats.org/markup-compatibility/2006">
      <mc:Choice Requires="x14">
        <control shapeId="8230" r:id="rId64" name="ComboBox35">
          <controlPr locked="0" defaultSize="0" autoLine="0" autoPict="0" linkedCell="I31" listFillRange="テールゲートサイドカバー" r:id="rId65">
            <anchor moveWithCells="1" sizeWithCells="1">
              <from>
                <xdr:col>4</xdr:col>
                <xdr:colOff>9525</xdr:colOff>
                <xdr:row>29</xdr:row>
                <xdr:rowOff>428625</xdr:rowOff>
              </from>
              <to>
                <xdr:col>6</xdr:col>
                <xdr:colOff>9525</xdr:colOff>
                <xdr:row>31</xdr:row>
                <xdr:rowOff>9525</xdr:rowOff>
              </to>
            </anchor>
          </controlPr>
        </control>
      </mc:Choice>
      <mc:Fallback>
        <control shapeId="8230" r:id="rId64" name="ComboBox35"/>
      </mc:Fallback>
    </mc:AlternateContent>
    <mc:AlternateContent xmlns:mc="http://schemas.openxmlformats.org/markup-compatibility/2006">
      <mc:Choice Requires="x14">
        <control shapeId="8231" r:id="rId66" name="ComboBox36">
          <controlPr locked="0" defaultSize="0" autoLine="0" autoPict="0" linkedCell="I32" listFillRange="ガイドテーブル" r:id="rId67">
            <anchor moveWithCells="1" sizeWithCells="1">
              <from>
                <xdr:col>4</xdr:col>
                <xdr:colOff>9525</xdr:colOff>
                <xdr:row>30</xdr:row>
                <xdr:rowOff>419100</xdr:rowOff>
              </from>
              <to>
                <xdr:col>6</xdr:col>
                <xdr:colOff>9525</xdr:colOff>
                <xdr:row>32</xdr:row>
                <xdr:rowOff>0</xdr:rowOff>
              </to>
            </anchor>
          </controlPr>
        </control>
      </mc:Choice>
      <mc:Fallback>
        <control shapeId="8231" r:id="rId66" name="ComboBox36"/>
      </mc:Fallback>
    </mc:AlternateContent>
    <mc:AlternateContent xmlns:mc="http://schemas.openxmlformats.org/markup-compatibility/2006">
      <mc:Choice Requires="x14">
        <control shapeId="8232" r:id="rId68" name="ComboBox37">
          <controlPr locked="0" defaultSize="0" autoLine="0" autoPict="0" linkedCell="I33" listFillRange="積込操作盤" r:id="rId69">
            <anchor moveWithCells="1" sizeWithCells="1">
              <from>
                <xdr:col>4</xdr:col>
                <xdr:colOff>9525</xdr:colOff>
                <xdr:row>31</xdr:row>
                <xdr:rowOff>419100</xdr:rowOff>
              </from>
              <to>
                <xdr:col>6</xdr:col>
                <xdr:colOff>9525</xdr:colOff>
                <xdr:row>33</xdr:row>
                <xdr:rowOff>0</xdr:rowOff>
              </to>
            </anchor>
          </controlPr>
        </control>
      </mc:Choice>
      <mc:Fallback>
        <control shapeId="8232" r:id="rId68" name="ComboBox37"/>
      </mc:Fallback>
    </mc:AlternateContent>
    <mc:AlternateContent xmlns:mc="http://schemas.openxmlformats.org/markup-compatibility/2006">
      <mc:Choice Requires="x14">
        <control shapeId="8233" r:id="rId70" name="ComboBox38">
          <controlPr locked="0" defaultSize="0" autoLine="0" autoPict="0" linkedCell="I34" listFillRange="積込操作盤・緊急停止スイッチボックスゴムカバー" r:id="rId71">
            <anchor moveWithCells="1" sizeWithCells="1">
              <from>
                <xdr:col>4</xdr:col>
                <xdr:colOff>9525</xdr:colOff>
                <xdr:row>32</xdr:row>
                <xdr:rowOff>419100</xdr:rowOff>
              </from>
              <to>
                <xdr:col>6</xdr:col>
                <xdr:colOff>9525</xdr:colOff>
                <xdr:row>34</xdr:row>
                <xdr:rowOff>9525</xdr:rowOff>
              </to>
            </anchor>
          </controlPr>
        </control>
      </mc:Choice>
      <mc:Fallback>
        <control shapeId="8233" r:id="rId70" name="ComboBox38"/>
      </mc:Fallback>
    </mc:AlternateContent>
    <mc:AlternateContent xmlns:mc="http://schemas.openxmlformats.org/markup-compatibility/2006">
      <mc:Choice Requires="x14">
        <control shapeId="8234" r:id="rId72" name="ComboBox39">
          <controlPr locked="0" defaultSize="0" autoLine="0" autoPict="0" linkedCell="I35" listFillRange="積込操作盤・緊急停止スイッチボックスガード取付" r:id="rId73">
            <anchor moveWithCells="1" sizeWithCells="1">
              <from>
                <xdr:col>4</xdr:col>
                <xdr:colOff>9525</xdr:colOff>
                <xdr:row>33</xdr:row>
                <xdr:rowOff>428625</xdr:rowOff>
              </from>
              <to>
                <xdr:col>6</xdr:col>
                <xdr:colOff>9525</xdr:colOff>
                <xdr:row>34</xdr:row>
                <xdr:rowOff>428625</xdr:rowOff>
              </to>
            </anchor>
          </controlPr>
        </control>
      </mc:Choice>
      <mc:Fallback>
        <control shapeId="8234" r:id="rId72" name="ComboBox39"/>
      </mc:Fallback>
    </mc:AlternateContent>
    <mc:AlternateContent xmlns:mc="http://schemas.openxmlformats.org/markup-compatibility/2006">
      <mc:Choice Requires="x14">
        <control shapeId="8236" r:id="rId74" name="ComboBox41">
          <controlPr locked="0" defaultSize="0" autoLine="0" autoPict="0" linkedCell="I36" listFillRange="連絡ブザー用押しボタンスイッチを右側に増設" r:id="rId75">
            <anchor moveWithCells="1" sizeWithCells="1">
              <from>
                <xdr:col>4</xdr:col>
                <xdr:colOff>9525</xdr:colOff>
                <xdr:row>34</xdr:row>
                <xdr:rowOff>428625</xdr:rowOff>
              </from>
              <to>
                <xdr:col>6</xdr:col>
                <xdr:colOff>9525</xdr:colOff>
                <xdr:row>36</xdr:row>
                <xdr:rowOff>19050</xdr:rowOff>
              </to>
            </anchor>
          </controlPr>
        </control>
      </mc:Choice>
      <mc:Fallback>
        <control shapeId="8236" r:id="rId74" name="ComboBox41"/>
      </mc:Fallback>
    </mc:AlternateContent>
    <mc:AlternateContent xmlns:mc="http://schemas.openxmlformats.org/markup-compatibility/2006">
      <mc:Choice Requires="x14">
        <control shapeId="8237" r:id="rId76" name="ComboBox42">
          <controlPr locked="0" defaultSize="0" autoLine="0" autoPict="0" linkedCell="I37" listFillRange="コーナープロテクタ" r:id="rId77">
            <anchor moveWithCells="1" sizeWithCells="1">
              <from>
                <xdr:col>4</xdr:col>
                <xdr:colOff>9525</xdr:colOff>
                <xdr:row>35</xdr:row>
                <xdr:rowOff>419100</xdr:rowOff>
              </from>
              <to>
                <xdr:col>6</xdr:col>
                <xdr:colOff>9525</xdr:colOff>
                <xdr:row>37</xdr:row>
                <xdr:rowOff>9525</xdr:rowOff>
              </to>
            </anchor>
          </controlPr>
        </control>
      </mc:Choice>
      <mc:Fallback>
        <control shapeId="8237" r:id="rId76" name="ComboBox42"/>
      </mc:Fallback>
    </mc:AlternateContent>
    <mc:AlternateContent xmlns:mc="http://schemas.openxmlformats.org/markup-compatibility/2006">
      <mc:Choice Requires="x14">
        <control shapeId="8238" r:id="rId78" name="ComboBox43">
          <controlPr locked="0" defaultSize="0" autoLine="0" autoPict="0" linkedCell="I38" listFillRange="後部バンパ" r:id="rId79">
            <anchor moveWithCells="1" sizeWithCells="1">
              <from>
                <xdr:col>4</xdr:col>
                <xdr:colOff>9525</xdr:colOff>
                <xdr:row>36</xdr:row>
                <xdr:rowOff>419100</xdr:rowOff>
              </from>
              <to>
                <xdr:col>6</xdr:col>
                <xdr:colOff>9525</xdr:colOff>
                <xdr:row>38</xdr:row>
                <xdr:rowOff>9525</xdr:rowOff>
              </to>
            </anchor>
          </controlPr>
        </control>
      </mc:Choice>
      <mc:Fallback>
        <control shapeId="8238" r:id="rId78" name="ComboBox43"/>
      </mc:Fallback>
    </mc:AlternateContent>
    <mc:AlternateContent xmlns:mc="http://schemas.openxmlformats.org/markup-compatibility/2006">
      <mc:Choice Requires="x14">
        <control shapeId="8239" r:id="rId80" name="ComboBox44">
          <controlPr locked="0" defaultSize="0" autoLine="0" autoPict="0" linkedCell="I39" listFillRange="天井カバー" r:id="rId81">
            <anchor moveWithCells="1" sizeWithCells="1">
              <from>
                <xdr:col>4</xdr:col>
                <xdr:colOff>9525</xdr:colOff>
                <xdr:row>37</xdr:row>
                <xdr:rowOff>419100</xdr:rowOff>
              </from>
              <to>
                <xdr:col>6</xdr:col>
                <xdr:colOff>9525</xdr:colOff>
                <xdr:row>39</xdr:row>
                <xdr:rowOff>9525</xdr:rowOff>
              </to>
            </anchor>
          </controlPr>
        </control>
      </mc:Choice>
      <mc:Fallback>
        <control shapeId="8239" r:id="rId80" name="ComboBox44"/>
      </mc:Fallback>
    </mc:AlternateContent>
    <mc:AlternateContent xmlns:mc="http://schemas.openxmlformats.org/markup-compatibility/2006">
      <mc:Choice Requires="x14">
        <control shapeId="8240" r:id="rId82" name="ComboBox45">
          <controlPr locked="0" defaultSize="0" autoLine="0" autoPict="0" linkedCell="I40" listFillRange="テールゲート遮蔽板部の配線とホースに耐熱シート巻き付け" r:id="rId83">
            <anchor moveWithCells="1" sizeWithCells="1">
              <from>
                <xdr:col>4</xdr:col>
                <xdr:colOff>9525</xdr:colOff>
                <xdr:row>38</xdr:row>
                <xdr:rowOff>419100</xdr:rowOff>
              </from>
              <to>
                <xdr:col>6</xdr:col>
                <xdr:colOff>9525</xdr:colOff>
                <xdr:row>40</xdr:row>
                <xdr:rowOff>9525</xdr:rowOff>
              </to>
            </anchor>
          </controlPr>
        </control>
      </mc:Choice>
      <mc:Fallback>
        <control shapeId="8240" r:id="rId82" name="ComboBox45"/>
      </mc:Fallback>
    </mc:AlternateContent>
    <mc:AlternateContent xmlns:mc="http://schemas.openxmlformats.org/markup-compatibility/2006">
      <mc:Choice Requires="x14">
        <control shapeId="8241" r:id="rId84" name="ComboBox46">
          <controlPr locked="0" defaultSize="0" autoLine="0" autoPict="0" linkedCell="I41" listFillRange="グリスオマット取付" r:id="rId85">
            <anchor moveWithCells="1" sizeWithCells="1">
              <from>
                <xdr:col>4</xdr:col>
                <xdr:colOff>9525</xdr:colOff>
                <xdr:row>40</xdr:row>
                <xdr:rowOff>0</xdr:rowOff>
              </from>
              <to>
                <xdr:col>6</xdr:col>
                <xdr:colOff>9525</xdr:colOff>
                <xdr:row>41</xdr:row>
                <xdr:rowOff>0</xdr:rowOff>
              </to>
            </anchor>
          </controlPr>
        </control>
      </mc:Choice>
      <mc:Fallback>
        <control shapeId="8241" r:id="rId84" name="ComboBox46"/>
      </mc:Fallback>
    </mc:AlternateContent>
    <mc:AlternateContent xmlns:mc="http://schemas.openxmlformats.org/markup-compatibility/2006">
      <mc:Choice Requires="x14">
        <control shapeId="8243" r:id="rId86" name="ComboBox48">
          <controlPr locked="0" defaultSize="0" autoLine="0" autoPict="0" linkedCell="I42" listFillRange="テールゲート上昇時後部安全棒セット警報" r:id="rId87">
            <anchor moveWithCells="1" sizeWithCells="1">
              <from>
                <xdr:col>4</xdr:col>
                <xdr:colOff>9525</xdr:colOff>
                <xdr:row>40</xdr:row>
                <xdr:rowOff>419100</xdr:rowOff>
              </from>
              <to>
                <xdr:col>6</xdr:col>
                <xdr:colOff>9525</xdr:colOff>
                <xdr:row>42</xdr:row>
                <xdr:rowOff>9525</xdr:rowOff>
              </to>
            </anchor>
          </controlPr>
        </control>
      </mc:Choice>
      <mc:Fallback>
        <control shapeId="8243" r:id="rId86" name="ComboBox48"/>
      </mc:Fallback>
    </mc:AlternateContent>
    <mc:AlternateContent xmlns:mc="http://schemas.openxmlformats.org/markup-compatibility/2006">
      <mc:Choice Requires="x14">
        <control shapeId="8244" r:id="rId88" name="ComboBox49">
          <controlPr locked="0" defaultSize="0" autoLine="0" autoPict="0" linkedCell="I43" listFillRange="テールゲートリフト緊急用強制降下装置" r:id="rId89">
            <anchor moveWithCells="1" sizeWithCells="1">
              <from>
                <xdr:col>4</xdr:col>
                <xdr:colOff>9525</xdr:colOff>
                <xdr:row>41</xdr:row>
                <xdr:rowOff>428625</xdr:rowOff>
              </from>
              <to>
                <xdr:col>6</xdr:col>
                <xdr:colOff>9525</xdr:colOff>
                <xdr:row>43</xdr:row>
                <xdr:rowOff>9525</xdr:rowOff>
              </to>
            </anchor>
          </controlPr>
        </control>
      </mc:Choice>
      <mc:Fallback>
        <control shapeId="8244" r:id="rId88" name="ComboBox49"/>
      </mc:Fallback>
    </mc:AlternateContent>
    <mc:AlternateContent xmlns:mc="http://schemas.openxmlformats.org/markup-compatibility/2006">
      <mc:Choice Requires="x14">
        <control shapeId="8245" r:id="rId90" name="ComboBox50">
          <controlPr locked="0" defaultSize="0" autoLine="0" autoPict="0" linkedCell="I44" listFillRange="フレームカバー" r:id="rId91">
            <anchor moveWithCells="1" sizeWithCells="1">
              <from>
                <xdr:col>4</xdr:col>
                <xdr:colOff>9525</xdr:colOff>
                <xdr:row>42</xdr:row>
                <xdr:rowOff>428625</xdr:rowOff>
              </from>
              <to>
                <xdr:col>6</xdr:col>
                <xdr:colOff>9525</xdr:colOff>
                <xdr:row>44</xdr:row>
                <xdr:rowOff>9525</xdr:rowOff>
              </to>
            </anchor>
          </controlPr>
        </control>
      </mc:Choice>
      <mc:Fallback>
        <control shapeId="8245" r:id="rId90" name="ComboBox50"/>
      </mc:Fallback>
    </mc:AlternateContent>
    <mc:AlternateContent xmlns:mc="http://schemas.openxmlformats.org/markup-compatibility/2006">
      <mc:Choice Requires="x14">
        <control shapeId="8246" r:id="rId92" name="ComboBox51">
          <controlPr locked="0" defaultSize="0" autoLine="0" autoPict="0" linkedCell="I45" listFillRange="Ｔ型マフラー取付" r:id="rId93">
            <anchor moveWithCells="1" sizeWithCells="1">
              <from>
                <xdr:col>4</xdr:col>
                <xdr:colOff>9525</xdr:colOff>
                <xdr:row>44</xdr:row>
                <xdr:rowOff>0</xdr:rowOff>
              </from>
              <to>
                <xdr:col>6</xdr:col>
                <xdr:colOff>9525</xdr:colOff>
                <xdr:row>45</xdr:row>
                <xdr:rowOff>28575</xdr:rowOff>
              </to>
            </anchor>
          </controlPr>
        </control>
      </mc:Choice>
      <mc:Fallback>
        <control shapeId="8246" r:id="rId92" name="ComboBox51"/>
      </mc:Fallback>
    </mc:AlternateContent>
    <mc:AlternateContent xmlns:mc="http://schemas.openxmlformats.org/markup-compatibility/2006">
      <mc:Choice Requires="x14">
        <control shapeId="8247" r:id="rId94" name="ComboBox52">
          <controlPr locked="0" defaultSize="0" autoLine="0" autoPict="0" linkedCell="I46" listFillRange="油圧ポンプ" r:id="rId95">
            <anchor moveWithCells="1" sizeWithCells="1">
              <from>
                <xdr:col>4</xdr:col>
                <xdr:colOff>9525</xdr:colOff>
                <xdr:row>45</xdr:row>
                <xdr:rowOff>0</xdr:rowOff>
              </from>
              <to>
                <xdr:col>6</xdr:col>
                <xdr:colOff>9525</xdr:colOff>
                <xdr:row>46</xdr:row>
                <xdr:rowOff>19050</xdr:rowOff>
              </to>
            </anchor>
          </controlPr>
        </control>
      </mc:Choice>
      <mc:Fallback>
        <control shapeId="8247" r:id="rId94" name="ComboBox52"/>
      </mc:Fallback>
    </mc:AlternateContent>
    <mc:AlternateContent xmlns:mc="http://schemas.openxmlformats.org/markup-compatibility/2006">
      <mc:Choice Requires="x14">
        <control shapeId="8248" r:id="rId96" name="ComboBox53">
          <controlPr locked="0" defaultSize="0" autoLine="0" autoPict="0" linkedCell="I47" listFillRange="後部フェンダ" r:id="rId97">
            <anchor moveWithCells="1" sizeWithCells="1">
              <from>
                <xdr:col>4</xdr:col>
                <xdr:colOff>9525</xdr:colOff>
                <xdr:row>46</xdr:row>
                <xdr:rowOff>0</xdr:rowOff>
              </from>
              <to>
                <xdr:col>6</xdr:col>
                <xdr:colOff>9525</xdr:colOff>
                <xdr:row>47</xdr:row>
                <xdr:rowOff>19050</xdr:rowOff>
              </to>
            </anchor>
          </controlPr>
        </control>
      </mc:Choice>
      <mc:Fallback>
        <control shapeId="8248" r:id="rId96" name="ComboBox53"/>
      </mc:Fallback>
    </mc:AlternateContent>
    <mc:AlternateContent xmlns:mc="http://schemas.openxmlformats.org/markup-compatibility/2006">
      <mc:Choice Requires="x14">
        <control shapeId="8249" r:id="rId98" name="ComboBox54">
          <controlPr locked="0" defaultSize="0" autoLine="0" autoPict="0" linkedCell="I48" listFillRange="泥除けゴムに巻き込み防止枠兼振れ止め取付" r:id="rId99">
            <anchor moveWithCells="1" sizeWithCells="1">
              <from>
                <xdr:col>4</xdr:col>
                <xdr:colOff>9525</xdr:colOff>
                <xdr:row>46</xdr:row>
                <xdr:rowOff>428625</xdr:rowOff>
              </from>
              <to>
                <xdr:col>6</xdr:col>
                <xdr:colOff>9525</xdr:colOff>
                <xdr:row>48</xdr:row>
                <xdr:rowOff>9525</xdr:rowOff>
              </to>
            </anchor>
          </controlPr>
        </control>
      </mc:Choice>
      <mc:Fallback>
        <control shapeId="8249" r:id="rId98" name="ComboBox54"/>
      </mc:Fallback>
    </mc:AlternateContent>
    <mc:AlternateContent xmlns:mc="http://schemas.openxmlformats.org/markup-compatibility/2006">
      <mc:Choice Requires="x14">
        <control shapeId="8250" r:id="rId100" name="ComboBox55">
          <controlPr locked="0" defaultSize="0" autoLine="0" autoPict="0" linkedCell="I49" listFillRange="泥除ゴムに後方移設プレート取付" r:id="rId101">
            <anchor moveWithCells="1" sizeWithCells="1">
              <from>
                <xdr:col>4</xdr:col>
                <xdr:colOff>9525</xdr:colOff>
                <xdr:row>47</xdr:row>
                <xdr:rowOff>428625</xdr:rowOff>
              </from>
              <to>
                <xdr:col>6</xdr:col>
                <xdr:colOff>9525</xdr:colOff>
                <xdr:row>49</xdr:row>
                <xdr:rowOff>9525</xdr:rowOff>
              </to>
            </anchor>
          </controlPr>
        </control>
      </mc:Choice>
      <mc:Fallback>
        <control shapeId="8250" r:id="rId100" name="ComboBox55"/>
      </mc:Fallback>
    </mc:AlternateContent>
    <mc:AlternateContent xmlns:mc="http://schemas.openxmlformats.org/markup-compatibility/2006">
      <mc:Choice Requires="x14">
        <control shapeId="8251" r:id="rId102" name="ComboBox56">
          <controlPr locked="0" defaultSize="0" autoLine="0" autoPict="0" linkedCell="I50" listFillRange="後部フェンダ泥除けゴム" r:id="rId103">
            <anchor moveWithCells="1" sizeWithCells="1">
              <from>
                <xdr:col>4</xdr:col>
                <xdr:colOff>9525</xdr:colOff>
                <xdr:row>49</xdr:row>
                <xdr:rowOff>0</xdr:rowOff>
              </from>
              <to>
                <xdr:col>6</xdr:col>
                <xdr:colOff>9525</xdr:colOff>
                <xdr:row>50</xdr:row>
                <xdr:rowOff>19050</xdr:rowOff>
              </to>
            </anchor>
          </controlPr>
        </control>
      </mc:Choice>
      <mc:Fallback>
        <control shapeId="8251" r:id="rId102" name="ComboBox56"/>
      </mc:Fallback>
    </mc:AlternateContent>
    <mc:AlternateContent xmlns:mc="http://schemas.openxmlformats.org/markup-compatibility/2006">
      <mc:Choice Requires="x14">
        <control shapeId="8252" r:id="rId104" name="ComboBox57">
          <controlPr locked="0" defaultSize="0" autoLine="0" autoPict="0" linkedCell="I51" listFillRange="後輪前に泥除け鋼板" r:id="rId105">
            <anchor moveWithCells="1" sizeWithCells="1">
              <from>
                <xdr:col>4</xdr:col>
                <xdr:colOff>9525</xdr:colOff>
                <xdr:row>50</xdr:row>
                <xdr:rowOff>0</xdr:rowOff>
              </from>
              <to>
                <xdr:col>6</xdr:col>
                <xdr:colOff>9525</xdr:colOff>
                <xdr:row>51</xdr:row>
                <xdr:rowOff>19050</xdr:rowOff>
              </to>
            </anchor>
          </controlPr>
        </control>
      </mc:Choice>
      <mc:Fallback>
        <control shapeId="8252" r:id="rId104" name="ComboBox57"/>
      </mc:Fallback>
    </mc:AlternateContent>
    <mc:AlternateContent xmlns:mc="http://schemas.openxmlformats.org/markup-compatibility/2006">
      <mc:Choice Requires="x14">
        <control shapeId="8253" r:id="rId106" name="ComboBox58">
          <controlPr locked="0" defaultSize="0" autoLine="0" autoPict="0" linkedCell="I52" listFillRange="作動油ドレンホース取付" r:id="rId107">
            <anchor moveWithCells="1" sizeWithCells="1">
              <from>
                <xdr:col>4</xdr:col>
                <xdr:colOff>9525</xdr:colOff>
                <xdr:row>50</xdr:row>
                <xdr:rowOff>419100</xdr:rowOff>
              </from>
              <to>
                <xdr:col>6</xdr:col>
                <xdr:colOff>9525</xdr:colOff>
                <xdr:row>52</xdr:row>
                <xdr:rowOff>0</xdr:rowOff>
              </to>
            </anchor>
          </controlPr>
        </control>
      </mc:Choice>
      <mc:Fallback>
        <control shapeId="8253" r:id="rId106" name="ComboBox58"/>
      </mc:Fallback>
    </mc:AlternateContent>
    <mc:AlternateContent xmlns:mc="http://schemas.openxmlformats.org/markup-compatibility/2006">
      <mc:Choice Requires="x14">
        <control shapeId="8254" r:id="rId108" name="ComboBox59">
          <controlPr locked="0" defaultSize="0" autoLine="0" autoPict="0" linkedCell="I53" listFillRange="サイドガード" r:id="rId109">
            <anchor moveWithCells="1" sizeWithCells="1">
              <from>
                <xdr:col>4</xdr:col>
                <xdr:colOff>9525</xdr:colOff>
                <xdr:row>52</xdr:row>
                <xdr:rowOff>9525</xdr:rowOff>
              </from>
              <to>
                <xdr:col>6</xdr:col>
                <xdr:colOff>9525</xdr:colOff>
                <xdr:row>53</xdr:row>
                <xdr:rowOff>28575</xdr:rowOff>
              </to>
            </anchor>
          </controlPr>
        </control>
      </mc:Choice>
      <mc:Fallback>
        <control shapeId="8254" r:id="rId108" name="ComboBox59"/>
      </mc:Fallback>
    </mc:AlternateContent>
    <mc:AlternateContent xmlns:mc="http://schemas.openxmlformats.org/markup-compatibility/2006">
      <mc:Choice Requires="x14">
        <control shapeId="8255" r:id="rId110" name="ComboBox60">
          <controlPr locked="0" defaultSize="0" autoLine="0" autoPict="0" linkedCell="I54" listFillRange="テールランプ取付位置" r:id="rId111">
            <anchor moveWithCells="1" sizeWithCells="1">
              <from>
                <xdr:col>4</xdr:col>
                <xdr:colOff>9525</xdr:colOff>
                <xdr:row>52</xdr:row>
                <xdr:rowOff>428625</xdr:rowOff>
              </from>
              <to>
                <xdr:col>6</xdr:col>
                <xdr:colOff>9525</xdr:colOff>
                <xdr:row>54</xdr:row>
                <xdr:rowOff>28575</xdr:rowOff>
              </to>
            </anchor>
          </controlPr>
        </control>
      </mc:Choice>
      <mc:Fallback>
        <control shapeId="8255" r:id="rId110" name="ComboBox60"/>
      </mc:Fallback>
    </mc:AlternateContent>
    <mc:AlternateContent xmlns:mc="http://schemas.openxmlformats.org/markup-compatibility/2006">
      <mc:Choice Requires="x14">
        <control shapeId="8256" r:id="rId112" name="ComboBox61">
          <controlPr locked="0" defaultSize="0" autoLine="0" autoPict="0" linkedCell="I55" listFillRange="電装パネル" r:id="rId113">
            <anchor moveWithCells="1" sizeWithCells="1">
              <from>
                <xdr:col>4</xdr:col>
                <xdr:colOff>9525</xdr:colOff>
                <xdr:row>53</xdr:row>
                <xdr:rowOff>428625</xdr:rowOff>
              </from>
              <to>
                <xdr:col>6</xdr:col>
                <xdr:colOff>9525</xdr:colOff>
                <xdr:row>55</xdr:row>
                <xdr:rowOff>19050</xdr:rowOff>
              </to>
            </anchor>
          </controlPr>
        </control>
      </mc:Choice>
      <mc:Fallback>
        <control shapeId="8256" r:id="rId112" name="ComboBox61"/>
      </mc:Fallback>
    </mc:AlternateContent>
    <mc:AlternateContent xmlns:mc="http://schemas.openxmlformats.org/markup-compatibility/2006">
      <mc:Choice Requires="x14">
        <control shapeId="8257" r:id="rId114" name="ComboBox62">
          <controlPr locked="0" defaultSize="0" autoLine="0" autoPict="0" linkedCell="I56" listFillRange="設定・解除スイッチ" r:id="rId115">
            <anchor moveWithCells="1" sizeWithCells="1">
              <from>
                <xdr:col>4</xdr:col>
                <xdr:colOff>9525</xdr:colOff>
                <xdr:row>54</xdr:row>
                <xdr:rowOff>428625</xdr:rowOff>
              </from>
              <to>
                <xdr:col>6</xdr:col>
                <xdr:colOff>9525</xdr:colOff>
                <xdr:row>56</xdr:row>
                <xdr:rowOff>19050</xdr:rowOff>
              </to>
            </anchor>
          </controlPr>
        </control>
      </mc:Choice>
      <mc:Fallback>
        <control shapeId="8257" r:id="rId114" name="ComboBox62"/>
      </mc:Fallback>
    </mc:AlternateContent>
    <mc:AlternateContent xmlns:mc="http://schemas.openxmlformats.org/markup-compatibility/2006">
      <mc:Choice Requires="x14">
        <control shapeId="8258" r:id="rId116" name="ComboBox63">
          <controlPr locked="0" defaultSize="0" autoLine="0" autoPict="0" linkedCell="I57" listFillRange="ＰＴＯ「ＯＮ」連動ハザード" r:id="rId117">
            <anchor moveWithCells="1" sizeWithCells="1">
              <from>
                <xdr:col>4</xdr:col>
                <xdr:colOff>9525</xdr:colOff>
                <xdr:row>55</xdr:row>
                <xdr:rowOff>419100</xdr:rowOff>
              </from>
              <to>
                <xdr:col>6</xdr:col>
                <xdr:colOff>9525</xdr:colOff>
                <xdr:row>57</xdr:row>
                <xdr:rowOff>9525</xdr:rowOff>
              </to>
            </anchor>
          </controlPr>
        </control>
      </mc:Choice>
      <mc:Fallback>
        <control shapeId="8258" r:id="rId116" name="ComboBox63"/>
      </mc:Fallback>
    </mc:AlternateContent>
    <mc:AlternateContent xmlns:mc="http://schemas.openxmlformats.org/markup-compatibility/2006">
      <mc:Choice Requires="x14">
        <control shapeId="8259" r:id="rId118" name="ComboBox64">
          <controlPr locked="0" defaultSize="0" autoLine="0" autoPict="0" linkedCell="I58" listFillRange="ライセンスプレート受" r:id="rId119">
            <anchor moveWithCells="1" sizeWithCells="1">
              <from>
                <xdr:col>4</xdr:col>
                <xdr:colOff>9525</xdr:colOff>
                <xdr:row>56</xdr:row>
                <xdr:rowOff>419100</xdr:rowOff>
              </from>
              <to>
                <xdr:col>6</xdr:col>
                <xdr:colOff>9525</xdr:colOff>
                <xdr:row>58</xdr:row>
                <xdr:rowOff>9525</xdr:rowOff>
              </to>
            </anchor>
          </controlPr>
        </control>
      </mc:Choice>
      <mc:Fallback>
        <control shapeId="8259" r:id="rId118" name="ComboBox64"/>
      </mc:Fallback>
    </mc:AlternateContent>
    <mc:AlternateContent xmlns:mc="http://schemas.openxmlformats.org/markup-compatibility/2006">
      <mc:Choice Requires="x14">
        <control shapeId="8260" r:id="rId120" name="ComboBox65">
          <controlPr locked="0" defaultSize="0" autoLine="0" autoPict="0" linkedCell="I59" listFillRange="「作業中」表示燈" r:id="rId121">
            <anchor moveWithCells="1" sizeWithCells="1">
              <from>
                <xdr:col>4</xdr:col>
                <xdr:colOff>9525</xdr:colOff>
                <xdr:row>57</xdr:row>
                <xdr:rowOff>419100</xdr:rowOff>
              </from>
              <to>
                <xdr:col>6</xdr:col>
                <xdr:colOff>9525</xdr:colOff>
                <xdr:row>59</xdr:row>
                <xdr:rowOff>9525</xdr:rowOff>
              </to>
            </anchor>
          </controlPr>
        </control>
      </mc:Choice>
      <mc:Fallback>
        <control shapeId="8260" r:id="rId120" name="ComboBox65"/>
      </mc:Fallback>
    </mc:AlternateContent>
    <mc:AlternateContent xmlns:mc="http://schemas.openxmlformats.org/markup-compatibility/2006">
      <mc:Choice Requires="x14">
        <control shapeId="8261" r:id="rId122" name="ComboBox66">
          <controlPr locked="0" defaultSize="0" autoLine="0" autoPict="0" linkedCell="I60" listFillRange="バックランプ取付位置" r:id="rId123">
            <anchor moveWithCells="1" sizeWithCells="1">
              <from>
                <xdr:col>4</xdr:col>
                <xdr:colOff>9525</xdr:colOff>
                <xdr:row>58</xdr:row>
                <xdr:rowOff>419100</xdr:rowOff>
              </from>
              <to>
                <xdr:col>6</xdr:col>
                <xdr:colOff>9525</xdr:colOff>
                <xdr:row>60</xdr:row>
                <xdr:rowOff>9525</xdr:rowOff>
              </to>
            </anchor>
          </controlPr>
        </control>
      </mc:Choice>
      <mc:Fallback>
        <control shapeId="8261" r:id="rId122" name="ComboBox66"/>
      </mc:Fallback>
    </mc:AlternateContent>
    <mc:AlternateContent xmlns:mc="http://schemas.openxmlformats.org/markup-compatibility/2006">
      <mc:Choice Requires="x14">
        <control shapeId="8262" r:id="rId124" name="ComboBox67">
          <controlPr locked="0" defaultSize="0" autoLine="0" autoPict="0" linkedCell="I61" listFillRange="バックランププロテクタ" r:id="rId125">
            <anchor moveWithCells="1" sizeWithCells="1">
              <from>
                <xdr:col>4</xdr:col>
                <xdr:colOff>9525</xdr:colOff>
                <xdr:row>59</xdr:row>
                <xdr:rowOff>419100</xdr:rowOff>
              </from>
              <to>
                <xdr:col>6</xdr:col>
                <xdr:colOff>9525</xdr:colOff>
                <xdr:row>61</xdr:row>
                <xdr:rowOff>9525</xdr:rowOff>
              </to>
            </anchor>
          </controlPr>
        </control>
      </mc:Choice>
      <mc:Fallback>
        <control shapeId="8262" r:id="rId124" name="ComboBox67"/>
      </mc:Fallback>
    </mc:AlternateContent>
    <mc:AlternateContent xmlns:mc="http://schemas.openxmlformats.org/markup-compatibility/2006">
      <mc:Choice Requires="x14">
        <control shapeId="8263" r:id="rId126" name="ComboBox68">
          <controlPr locked="0" defaultSize="0" autoLine="0" autoPict="0" linkedCell="I62" listFillRange="後方確認用テレビカメラシステム" r:id="rId127">
            <anchor moveWithCells="1" sizeWithCells="1">
              <from>
                <xdr:col>4</xdr:col>
                <xdr:colOff>9525</xdr:colOff>
                <xdr:row>60</xdr:row>
                <xdr:rowOff>419100</xdr:rowOff>
              </from>
              <to>
                <xdr:col>6</xdr:col>
                <xdr:colOff>9525</xdr:colOff>
                <xdr:row>62</xdr:row>
                <xdr:rowOff>9525</xdr:rowOff>
              </to>
            </anchor>
          </controlPr>
        </control>
      </mc:Choice>
      <mc:Fallback>
        <control shapeId="8263" r:id="rId126" name="ComboBox68"/>
      </mc:Fallback>
    </mc:AlternateContent>
    <mc:AlternateContent xmlns:mc="http://schemas.openxmlformats.org/markup-compatibility/2006">
      <mc:Choice Requires="x14">
        <control shapeId="8264" r:id="rId128" name="ComboBox69">
          <controlPr locked="0" defaultSize="0" autoLine="0" autoPict="0" linkedCell="I63" listFillRange="後方確認用テレビカメラＢＫＴ" r:id="rId129">
            <anchor moveWithCells="1" sizeWithCells="1">
              <from>
                <xdr:col>4</xdr:col>
                <xdr:colOff>9525</xdr:colOff>
                <xdr:row>61</xdr:row>
                <xdr:rowOff>419100</xdr:rowOff>
              </from>
              <to>
                <xdr:col>6</xdr:col>
                <xdr:colOff>9525</xdr:colOff>
                <xdr:row>63</xdr:row>
                <xdr:rowOff>19050</xdr:rowOff>
              </to>
            </anchor>
          </controlPr>
        </control>
      </mc:Choice>
      <mc:Fallback>
        <control shapeId="8264" r:id="rId128" name="ComboBox69"/>
      </mc:Fallback>
    </mc:AlternateContent>
    <mc:AlternateContent xmlns:mc="http://schemas.openxmlformats.org/markup-compatibility/2006">
      <mc:Choice Requires="x14">
        <control shapeId="8265" r:id="rId130" name="ComboBox70">
          <controlPr locked="0" defaultSize="0" autoLine="0" autoPict="0" linkedCell="I64" listFillRange="作業灯" r:id="rId131">
            <anchor moveWithCells="1" sizeWithCells="1">
              <from>
                <xdr:col>4</xdr:col>
                <xdr:colOff>9525</xdr:colOff>
                <xdr:row>62</xdr:row>
                <xdr:rowOff>419100</xdr:rowOff>
              </from>
              <to>
                <xdr:col>6</xdr:col>
                <xdr:colOff>9525</xdr:colOff>
                <xdr:row>64</xdr:row>
                <xdr:rowOff>9525</xdr:rowOff>
              </to>
            </anchor>
          </controlPr>
        </control>
      </mc:Choice>
      <mc:Fallback>
        <control shapeId="8265" r:id="rId130" name="ComboBox70"/>
      </mc:Fallback>
    </mc:AlternateContent>
    <mc:AlternateContent xmlns:mc="http://schemas.openxmlformats.org/markup-compatibility/2006">
      <mc:Choice Requires="x14">
        <control shapeId="8266" r:id="rId132" name="ComboBox71">
          <controlPr locked="0" defaultSize="0" autoLine="0" autoPict="0" linkedCell="I65" listFillRange="作業灯スイッチ" r:id="rId133">
            <anchor moveWithCells="1" sizeWithCells="1">
              <from>
                <xdr:col>4</xdr:col>
                <xdr:colOff>9525</xdr:colOff>
                <xdr:row>63</xdr:row>
                <xdr:rowOff>419100</xdr:rowOff>
              </from>
              <to>
                <xdr:col>6</xdr:col>
                <xdr:colOff>9525</xdr:colOff>
                <xdr:row>65</xdr:row>
                <xdr:rowOff>9525</xdr:rowOff>
              </to>
            </anchor>
          </controlPr>
        </control>
      </mc:Choice>
      <mc:Fallback>
        <control shapeId="8266" r:id="rId132" name="ComboBox71"/>
      </mc:Fallback>
    </mc:AlternateContent>
    <mc:AlternateContent xmlns:mc="http://schemas.openxmlformats.org/markup-compatibility/2006">
      <mc:Choice Requires="x14">
        <control shapeId="8267" r:id="rId134" name="ComboBox72">
          <controlPr locked="0" defaultSize="0" autoLine="0" autoPict="0" linkedCell="I66" listFillRange="補助方向指示器" r:id="rId135">
            <anchor moveWithCells="1" sizeWithCells="1">
              <from>
                <xdr:col>4</xdr:col>
                <xdr:colOff>9525</xdr:colOff>
                <xdr:row>64</xdr:row>
                <xdr:rowOff>409575</xdr:rowOff>
              </from>
              <to>
                <xdr:col>6</xdr:col>
                <xdr:colOff>9525</xdr:colOff>
                <xdr:row>65</xdr:row>
                <xdr:rowOff>428625</xdr:rowOff>
              </to>
            </anchor>
          </controlPr>
        </control>
      </mc:Choice>
      <mc:Fallback>
        <control shapeId="8267" r:id="rId134" name="ComboBox72"/>
      </mc:Fallback>
    </mc:AlternateContent>
    <mc:AlternateContent xmlns:mc="http://schemas.openxmlformats.org/markup-compatibility/2006">
      <mc:Choice Requires="x14">
        <control shapeId="8268" r:id="rId136" name="ComboBox73">
          <controlPr locked="0" defaultSize="0" autoLine="0" autoPict="0" linkedCell="I67" listFillRange="タイヤ灯" r:id="rId137">
            <anchor moveWithCells="1" sizeWithCells="1">
              <from>
                <xdr:col>4</xdr:col>
                <xdr:colOff>9525</xdr:colOff>
                <xdr:row>65</xdr:row>
                <xdr:rowOff>428625</xdr:rowOff>
              </from>
              <to>
                <xdr:col>6</xdr:col>
                <xdr:colOff>9525</xdr:colOff>
                <xdr:row>67</xdr:row>
                <xdr:rowOff>9525</xdr:rowOff>
              </to>
            </anchor>
          </controlPr>
        </control>
      </mc:Choice>
      <mc:Fallback>
        <control shapeId="8268" r:id="rId136" name="ComboBox73"/>
      </mc:Fallback>
    </mc:AlternateContent>
    <mc:AlternateContent xmlns:mc="http://schemas.openxmlformats.org/markup-compatibility/2006">
      <mc:Choice Requires="x14">
        <control shapeId="8269" r:id="rId138" name="ComboBox74">
          <controlPr locked="0" defaultSize="0" autoLine="0" autoPict="0" linkedCell="I68" listFillRange="マーカーランプ" r:id="rId139">
            <anchor moveWithCells="1" sizeWithCells="1">
              <from>
                <xdr:col>4</xdr:col>
                <xdr:colOff>9525</xdr:colOff>
                <xdr:row>66</xdr:row>
                <xdr:rowOff>428625</xdr:rowOff>
              </from>
              <to>
                <xdr:col>6</xdr:col>
                <xdr:colOff>9525</xdr:colOff>
                <xdr:row>68</xdr:row>
                <xdr:rowOff>9525</xdr:rowOff>
              </to>
            </anchor>
          </controlPr>
        </control>
      </mc:Choice>
      <mc:Fallback>
        <control shapeId="8269" r:id="rId138" name="ComboBox74"/>
      </mc:Fallback>
    </mc:AlternateContent>
    <mc:AlternateContent xmlns:mc="http://schemas.openxmlformats.org/markup-compatibility/2006">
      <mc:Choice Requires="x14">
        <control shapeId="8270" r:id="rId140" name="ComboBox75">
          <controlPr locked="0" defaultSize="0" autoLine="0" autoPict="0" linkedCell="I69" listFillRange="ロータリーソレノイド式エンジン制御" r:id="rId141">
            <anchor moveWithCells="1" sizeWithCells="1">
              <from>
                <xdr:col>4</xdr:col>
                <xdr:colOff>9525</xdr:colOff>
                <xdr:row>67</xdr:row>
                <xdr:rowOff>428625</xdr:rowOff>
              </from>
              <to>
                <xdr:col>6</xdr:col>
                <xdr:colOff>9525</xdr:colOff>
                <xdr:row>69</xdr:row>
                <xdr:rowOff>9525</xdr:rowOff>
              </to>
            </anchor>
          </controlPr>
        </control>
      </mc:Choice>
      <mc:Fallback>
        <control shapeId="8270" r:id="rId140" name="ComboBox75"/>
      </mc:Fallback>
    </mc:AlternateContent>
    <mc:AlternateContent xmlns:mc="http://schemas.openxmlformats.org/markup-compatibility/2006">
      <mc:Choice Requires="x14">
        <control shapeId="8271" r:id="rId142" name="ComboBox76">
          <controlPr locked="0" defaultSize="0" autoLine="0" autoPict="0" linkedCell="I70" listFillRange="オルゴール" r:id="rId143">
            <anchor moveWithCells="1" sizeWithCells="1">
              <from>
                <xdr:col>4</xdr:col>
                <xdr:colOff>9525</xdr:colOff>
                <xdr:row>69</xdr:row>
                <xdr:rowOff>0</xdr:rowOff>
              </from>
              <to>
                <xdr:col>6</xdr:col>
                <xdr:colOff>9525</xdr:colOff>
                <xdr:row>70</xdr:row>
                <xdr:rowOff>19050</xdr:rowOff>
              </to>
            </anchor>
          </controlPr>
        </control>
      </mc:Choice>
      <mc:Fallback>
        <control shapeId="8271" r:id="rId142" name="ComboBox76"/>
      </mc:Fallback>
    </mc:AlternateContent>
    <mc:AlternateContent xmlns:mc="http://schemas.openxmlformats.org/markup-compatibility/2006">
      <mc:Choice Requires="x14">
        <control shapeId="8272" r:id="rId144" name="ComboBox77">
          <controlPr locked="0" defaultSize="0" autoLine="0" autoPict="0" linkedCell="I71" listFillRange="過積載警報装置" r:id="rId145">
            <anchor moveWithCells="1" sizeWithCells="1">
              <from>
                <xdr:col>4</xdr:col>
                <xdr:colOff>9525</xdr:colOff>
                <xdr:row>69</xdr:row>
                <xdr:rowOff>428625</xdr:rowOff>
              </from>
              <to>
                <xdr:col>6</xdr:col>
                <xdr:colOff>9525</xdr:colOff>
                <xdr:row>71</xdr:row>
                <xdr:rowOff>9525</xdr:rowOff>
              </to>
            </anchor>
          </controlPr>
        </control>
      </mc:Choice>
      <mc:Fallback>
        <control shapeId="8272" r:id="rId144" name="ComboBox77"/>
      </mc:Fallback>
    </mc:AlternateContent>
    <mc:AlternateContent xmlns:mc="http://schemas.openxmlformats.org/markup-compatibility/2006">
      <mc:Choice Requires="x14">
        <control shapeId="8273" r:id="rId146" name="ComboBox78">
          <controlPr locked="0" defaultSize="0" autoLine="0" autoPict="0" linkedCell="I72" listFillRange="アクセルストッパ" r:id="rId147">
            <anchor moveWithCells="1" sizeWithCells="1">
              <from>
                <xdr:col>4</xdr:col>
                <xdr:colOff>9525</xdr:colOff>
                <xdr:row>71</xdr:row>
                <xdr:rowOff>0</xdr:rowOff>
              </from>
              <to>
                <xdr:col>6</xdr:col>
                <xdr:colOff>9525</xdr:colOff>
                <xdr:row>72</xdr:row>
                <xdr:rowOff>28575</xdr:rowOff>
              </to>
            </anchor>
          </controlPr>
        </control>
      </mc:Choice>
      <mc:Fallback>
        <control shapeId="8273" r:id="rId146" name="ComboBox78"/>
      </mc:Fallback>
    </mc:AlternateContent>
    <mc:AlternateContent xmlns:mc="http://schemas.openxmlformats.org/markup-compatibility/2006">
      <mc:Choice Requires="x14">
        <control shapeId="8275" r:id="rId148" name="ComboBox80">
          <controlPr locked="0" defaultSize="0" autoLine="0" autoPict="0" linkedCell="I76" listFillRange="左折後退音声アラーム" r:id="rId149">
            <anchor moveWithCells="1" sizeWithCells="1">
              <from>
                <xdr:col>4</xdr:col>
                <xdr:colOff>9525</xdr:colOff>
                <xdr:row>75</xdr:row>
                <xdr:rowOff>0</xdr:rowOff>
              </from>
              <to>
                <xdr:col>6</xdr:col>
                <xdr:colOff>9525</xdr:colOff>
                <xdr:row>76</xdr:row>
                <xdr:rowOff>19050</xdr:rowOff>
              </to>
            </anchor>
          </controlPr>
        </control>
      </mc:Choice>
      <mc:Fallback>
        <control shapeId="8275" r:id="rId148" name="ComboBox80"/>
      </mc:Fallback>
    </mc:AlternateContent>
    <mc:AlternateContent xmlns:mc="http://schemas.openxmlformats.org/markup-compatibility/2006">
      <mc:Choice Requires="x14">
        <control shapeId="8276" r:id="rId150" name="ComboBox81">
          <controlPr locked="0" defaultSize="0" autoLine="0" autoPict="0" linkedCell="I77" listFillRange="音声アラーム" r:id="rId151">
            <anchor moveWithCells="1" sizeWithCells="1">
              <from>
                <xdr:col>4</xdr:col>
                <xdr:colOff>9525</xdr:colOff>
                <xdr:row>76</xdr:row>
                <xdr:rowOff>0</xdr:rowOff>
              </from>
              <to>
                <xdr:col>6</xdr:col>
                <xdr:colOff>9525</xdr:colOff>
                <xdr:row>77</xdr:row>
                <xdr:rowOff>19050</xdr:rowOff>
              </to>
            </anchor>
          </controlPr>
        </control>
      </mc:Choice>
      <mc:Fallback>
        <control shapeId="8276" r:id="rId150" name="ComboBox81"/>
      </mc:Fallback>
    </mc:AlternateContent>
    <mc:AlternateContent xmlns:mc="http://schemas.openxmlformats.org/markup-compatibility/2006">
      <mc:Choice Requires="x14">
        <control shapeId="8277" r:id="rId152" name="ComboBox82">
          <controlPr locked="0" defaultSize="0" autoLine="0" autoPict="0" linkedCell="I78" listFillRange="難燃処理" r:id="rId153">
            <anchor moveWithCells="1" sizeWithCells="1">
              <from>
                <xdr:col>4</xdr:col>
                <xdr:colOff>9525</xdr:colOff>
                <xdr:row>77</xdr:row>
                <xdr:rowOff>0</xdr:rowOff>
              </from>
              <to>
                <xdr:col>6</xdr:col>
                <xdr:colOff>9525</xdr:colOff>
                <xdr:row>78</xdr:row>
                <xdr:rowOff>19050</xdr:rowOff>
              </to>
            </anchor>
          </controlPr>
        </control>
      </mc:Choice>
      <mc:Fallback>
        <control shapeId="8277" r:id="rId152" name="ComboBox82"/>
      </mc:Fallback>
    </mc:AlternateContent>
    <mc:AlternateContent xmlns:mc="http://schemas.openxmlformats.org/markup-compatibility/2006">
      <mc:Choice Requires="x14">
        <control shapeId="8278" r:id="rId154" name="ComboBox83">
          <controlPr locked="0" defaultSize="0" autoLine="0" autoPict="0" linkedCell="I79" listFillRange="道具箱" r:id="rId155">
            <anchor moveWithCells="1" sizeWithCells="1">
              <from>
                <xdr:col>4</xdr:col>
                <xdr:colOff>9525</xdr:colOff>
                <xdr:row>77</xdr:row>
                <xdr:rowOff>428625</xdr:rowOff>
              </from>
              <to>
                <xdr:col>6</xdr:col>
                <xdr:colOff>9525</xdr:colOff>
                <xdr:row>79</xdr:row>
                <xdr:rowOff>19050</xdr:rowOff>
              </to>
            </anchor>
          </controlPr>
        </control>
      </mc:Choice>
      <mc:Fallback>
        <control shapeId="8278" r:id="rId154" name="ComboBox83"/>
      </mc:Fallback>
    </mc:AlternateContent>
    <mc:AlternateContent xmlns:mc="http://schemas.openxmlformats.org/markup-compatibility/2006">
      <mc:Choice Requires="x14">
        <control shapeId="8279" r:id="rId156" name="ComboBox84">
          <controlPr locked="0" defaultSize="0" autoLine="0" autoPict="0" linkedCell="I80" listFillRange="道具箱追加" r:id="rId157">
            <anchor moveWithCells="1" sizeWithCells="1">
              <from>
                <xdr:col>4</xdr:col>
                <xdr:colOff>9525</xdr:colOff>
                <xdr:row>79</xdr:row>
                <xdr:rowOff>0</xdr:rowOff>
              </from>
              <to>
                <xdr:col>6</xdr:col>
                <xdr:colOff>9525</xdr:colOff>
                <xdr:row>80</xdr:row>
                <xdr:rowOff>19050</xdr:rowOff>
              </to>
            </anchor>
          </controlPr>
        </control>
      </mc:Choice>
      <mc:Fallback>
        <control shapeId="8279" r:id="rId156" name="ComboBox84"/>
      </mc:Fallback>
    </mc:AlternateContent>
    <mc:AlternateContent xmlns:mc="http://schemas.openxmlformats.org/markup-compatibility/2006">
      <mc:Choice Requires="x14">
        <control shapeId="8280" r:id="rId158" name="ComboBox85">
          <controlPr locked="0" defaultSize="0" autoLine="0" autoPict="0" linkedCell="I81" listFillRange="手袋入れ" r:id="rId159">
            <anchor moveWithCells="1" sizeWithCells="1">
              <from>
                <xdr:col>4</xdr:col>
                <xdr:colOff>9525</xdr:colOff>
                <xdr:row>80</xdr:row>
                <xdr:rowOff>0</xdr:rowOff>
              </from>
              <to>
                <xdr:col>6</xdr:col>
                <xdr:colOff>9525</xdr:colOff>
                <xdr:row>81</xdr:row>
                <xdr:rowOff>38100</xdr:rowOff>
              </to>
            </anchor>
          </controlPr>
        </control>
      </mc:Choice>
      <mc:Fallback>
        <control shapeId="8280" r:id="rId158" name="ComboBox85"/>
      </mc:Fallback>
    </mc:AlternateContent>
    <mc:AlternateContent xmlns:mc="http://schemas.openxmlformats.org/markup-compatibility/2006">
      <mc:Choice Requires="x14">
        <control shapeId="8281" r:id="rId160" name="ComboBox86">
          <controlPr locked="0" defaultSize="0" autoLine="0" autoPict="0" linkedCell="I82" listFillRange="スコップ掛け取付" r:id="rId161">
            <anchor moveWithCells="1" sizeWithCells="1">
              <from>
                <xdr:col>4</xdr:col>
                <xdr:colOff>9525</xdr:colOff>
                <xdr:row>80</xdr:row>
                <xdr:rowOff>419100</xdr:rowOff>
              </from>
              <to>
                <xdr:col>6</xdr:col>
                <xdr:colOff>9525</xdr:colOff>
                <xdr:row>82</xdr:row>
                <xdr:rowOff>9525</xdr:rowOff>
              </to>
            </anchor>
          </controlPr>
        </control>
      </mc:Choice>
      <mc:Fallback>
        <control shapeId="8281" r:id="rId160" name="ComboBox86"/>
      </mc:Fallback>
    </mc:AlternateContent>
    <mc:AlternateContent xmlns:mc="http://schemas.openxmlformats.org/markup-compatibility/2006">
      <mc:Choice Requires="x14">
        <control shapeId="8282" r:id="rId162" name="ComboBox87">
          <controlPr locked="0" defaultSize="0" autoLine="0" autoPict="0" linkedCell="I83" listFillRange="ホーキ立て" r:id="rId163">
            <anchor moveWithCells="1" sizeWithCells="1">
              <from>
                <xdr:col>4</xdr:col>
                <xdr:colOff>9525</xdr:colOff>
                <xdr:row>81</xdr:row>
                <xdr:rowOff>428625</xdr:rowOff>
              </from>
              <to>
                <xdr:col>6</xdr:col>
                <xdr:colOff>9525</xdr:colOff>
                <xdr:row>83</xdr:row>
                <xdr:rowOff>19050</xdr:rowOff>
              </to>
            </anchor>
          </controlPr>
        </control>
      </mc:Choice>
      <mc:Fallback>
        <control shapeId="8282" r:id="rId162" name="ComboBox87"/>
      </mc:Fallback>
    </mc:AlternateContent>
    <mc:AlternateContent xmlns:mc="http://schemas.openxmlformats.org/markup-compatibility/2006">
      <mc:Choice Requires="x14">
        <control shapeId="8283" r:id="rId164" name="ComboBox88">
          <controlPr locked="0" defaultSize="0" autoLine="0" autoPict="0" linkedCell="I84" listFillRange="洗車ブラシ立て" r:id="rId165">
            <anchor moveWithCells="1" sizeWithCells="1">
              <from>
                <xdr:col>4</xdr:col>
                <xdr:colOff>9525</xdr:colOff>
                <xdr:row>82</xdr:row>
                <xdr:rowOff>428625</xdr:rowOff>
              </from>
              <to>
                <xdr:col>6</xdr:col>
                <xdr:colOff>9525</xdr:colOff>
                <xdr:row>84</xdr:row>
                <xdr:rowOff>9525</xdr:rowOff>
              </to>
            </anchor>
          </controlPr>
        </control>
      </mc:Choice>
      <mc:Fallback>
        <control shapeId="8283" r:id="rId164" name="ComboBox88"/>
      </mc:Fallback>
    </mc:AlternateContent>
    <mc:AlternateContent xmlns:mc="http://schemas.openxmlformats.org/markup-compatibility/2006">
      <mc:Choice Requires="x14">
        <control shapeId="8284" r:id="rId166" name="ComboBox89">
          <controlPr locked="0" defaultSize="0" autoLine="0" autoPict="0" linkedCell="I85" listFillRange="ちりとり入れ" r:id="rId167">
            <anchor moveWithCells="1" sizeWithCells="1">
              <from>
                <xdr:col>4</xdr:col>
                <xdr:colOff>9525</xdr:colOff>
                <xdr:row>84</xdr:row>
                <xdr:rowOff>9525</xdr:rowOff>
              </from>
              <to>
                <xdr:col>6</xdr:col>
                <xdr:colOff>9525</xdr:colOff>
                <xdr:row>85</xdr:row>
                <xdr:rowOff>28575</xdr:rowOff>
              </to>
            </anchor>
          </controlPr>
        </control>
      </mc:Choice>
      <mc:Fallback>
        <control shapeId="8284" r:id="rId166" name="ComboBox89"/>
      </mc:Fallback>
    </mc:AlternateContent>
    <mc:AlternateContent xmlns:mc="http://schemas.openxmlformats.org/markup-compatibility/2006">
      <mc:Choice Requires="x14">
        <control shapeId="8285" r:id="rId168" name="ComboBox90">
          <controlPr locked="0" defaultSize="0" autoLine="0" autoPict="0" linkedCell="I86" listFillRange="手板入れ" r:id="rId169">
            <anchor moveWithCells="1" sizeWithCells="1">
              <from>
                <xdr:col>4</xdr:col>
                <xdr:colOff>9525</xdr:colOff>
                <xdr:row>84</xdr:row>
                <xdr:rowOff>419100</xdr:rowOff>
              </from>
              <to>
                <xdr:col>6</xdr:col>
                <xdr:colOff>9525</xdr:colOff>
                <xdr:row>86</xdr:row>
                <xdr:rowOff>9525</xdr:rowOff>
              </to>
            </anchor>
          </controlPr>
        </control>
      </mc:Choice>
      <mc:Fallback>
        <control shapeId="8285" r:id="rId168" name="ComboBox90"/>
      </mc:Fallback>
    </mc:AlternateContent>
    <mc:AlternateContent xmlns:mc="http://schemas.openxmlformats.org/markup-compatibility/2006">
      <mc:Choice Requires="x14">
        <control shapeId="8286" r:id="rId170" name="ComboBox91">
          <controlPr locked="0" defaultSize="0" autoLine="0" autoPict="0" linkedCell="I87" listFillRange="箕掛け" r:id="rId171">
            <anchor moveWithCells="1" sizeWithCells="1">
              <from>
                <xdr:col>4</xdr:col>
                <xdr:colOff>9525</xdr:colOff>
                <xdr:row>86</xdr:row>
                <xdr:rowOff>9525</xdr:rowOff>
              </from>
              <to>
                <xdr:col>6</xdr:col>
                <xdr:colOff>9525</xdr:colOff>
                <xdr:row>87</xdr:row>
                <xdr:rowOff>28575</xdr:rowOff>
              </to>
            </anchor>
          </controlPr>
        </control>
      </mc:Choice>
      <mc:Fallback>
        <control shapeId="8286" r:id="rId170" name="ComboBox91"/>
      </mc:Fallback>
    </mc:AlternateContent>
    <mc:AlternateContent xmlns:mc="http://schemas.openxmlformats.org/markup-compatibility/2006">
      <mc:Choice Requires="x14">
        <control shapeId="8310" r:id="rId172" name="ComboBox115">
          <controlPr locked="0" defaultSize="0" autoLine="0" autoPict="0" linkedCell="I100" listFillRange="積載_後方確認用テレビカメラシステム" r:id="rId173">
            <anchor moveWithCells="1" sizeWithCells="1">
              <from>
                <xdr:col>4</xdr:col>
                <xdr:colOff>9525</xdr:colOff>
                <xdr:row>98</xdr:row>
                <xdr:rowOff>419100</xdr:rowOff>
              </from>
              <to>
                <xdr:col>6</xdr:col>
                <xdr:colOff>9525</xdr:colOff>
                <xdr:row>100</xdr:row>
                <xdr:rowOff>0</xdr:rowOff>
              </to>
            </anchor>
          </controlPr>
        </control>
      </mc:Choice>
      <mc:Fallback>
        <control shapeId="8310" r:id="rId172" name="ComboBox115"/>
      </mc:Fallback>
    </mc:AlternateContent>
    <mc:AlternateContent xmlns:mc="http://schemas.openxmlformats.org/markup-compatibility/2006">
      <mc:Choice Requires="x14">
        <control shapeId="8314" r:id="rId174" name="ComboBox116">
          <controlPr locked="0" defaultSize="0" autoLine="0" linkedCell="E1" listFillRange="車種仕様" r:id="rId175">
            <anchor moveWithCells="1" sizeWithCells="1">
              <from>
                <xdr:col>4</xdr:col>
                <xdr:colOff>1952625</xdr:colOff>
                <xdr:row>0</xdr:row>
                <xdr:rowOff>0</xdr:rowOff>
              </from>
              <to>
                <xdr:col>4</xdr:col>
                <xdr:colOff>3657600</xdr:colOff>
                <xdr:row>1</xdr:row>
                <xdr:rowOff>19050</xdr:rowOff>
              </to>
            </anchor>
          </controlPr>
        </control>
      </mc:Choice>
      <mc:Fallback>
        <control shapeId="8314" r:id="rId174" name="ComboBox116"/>
      </mc:Fallback>
    </mc:AlternateContent>
    <mc:AlternateContent xmlns:mc="http://schemas.openxmlformats.org/markup-compatibility/2006">
      <mc:Choice Requires="x14">
        <control shapeId="8209" r:id="rId176" name="ComboBox14">
          <controlPr locked="0" defaultSize="0" autoLine="0" autoPict="0" linkedCell="I101" listFillRange="積載_作業灯" r:id="rId177">
            <anchor moveWithCells="1" sizeWithCells="1">
              <from>
                <xdr:col>4</xdr:col>
                <xdr:colOff>9525</xdr:colOff>
                <xdr:row>99</xdr:row>
                <xdr:rowOff>419100</xdr:rowOff>
              </from>
              <to>
                <xdr:col>6</xdr:col>
                <xdr:colOff>9525</xdr:colOff>
                <xdr:row>101</xdr:row>
                <xdr:rowOff>9525</xdr:rowOff>
              </to>
            </anchor>
          </controlPr>
        </control>
      </mc:Choice>
      <mc:Fallback>
        <control shapeId="8209" r:id="rId176" name="ComboBox14"/>
      </mc:Fallback>
    </mc:AlternateContent>
    <mc:AlternateContent xmlns:mc="http://schemas.openxmlformats.org/markup-compatibility/2006">
      <mc:Choice Requires="x14">
        <control shapeId="8328" r:id="rId178" name="ComboBox98">
          <controlPr locked="0" defaultSize="0" autoLine="0" autoPict="0" linkedCell="I107" listFillRange="積載_道具箱" r:id="rId179">
            <anchor moveWithCells="1" sizeWithCells="1">
              <from>
                <xdr:col>4</xdr:col>
                <xdr:colOff>9525</xdr:colOff>
                <xdr:row>105</xdr:row>
                <xdr:rowOff>409575</xdr:rowOff>
              </from>
              <to>
                <xdr:col>6</xdr:col>
                <xdr:colOff>9525</xdr:colOff>
                <xdr:row>106</xdr:row>
                <xdr:rowOff>409575</xdr:rowOff>
              </to>
            </anchor>
          </controlPr>
        </control>
      </mc:Choice>
      <mc:Fallback>
        <control shapeId="8328" r:id="rId178" name="ComboBox98"/>
      </mc:Fallback>
    </mc:AlternateContent>
    <mc:AlternateContent xmlns:mc="http://schemas.openxmlformats.org/markup-compatibility/2006">
      <mc:Choice Requires="x14">
        <control shapeId="8331" r:id="rId180" name="ComboBox99">
          <controlPr locked="0" defaultSize="0" autoLine="0" autoPict="0" linkedCell="I108" listFillRange="積載_道具箱" r:id="rId181">
            <anchor moveWithCells="1" sizeWithCells="1">
              <from>
                <xdr:col>4</xdr:col>
                <xdr:colOff>9525</xdr:colOff>
                <xdr:row>106</xdr:row>
                <xdr:rowOff>419100</xdr:rowOff>
              </from>
              <to>
                <xdr:col>6</xdr:col>
                <xdr:colOff>9525</xdr:colOff>
                <xdr:row>107</xdr:row>
                <xdr:rowOff>428625</xdr:rowOff>
              </to>
            </anchor>
          </controlPr>
        </control>
      </mc:Choice>
      <mc:Fallback>
        <control shapeId="8331" r:id="rId180" name="ComboBox99"/>
      </mc:Fallback>
    </mc:AlternateContent>
    <mc:AlternateContent xmlns:mc="http://schemas.openxmlformats.org/markup-compatibility/2006">
      <mc:Choice Requires="x14">
        <control shapeId="8332" r:id="rId182" name="ComboBox100">
          <controlPr locked="0" defaultSize="0" autoLine="0" autoPict="0" linkedCell="I109" listFillRange="積載_道具箱" r:id="rId183">
            <anchor moveWithCells="1" sizeWithCells="1">
              <from>
                <xdr:col>4</xdr:col>
                <xdr:colOff>9525</xdr:colOff>
                <xdr:row>107</xdr:row>
                <xdr:rowOff>409575</xdr:rowOff>
              </from>
              <to>
                <xdr:col>6</xdr:col>
                <xdr:colOff>9525</xdr:colOff>
                <xdr:row>108</xdr:row>
                <xdr:rowOff>409575</xdr:rowOff>
              </to>
            </anchor>
          </controlPr>
        </control>
      </mc:Choice>
      <mc:Fallback>
        <control shapeId="8332" r:id="rId182" name="ComboBox100"/>
      </mc:Fallback>
    </mc:AlternateContent>
    <mc:AlternateContent xmlns:mc="http://schemas.openxmlformats.org/markup-compatibility/2006">
      <mc:Choice Requires="x14">
        <control shapeId="8333" r:id="rId184" name="ComboBox101">
          <controlPr locked="0" defaultSize="0" autoLine="0" autoPict="0" linkedCell="I110" listFillRange="積載_消火器" r:id="rId185">
            <anchor moveWithCells="1" sizeWithCells="1">
              <from>
                <xdr:col>4</xdr:col>
                <xdr:colOff>9525</xdr:colOff>
                <xdr:row>108</xdr:row>
                <xdr:rowOff>428625</xdr:rowOff>
              </from>
              <to>
                <xdr:col>6</xdr:col>
                <xdr:colOff>9525</xdr:colOff>
                <xdr:row>110</xdr:row>
                <xdr:rowOff>0</xdr:rowOff>
              </to>
            </anchor>
          </controlPr>
        </control>
      </mc:Choice>
      <mc:Fallback>
        <control shapeId="8333" r:id="rId184" name="ComboBox101"/>
      </mc:Fallback>
    </mc:AlternateContent>
    <mc:AlternateContent xmlns:mc="http://schemas.openxmlformats.org/markup-compatibility/2006">
      <mc:Choice Requires="x14">
        <control shapeId="8334" r:id="rId186" name="ComboBox102">
          <controlPr locked="0" defaultSize="0" autoLine="0" autoPict="0" linkedCell="I111" listFillRange="積載_消火器" r:id="rId187">
            <anchor moveWithCells="1" sizeWithCells="1">
              <from>
                <xdr:col>4</xdr:col>
                <xdr:colOff>9525</xdr:colOff>
                <xdr:row>110</xdr:row>
                <xdr:rowOff>0</xdr:rowOff>
              </from>
              <to>
                <xdr:col>6</xdr:col>
                <xdr:colOff>9525</xdr:colOff>
                <xdr:row>111</xdr:row>
                <xdr:rowOff>0</xdr:rowOff>
              </to>
            </anchor>
          </controlPr>
        </control>
      </mc:Choice>
      <mc:Fallback>
        <control shapeId="8334" r:id="rId186" name="ComboBox102"/>
      </mc:Fallback>
    </mc:AlternateContent>
    <mc:AlternateContent xmlns:mc="http://schemas.openxmlformats.org/markup-compatibility/2006">
      <mc:Choice Requires="x14">
        <control shapeId="8335" r:id="rId188" name="ComboBox103">
          <controlPr locked="0" defaultSize="0" autoLine="0" autoPict="0" linkedCell="I112" listFillRange="積載_タイヤキャリア" r:id="rId189">
            <anchor moveWithCells="1" sizeWithCells="1">
              <from>
                <xdr:col>4</xdr:col>
                <xdr:colOff>9525</xdr:colOff>
                <xdr:row>110</xdr:row>
                <xdr:rowOff>428625</xdr:rowOff>
              </from>
              <to>
                <xdr:col>6</xdr:col>
                <xdr:colOff>9525</xdr:colOff>
                <xdr:row>112</xdr:row>
                <xdr:rowOff>0</xdr:rowOff>
              </to>
            </anchor>
          </controlPr>
        </control>
      </mc:Choice>
      <mc:Fallback>
        <control shapeId="8335" r:id="rId188" name="ComboBox103"/>
      </mc:Fallback>
    </mc:AlternateContent>
    <mc:AlternateContent xmlns:mc="http://schemas.openxmlformats.org/markup-compatibility/2006">
      <mc:Choice Requires="x14">
        <control shapeId="8336" r:id="rId190" name="ComboBox104">
          <controlPr locked="0" defaultSize="0" autoLine="0" autoPict="0" linkedCell="I113" listFillRange="積載_その他" r:id="rId191">
            <anchor moveWithCells="1" sizeWithCells="1">
              <from>
                <xdr:col>4</xdr:col>
                <xdr:colOff>9525</xdr:colOff>
                <xdr:row>112</xdr:row>
                <xdr:rowOff>9525</xdr:rowOff>
              </from>
              <to>
                <xdr:col>6</xdr:col>
                <xdr:colOff>9525</xdr:colOff>
                <xdr:row>113</xdr:row>
                <xdr:rowOff>9525</xdr:rowOff>
              </to>
            </anchor>
          </controlPr>
        </control>
      </mc:Choice>
      <mc:Fallback>
        <control shapeId="8336" r:id="rId190" name="ComboBox104"/>
      </mc:Fallback>
    </mc:AlternateContent>
    <mc:AlternateContent xmlns:mc="http://schemas.openxmlformats.org/markup-compatibility/2006">
      <mc:Choice Requires="x14">
        <control shapeId="8337" r:id="rId192" name="ComboBox105">
          <controlPr locked="0" defaultSize="0" autoLine="0" autoPict="0" linkedCell="I114" listFillRange="積載_その他" r:id="rId193">
            <anchor moveWithCells="1" sizeWithCells="1">
              <from>
                <xdr:col>4</xdr:col>
                <xdr:colOff>9525</xdr:colOff>
                <xdr:row>112</xdr:row>
                <xdr:rowOff>428625</xdr:rowOff>
              </from>
              <to>
                <xdr:col>6</xdr:col>
                <xdr:colOff>9525</xdr:colOff>
                <xdr:row>114</xdr:row>
                <xdr:rowOff>9525</xdr:rowOff>
              </to>
            </anchor>
          </controlPr>
        </control>
      </mc:Choice>
      <mc:Fallback>
        <control shapeId="8337" r:id="rId192" name="ComboBox105"/>
      </mc:Fallback>
    </mc:AlternateContent>
    <mc:AlternateContent xmlns:mc="http://schemas.openxmlformats.org/markup-compatibility/2006">
      <mc:Choice Requires="x14">
        <control shapeId="8338" r:id="rId194" name="ComboBox106">
          <controlPr locked="0" defaultSize="0" autoLine="0" autoPict="0" linkedCell="I115" listFillRange="積載_その他" r:id="rId195">
            <anchor moveWithCells="1" sizeWithCells="1">
              <from>
                <xdr:col>4</xdr:col>
                <xdr:colOff>9525</xdr:colOff>
                <xdr:row>113</xdr:row>
                <xdr:rowOff>419100</xdr:rowOff>
              </from>
              <to>
                <xdr:col>6</xdr:col>
                <xdr:colOff>9525</xdr:colOff>
                <xdr:row>114</xdr:row>
                <xdr:rowOff>419100</xdr:rowOff>
              </to>
            </anchor>
          </controlPr>
        </control>
      </mc:Choice>
      <mc:Fallback>
        <control shapeId="8338" r:id="rId194" name="ComboBox106"/>
      </mc:Fallback>
    </mc:AlternateContent>
    <mc:AlternateContent xmlns:mc="http://schemas.openxmlformats.org/markup-compatibility/2006">
      <mc:Choice Requires="x14">
        <control shapeId="8339" r:id="rId196" name="ComboBox107">
          <controlPr locked="0" defaultSize="0" autoLine="0" autoPict="0" linkedCell="I116" listFillRange="積載_その他" r:id="rId197">
            <anchor moveWithCells="1" sizeWithCells="1">
              <from>
                <xdr:col>4</xdr:col>
                <xdr:colOff>9525</xdr:colOff>
                <xdr:row>114</xdr:row>
                <xdr:rowOff>419100</xdr:rowOff>
              </from>
              <to>
                <xdr:col>6</xdr:col>
                <xdr:colOff>9525</xdr:colOff>
                <xdr:row>115</xdr:row>
                <xdr:rowOff>428625</xdr:rowOff>
              </to>
            </anchor>
          </controlPr>
        </control>
      </mc:Choice>
      <mc:Fallback>
        <control shapeId="8339" r:id="rId196" name="ComboBox107"/>
      </mc:Fallback>
    </mc:AlternateContent>
    <mc:AlternateContent xmlns:mc="http://schemas.openxmlformats.org/markup-compatibility/2006">
      <mc:Choice Requires="x14">
        <control shapeId="8340" r:id="rId198" name="ComboBox108">
          <controlPr locked="0" defaultSize="0" autoLine="0" autoPict="0" linkedCell="I117" listFillRange="積載_その他" r:id="rId199">
            <anchor moveWithCells="1" sizeWithCells="1">
              <from>
                <xdr:col>4</xdr:col>
                <xdr:colOff>9525</xdr:colOff>
                <xdr:row>115</xdr:row>
                <xdr:rowOff>419100</xdr:rowOff>
              </from>
              <to>
                <xdr:col>6</xdr:col>
                <xdr:colOff>9525</xdr:colOff>
                <xdr:row>116</xdr:row>
                <xdr:rowOff>428625</xdr:rowOff>
              </to>
            </anchor>
          </controlPr>
        </control>
      </mc:Choice>
      <mc:Fallback>
        <control shapeId="8340" r:id="rId198" name="ComboBox108"/>
      </mc:Fallback>
    </mc:AlternateContent>
    <mc:AlternateContent xmlns:mc="http://schemas.openxmlformats.org/markup-compatibility/2006">
      <mc:Choice Requires="x14">
        <control shapeId="8354" r:id="rId200" name="ComboBox119">
          <controlPr locked="0" defaultSize="0" autoLine="0" linkedCell="G106" listFillRange="数量" r:id="rId201">
            <anchor moveWithCells="1" sizeWithCells="1">
              <from>
                <xdr:col>6</xdr:col>
                <xdr:colOff>9525</xdr:colOff>
                <xdr:row>104</xdr:row>
                <xdr:rowOff>409575</xdr:rowOff>
              </from>
              <to>
                <xdr:col>7</xdr:col>
                <xdr:colOff>28575</xdr:colOff>
                <xdr:row>105</xdr:row>
                <xdr:rowOff>409575</xdr:rowOff>
              </to>
            </anchor>
          </controlPr>
        </control>
      </mc:Choice>
      <mc:Fallback>
        <control shapeId="8354" r:id="rId200" name="ComboBox119"/>
      </mc:Fallback>
    </mc:AlternateContent>
    <mc:AlternateContent xmlns:mc="http://schemas.openxmlformats.org/markup-compatibility/2006">
      <mc:Choice Requires="x14">
        <control shapeId="8355" r:id="rId202" name="ComboBox120">
          <controlPr locked="0" defaultSize="0" autoLine="0" linkedCell="G107" listFillRange="数量" r:id="rId203">
            <anchor moveWithCells="1" sizeWithCells="1">
              <from>
                <xdr:col>6</xdr:col>
                <xdr:colOff>9525</xdr:colOff>
                <xdr:row>105</xdr:row>
                <xdr:rowOff>409575</xdr:rowOff>
              </from>
              <to>
                <xdr:col>7</xdr:col>
                <xdr:colOff>28575</xdr:colOff>
                <xdr:row>106</xdr:row>
                <xdr:rowOff>419100</xdr:rowOff>
              </to>
            </anchor>
          </controlPr>
        </control>
      </mc:Choice>
      <mc:Fallback>
        <control shapeId="8355" r:id="rId202" name="ComboBox120"/>
      </mc:Fallback>
    </mc:AlternateContent>
    <mc:AlternateContent xmlns:mc="http://schemas.openxmlformats.org/markup-compatibility/2006">
      <mc:Choice Requires="x14">
        <control shapeId="8356" r:id="rId204" name="ComboBox121">
          <controlPr locked="0" defaultSize="0" autoLine="0" linkedCell="G108" listFillRange="数量" r:id="rId203">
            <anchor moveWithCells="1" sizeWithCells="1">
              <from>
                <xdr:col>6</xdr:col>
                <xdr:colOff>9525</xdr:colOff>
                <xdr:row>106</xdr:row>
                <xdr:rowOff>419100</xdr:rowOff>
              </from>
              <to>
                <xdr:col>7</xdr:col>
                <xdr:colOff>28575</xdr:colOff>
                <xdr:row>107</xdr:row>
                <xdr:rowOff>428625</xdr:rowOff>
              </to>
            </anchor>
          </controlPr>
        </control>
      </mc:Choice>
      <mc:Fallback>
        <control shapeId="8356" r:id="rId204" name="ComboBox121"/>
      </mc:Fallback>
    </mc:AlternateContent>
    <mc:AlternateContent xmlns:mc="http://schemas.openxmlformats.org/markup-compatibility/2006">
      <mc:Choice Requires="x14">
        <control shapeId="8357" r:id="rId205" name="ComboBox122">
          <controlPr locked="0" defaultSize="0" autoLine="0" linkedCell="G109" listFillRange="数量" r:id="rId201">
            <anchor moveWithCells="1" sizeWithCells="1">
              <from>
                <xdr:col>6</xdr:col>
                <xdr:colOff>9525</xdr:colOff>
                <xdr:row>107</xdr:row>
                <xdr:rowOff>409575</xdr:rowOff>
              </from>
              <to>
                <xdr:col>7</xdr:col>
                <xdr:colOff>28575</xdr:colOff>
                <xdr:row>108</xdr:row>
                <xdr:rowOff>409575</xdr:rowOff>
              </to>
            </anchor>
          </controlPr>
        </control>
      </mc:Choice>
      <mc:Fallback>
        <control shapeId="8357" r:id="rId205" name="ComboBox122"/>
      </mc:Fallback>
    </mc:AlternateContent>
    <mc:AlternateContent xmlns:mc="http://schemas.openxmlformats.org/markup-compatibility/2006">
      <mc:Choice Requires="x14">
        <control shapeId="8358" r:id="rId206" name="ComboBox123">
          <controlPr locked="0" defaultSize="0" autoLine="0" linkedCell="G110" listFillRange="数量" r:id="rId203">
            <anchor moveWithCells="1" sizeWithCells="1">
              <from>
                <xdr:col>6</xdr:col>
                <xdr:colOff>9525</xdr:colOff>
                <xdr:row>108</xdr:row>
                <xdr:rowOff>409575</xdr:rowOff>
              </from>
              <to>
                <xdr:col>7</xdr:col>
                <xdr:colOff>28575</xdr:colOff>
                <xdr:row>109</xdr:row>
                <xdr:rowOff>419100</xdr:rowOff>
              </to>
            </anchor>
          </controlPr>
        </control>
      </mc:Choice>
      <mc:Fallback>
        <control shapeId="8358" r:id="rId206" name="ComboBox123"/>
      </mc:Fallback>
    </mc:AlternateContent>
    <mc:AlternateContent xmlns:mc="http://schemas.openxmlformats.org/markup-compatibility/2006">
      <mc:Choice Requires="x14">
        <control shapeId="8359" r:id="rId207" name="ComboBox124">
          <controlPr locked="0" defaultSize="0" autoLine="0" linkedCell="G111" listFillRange="数量" r:id="rId201">
            <anchor moveWithCells="1" sizeWithCells="1">
              <from>
                <xdr:col>6</xdr:col>
                <xdr:colOff>9525</xdr:colOff>
                <xdr:row>110</xdr:row>
                <xdr:rowOff>0</xdr:rowOff>
              </from>
              <to>
                <xdr:col>7</xdr:col>
                <xdr:colOff>28575</xdr:colOff>
                <xdr:row>111</xdr:row>
                <xdr:rowOff>0</xdr:rowOff>
              </to>
            </anchor>
          </controlPr>
        </control>
      </mc:Choice>
      <mc:Fallback>
        <control shapeId="8359" r:id="rId207" name="ComboBox124"/>
      </mc:Fallback>
    </mc:AlternateContent>
    <mc:AlternateContent xmlns:mc="http://schemas.openxmlformats.org/markup-compatibility/2006">
      <mc:Choice Requires="x14">
        <control shapeId="8360" r:id="rId208" name="ComboBox125">
          <controlPr locked="0" defaultSize="0" autoLine="0" linkedCell="G112" listFillRange="数量" r:id="rId203">
            <anchor moveWithCells="1" sizeWithCells="1">
              <from>
                <xdr:col>6</xdr:col>
                <xdr:colOff>9525</xdr:colOff>
                <xdr:row>110</xdr:row>
                <xdr:rowOff>428625</xdr:rowOff>
              </from>
              <to>
                <xdr:col>7</xdr:col>
                <xdr:colOff>28575</xdr:colOff>
                <xdr:row>112</xdr:row>
                <xdr:rowOff>0</xdr:rowOff>
              </to>
            </anchor>
          </controlPr>
        </control>
      </mc:Choice>
      <mc:Fallback>
        <control shapeId="8360" r:id="rId208" name="ComboBox125"/>
      </mc:Fallback>
    </mc:AlternateContent>
    <mc:AlternateContent xmlns:mc="http://schemas.openxmlformats.org/markup-compatibility/2006">
      <mc:Choice Requires="x14">
        <control shapeId="8361" r:id="rId209" name="ComboBox126">
          <controlPr locked="0" defaultSize="0" autoLine="0" linkedCell="G113" listFillRange="数量" r:id="rId201">
            <anchor moveWithCells="1" sizeWithCells="1">
              <from>
                <xdr:col>6</xdr:col>
                <xdr:colOff>9525</xdr:colOff>
                <xdr:row>112</xdr:row>
                <xdr:rowOff>9525</xdr:rowOff>
              </from>
              <to>
                <xdr:col>7</xdr:col>
                <xdr:colOff>28575</xdr:colOff>
                <xdr:row>113</xdr:row>
                <xdr:rowOff>9525</xdr:rowOff>
              </to>
            </anchor>
          </controlPr>
        </control>
      </mc:Choice>
      <mc:Fallback>
        <control shapeId="8361" r:id="rId209" name="ComboBox126"/>
      </mc:Fallback>
    </mc:AlternateContent>
    <mc:AlternateContent xmlns:mc="http://schemas.openxmlformats.org/markup-compatibility/2006">
      <mc:Choice Requires="x14">
        <control shapeId="8362" r:id="rId210" name="ComboBox127">
          <controlPr locked="0" defaultSize="0" autoLine="0" linkedCell="G114" listFillRange="数量" r:id="rId211">
            <anchor moveWithCells="1" sizeWithCells="1">
              <from>
                <xdr:col>6</xdr:col>
                <xdr:colOff>9525</xdr:colOff>
                <xdr:row>112</xdr:row>
                <xdr:rowOff>428625</xdr:rowOff>
              </from>
              <to>
                <xdr:col>7</xdr:col>
                <xdr:colOff>28575</xdr:colOff>
                <xdr:row>114</xdr:row>
                <xdr:rowOff>9525</xdr:rowOff>
              </to>
            </anchor>
          </controlPr>
        </control>
      </mc:Choice>
      <mc:Fallback>
        <control shapeId="8362" r:id="rId210" name="ComboBox127"/>
      </mc:Fallback>
    </mc:AlternateContent>
    <mc:AlternateContent xmlns:mc="http://schemas.openxmlformats.org/markup-compatibility/2006">
      <mc:Choice Requires="x14">
        <control shapeId="8363" r:id="rId212" name="ComboBox128">
          <controlPr locked="0" defaultSize="0" autoLine="0" linkedCell="G115" listFillRange="数量" r:id="rId201">
            <anchor moveWithCells="1" sizeWithCells="1">
              <from>
                <xdr:col>6</xdr:col>
                <xdr:colOff>9525</xdr:colOff>
                <xdr:row>113</xdr:row>
                <xdr:rowOff>419100</xdr:rowOff>
              </from>
              <to>
                <xdr:col>7</xdr:col>
                <xdr:colOff>28575</xdr:colOff>
                <xdr:row>114</xdr:row>
                <xdr:rowOff>419100</xdr:rowOff>
              </to>
            </anchor>
          </controlPr>
        </control>
      </mc:Choice>
      <mc:Fallback>
        <control shapeId="8363" r:id="rId212" name="ComboBox128"/>
      </mc:Fallback>
    </mc:AlternateContent>
    <mc:AlternateContent xmlns:mc="http://schemas.openxmlformats.org/markup-compatibility/2006">
      <mc:Choice Requires="x14">
        <control shapeId="8364" r:id="rId213" name="ComboBox129">
          <controlPr locked="0" defaultSize="0" autoLine="0" linkedCell="G116" listFillRange="数量" r:id="rId203">
            <anchor moveWithCells="1" sizeWithCells="1">
              <from>
                <xdr:col>6</xdr:col>
                <xdr:colOff>9525</xdr:colOff>
                <xdr:row>114</xdr:row>
                <xdr:rowOff>419100</xdr:rowOff>
              </from>
              <to>
                <xdr:col>7</xdr:col>
                <xdr:colOff>28575</xdr:colOff>
                <xdr:row>115</xdr:row>
                <xdr:rowOff>428625</xdr:rowOff>
              </to>
            </anchor>
          </controlPr>
        </control>
      </mc:Choice>
      <mc:Fallback>
        <control shapeId="8364" r:id="rId213" name="ComboBox129"/>
      </mc:Fallback>
    </mc:AlternateContent>
    <mc:AlternateContent xmlns:mc="http://schemas.openxmlformats.org/markup-compatibility/2006">
      <mc:Choice Requires="x14">
        <control shapeId="8365" r:id="rId214" name="ComboBox130">
          <controlPr locked="0" defaultSize="0" autoLine="0" linkedCell="G117" listFillRange="数量" r:id="rId201">
            <anchor moveWithCells="1" sizeWithCells="1">
              <from>
                <xdr:col>6</xdr:col>
                <xdr:colOff>9525</xdr:colOff>
                <xdr:row>115</xdr:row>
                <xdr:rowOff>419100</xdr:rowOff>
              </from>
              <to>
                <xdr:col>7</xdr:col>
                <xdr:colOff>28575</xdr:colOff>
                <xdr:row>116</xdr:row>
                <xdr:rowOff>419100</xdr:rowOff>
              </to>
            </anchor>
          </controlPr>
        </control>
      </mc:Choice>
      <mc:Fallback>
        <control shapeId="8365" r:id="rId214" name="ComboBox130"/>
      </mc:Fallback>
    </mc:AlternateContent>
    <mc:AlternateContent xmlns:mc="http://schemas.openxmlformats.org/markup-compatibility/2006">
      <mc:Choice Requires="x14">
        <control shapeId="8366" r:id="rId215" name="ComboBox131">
          <controlPr locked="0" defaultSize="0" autoLine="0" linkedCell="G100" listFillRange="数量" r:id="rId201">
            <anchor moveWithCells="1" sizeWithCells="1">
              <from>
                <xdr:col>6</xdr:col>
                <xdr:colOff>9525</xdr:colOff>
                <xdr:row>98</xdr:row>
                <xdr:rowOff>419100</xdr:rowOff>
              </from>
              <to>
                <xdr:col>7</xdr:col>
                <xdr:colOff>28575</xdr:colOff>
                <xdr:row>99</xdr:row>
                <xdr:rowOff>419100</xdr:rowOff>
              </to>
            </anchor>
          </controlPr>
        </control>
      </mc:Choice>
      <mc:Fallback>
        <control shapeId="8366" r:id="rId215" name="ComboBox131"/>
      </mc:Fallback>
    </mc:AlternateContent>
    <mc:AlternateContent xmlns:mc="http://schemas.openxmlformats.org/markup-compatibility/2006">
      <mc:Choice Requires="x14">
        <control shapeId="8367" r:id="rId216" name="ComboBox132">
          <controlPr locked="0" defaultSize="0" autoLine="0" linkedCell="G101" listFillRange="数量" r:id="rId203">
            <anchor moveWithCells="1" sizeWithCells="1">
              <from>
                <xdr:col>6</xdr:col>
                <xdr:colOff>9525</xdr:colOff>
                <xdr:row>99</xdr:row>
                <xdr:rowOff>419100</xdr:rowOff>
              </from>
              <to>
                <xdr:col>7</xdr:col>
                <xdr:colOff>28575</xdr:colOff>
                <xdr:row>100</xdr:row>
                <xdr:rowOff>428625</xdr:rowOff>
              </to>
            </anchor>
          </controlPr>
        </control>
      </mc:Choice>
      <mc:Fallback>
        <control shapeId="8367" r:id="rId216" name="ComboBox132"/>
      </mc:Fallback>
    </mc:AlternateContent>
    <mc:AlternateContent xmlns:mc="http://schemas.openxmlformats.org/markup-compatibility/2006">
      <mc:Choice Requires="x14">
        <control shapeId="8368" r:id="rId217" name="ComboBox133">
          <controlPr locked="0" defaultSize="0" autoLine="0" linkedCell="G102" listFillRange="数量" r:id="rId201">
            <anchor moveWithCells="1" sizeWithCells="1">
              <from>
                <xdr:col>6</xdr:col>
                <xdr:colOff>9525</xdr:colOff>
                <xdr:row>100</xdr:row>
                <xdr:rowOff>428625</xdr:rowOff>
              </from>
              <to>
                <xdr:col>7</xdr:col>
                <xdr:colOff>28575</xdr:colOff>
                <xdr:row>101</xdr:row>
                <xdr:rowOff>428625</xdr:rowOff>
              </to>
            </anchor>
          </controlPr>
        </control>
      </mc:Choice>
      <mc:Fallback>
        <control shapeId="8368" r:id="rId217" name="ComboBox133"/>
      </mc:Fallback>
    </mc:AlternateContent>
    <mc:AlternateContent xmlns:mc="http://schemas.openxmlformats.org/markup-compatibility/2006">
      <mc:Choice Requires="x14">
        <control shapeId="8369" r:id="rId218" name="ComboBox134">
          <controlPr locked="0" defaultSize="0" autoLine="0" linkedCell="G103" listFillRange="数量" r:id="rId211">
            <anchor moveWithCells="1" sizeWithCells="1">
              <from>
                <xdr:col>6</xdr:col>
                <xdr:colOff>9525</xdr:colOff>
                <xdr:row>101</xdr:row>
                <xdr:rowOff>428625</xdr:rowOff>
              </from>
              <to>
                <xdr:col>7</xdr:col>
                <xdr:colOff>28575</xdr:colOff>
                <xdr:row>103</xdr:row>
                <xdr:rowOff>9525</xdr:rowOff>
              </to>
            </anchor>
          </controlPr>
        </control>
      </mc:Choice>
      <mc:Fallback>
        <control shapeId="8369" r:id="rId218" name="ComboBox134"/>
      </mc:Fallback>
    </mc:AlternateContent>
    <mc:AlternateContent xmlns:mc="http://schemas.openxmlformats.org/markup-compatibility/2006">
      <mc:Choice Requires="x14">
        <control shapeId="8370" r:id="rId219" name="ComboBox135">
          <controlPr locked="0" defaultSize="0" autoLine="0" linkedCell="G104" listFillRange="数量" r:id="rId201">
            <anchor moveWithCells="1" sizeWithCells="1">
              <from>
                <xdr:col>6</xdr:col>
                <xdr:colOff>9525</xdr:colOff>
                <xdr:row>102</xdr:row>
                <xdr:rowOff>419100</xdr:rowOff>
              </from>
              <to>
                <xdr:col>7</xdr:col>
                <xdr:colOff>28575</xdr:colOff>
                <xdr:row>103</xdr:row>
                <xdr:rowOff>419100</xdr:rowOff>
              </to>
            </anchor>
          </controlPr>
        </control>
      </mc:Choice>
      <mc:Fallback>
        <control shapeId="8370" r:id="rId219" name="ComboBox135"/>
      </mc:Fallback>
    </mc:AlternateContent>
    <mc:AlternateContent xmlns:mc="http://schemas.openxmlformats.org/markup-compatibility/2006">
      <mc:Choice Requires="x14">
        <control shapeId="8371" r:id="rId220" name="ComboBox136">
          <controlPr locked="0" defaultSize="0" autoLine="0" linkedCell="G105" listFillRange="数量" r:id="rId203">
            <anchor moveWithCells="1" sizeWithCells="1">
              <from>
                <xdr:col>6</xdr:col>
                <xdr:colOff>9525</xdr:colOff>
                <xdr:row>103</xdr:row>
                <xdr:rowOff>419100</xdr:rowOff>
              </from>
              <to>
                <xdr:col>7</xdr:col>
                <xdr:colOff>28575</xdr:colOff>
                <xdr:row>104</xdr:row>
                <xdr:rowOff>428625</xdr:rowOff>
              </to>
            </anchor>
          </controlPr>
        </control>
      </mc:Choice>
      <mc:Fallback>
        <control shapeId="8371" r:id="rId220" name="ComboBox136"/>
      </mc:Fallback>
    </mc:AlternateContent>
    <mc:AlternateContent xmlns:mc="http://schemas.openxmlformats.org/markup-compatibility/2006">
      <mc:Choice Requires="x14">
        <control shapeId="8372" r:id="rId221" name="ComboBox137">
          <controlPr locked="0" defaultSize="0" autoLine="0" autoPict="0" linkedCell="I88" listFillRange="タオル掛け" r:id="rId222">
            <anchor moveWithCells="1" sizeWithCells="1">
              <from>
                <xdr:col>4</xdr:col>
                <xdr:colOff>9525</xdr:colOff>
                <xdr:row>87</xdr:row>
                <xdr:rowOff>0</xdr:rowOff>
              </from>
              <to>
                <xdr:col>6</xdr:col>
                <xdr:colOff>9525</xdr:colOff>
                <xdr:row>88</xdr:row>
                <xdr:rowOff>28575</xdr:rowOff>
              </to>
            </anchor>
          </controlPr>
        </control>
      </mc:Choice>
      <mc:Fallback>
        <control shapeId="8372" r:id="rId221" name="ComboBox137"/>
      </mc:Fallback>
    </mc:AlternateContent>
    <mc:AlternateContent xmlns:mc="http://schemas.openxmlformats.org/markup-compatibility/2006">
      <mc:Choice Requires="x14">
        <control shapeId="8375" r:id="rId223" name="ComboBox139">
          <controlPr locked="0" defaultSize="0" autoLine="0" autoPict="0" linkedCell="I102" listFillRange="積載_作業灯" r:id="rId224">
            <anchor moveWithCells="1" sizeWithCells="1">
              <from>
                <xdr:col>4</xdr:col>
                <xdr:colOff>9525</xdr:colOff>
                <xdr:row>100</xdr:row>
                <xdr:rowOff>428625</xdr:rowOff>
              </from>
              <to>
                <xdr:col>6</xdr:col>
                <xdr:colOff>9525</xdr:colOff>
                <xdr:row>102</xdr:row>
                <xdr:rowOff>19050</xdr:rowOff>
              </to>
            </anchor>
          </controlPr>
        </control>
      </mc:Choice>
      <mc:Fallback>
        <control shapeId="8375" r:id="rId223" name="ComboBox139"/>
      </mc:Fallback>
    </mc:AlternateContent>
    <mc:AlternateContent xmlns:mc="http://schemas.openxmlformats.org/markup-compatibility/2006">
      <mc:Choice Requires="x14">
        <control shapeId="8376" r:id="rId225" name="ComboBox140">
          <controlPr locked="0" defaultSize="0" autoLine="0" autoPict="0" linkedCell="I103" listFillRange="積載_タイヤ灯" r:id="rId226">
            <anchor moveWithCells="1" sizeWithCells="1">
              <from>
                <xdr:col>4</xdr:col>
                <xdr:colOff>9525</xdr:colOff>
                <xdr:row>101</xdr:row>
                <xdr:rowOff>428625</xdr:rowOff>
              </from>
              <to>
                <xdr:col>6</xdr:col>
                <xdr:colOff>9525</xdr:colOff>
                <xdr:row>102</xdr:row>
                <xdr:rowOff>428625</xdr:rowOff>
              </to>
            </anchor>
          </controlPr>
        </control>
      </mc:Choice>
      <mc:Fallback>
        <control shapeId="8376" r:id="rId225" name="ComboBox140"/>
      </mc:Fallback>
    </mc:AlternateContent>
    <mc:AlternateContent xmlns:mc="http://schemas.openxmlformats.org/markup-compatibility/2006">
      <mc:Choice Requires="x14">
        <control shapeId="8287" r:id="rId227" name="ComboBox92">
          <controlPr locked="0" defaultSize="0" autoLine="0" autoPict="0" linkedCell="I89" listFillRange="車輪止め" r:id="rId228">
            <anchor moveWithCells="1" sizeWithCells="1">
              <from>
                <xdr:col>4</xdr:col>
                <xdr:colOff>9525</xdr:colOff>
                <xdr:row>88</xdr:row>
                <xdr:rowOff>0</xdr:rowOff>
              </from>
              <to>
                <xdr:col>6</xdr:col>
                <xdr:colOff>9525</xdr:colOff>
                <xdr:row>89</xdr:row>
                <xdr:rowOff>28575</xdr:rowOff>
              </to>
            </anchor>
          </controlPr>
        </control>
      </mc:Choice>
      <mc:Fallback>
        <control shapeId="8287" r:id="rId227" name="ComboBox92"/>
      </mc:Fallback>
    </mc:AlternateContent>
    <mc:AlternateContent xmlns:mc="http://schemas.openxmlformats.org/markup-compatibility/2006">
      <mc:Choice Requires="x14">
        <control shapeId="8288" r:id="rId229" name="ComboBox93">
          <controlPr locked="0" defaultSize="0" autoLine="0" autoPict="0" linkedCell="I90" listFillRange="消火器" r:id="rId230">
            <anchor moveWithCells="1" sizeWithCells="1">
              <from>
                <xdr:col>4</xdr:col>
                <xdr:colOff>9525</xdr:colOff>
                <xdr:row>89</xdr:row>
                <xdr:rowOff>0</xdr:rowOff>
              </from>
              <to>
                <xdr:col>6</xdr:col>
                <xdr:colOff>9525</xdr:colOff>
                <xdr:row>90</xdr:row>
                <xdr:rowOff>28575</xdr:rowOff>
              </to>
            </anchor>
          </controlPr>
        </control>
      </mc:Choice>
      <mc:Fallback>
        <control shapeId="8288" r:id="rId229" name="ComboBox93"/>
      </mc:Fallback>
    </mc:AlternateContent>
    <mc:AlternateContent xmlns:mc="http://schemas.openxmlformats.org/markup-compatibility/2006">
      <mc:Choice Requires="x14">
        <control shapeId="8324" r:id="rId231" name="ComboBox96">
          <controlPr locked="0" defaultSize="0" autoLine="0" autoPict="0" linkedCell="I91" listFillRange="消火器カバー" r:id="rId232">
            <anchor moveWithCells="1" sizeWithCells="1">
              <from>
                <xdr:col>4</xdr:col>
                <xdr:colOff>9525</xdr:colOff>
                <xdr:row>90</xdr:row>
                <xdr:rowOff>0</xdr:rowOff>
              </from>
              <to>
                <xdr:col>6</xdr:col>
                <xdr:colOff>9525</xdr:colOff>
                <xdr:row>91</xdr:row>
                <xdr:rowOff>19050</xdr:rowOff>
              </to>
            </anchor>
          </controlPr>
        </control>
      </mc:Choice>
      <mc:Fallback>
        <control shapeId="8324" r:id="rId231" name="ComboBox96"/>
      </mc:Fallback>
    </mc:AlternateContent>
    <mc:AlternateContent xmlns:mc="http://schemas.openxmlformats.org/markup-compatibility/2006">
      <mc:Choice Requires="x14">
        <control shapeId="8203" r:id="rId233" name="ComboBox9">
          <controlPr locked="0" defaultSize="0" autoLine="0" autoPict="0" linkedCell="I92" listFillRange="耐寒グリース" r:id="rId234">
            <anchor moveWithCells="1" sizeWithCells="1">
              <from>
                <xdr:col>4</xdr:col>
                <xdr:colOff>9525</xdr:colOff>
                <xdr:row>90</xdr:row>
                <xdr:rowOff>428625</xdr:rowOff>
              </from>
              <to>
                <xdr:col>6</xdr:col>
                <xdr:colOff>9525</xdr:colOff>
                <xdr:row>92</xdr:row>
                <xdr:rowOff>9525</xdr:rowOff>
              </to>
            </anchor>
          </controlPr>
        </control>
      </mc:Choice>
      <mc:Fallback>
        <control shapeId="8203" r:id="rId233" name="ComboBox9"/>
      </mc:Fallback>
    </mc:AlternateContent>
    <mc:AlternateContent xmlns:mc="http://schemas.openxmlformats.org/markup-compatibility/2006">
      <mc:Choice Requires="x14">
        <control shapeId="8204" r:id="rId235" name="ComboBox8">
          <controlPr locked="0" defaultSize="0" autoLine="0" autoPict="0" linkedCell="I93" listFillRange="積込操作盤ヒーター" r:id="rId236">
            <anchor moveWithCells="1" sizeWithCells="1">
              <from>
                <xdr:col>4</xdr:col>
                <xdr:colOff>9525</xdr:colOff>
                <xdr:row>91</xdr:row>
                <xdr:rowOff>428625</xdr:rowOff>
              </from>
              <to>
                <xdr:col>6</xdr:col>
                <xdr:colOff>9525</xdr:colOff>
                <xdr:row>93</xdr:row>
                <xdr:rowOff>9525</xdr:rowOff>
              </to>
            </anchor>
          </controlPr>
        </control>
      </mc:Choice>
      <mc:Fallback>
        <control shapeId="8204" r:id="rId235" name="ComboBox8"/>
      </mc:Fallback>
    </mc:AlternateContent>
    <mc:AlternateContent xmlns:mc="http://schemas.openxmlformats.org/markup-compatibility/2006">
      <mc:Choice Requires="x14">
        <control shapeId="8205" r:id="rId237" name="ComboBox10">
          <controlPr locked="0" defaultSize="0" autoLine="0" autoPict="0" linkedCell="I94" listFillRange="ロータリーソレノイドカバー" r:id="rId238">
            <anchor moveWithCells="1" sizeWithCells="1">
              <from>
                <xdr:col>4</xdr:col>
                <xdr:colOff>9525</xdr:colOff>
                <xdr:row>93</xdr:row>
                <xdr:rowOff>0</xdr:rowOff>
              </from>
              <to>
                <xdr:col>6</xdr:col>
                <xdr:colOff>9525</xdr:colOff>
                <xdr:row>94</xdr:row>
                <xdr:rowOff>19050</xdr:rowOff>
              </to>
            </anchor>
          </controlPr>
        </control>
      </mc:Choice>
      <mc:Fallback>
        <control shapeId="8205" r:id="rId237" name="ComboBox10"/>
      </mc:Fallback>
    </mc:AlternateContent>
    <mc:AlternateContent xmlns:mc="http://schemas.openxmlformats.org/markup-compatibility/2006">
      <mc:Choice Requires="x14">
        <control shapeId="8206" r:id="rId239" name="ComboBox11">
          <controlPr locked="0" defaultSize="0" autoLine="0" autoPict="0" linkedCell="I95" listFillRange="タイヤキャリア" r:id="rId240">
            <anchor moveWithCells="1" sizeWithCells="1">
              <from>
                <xdr:col>4</xdr:col>
                <xdr:colOff>9525</xdr:colOff>
                <xdr:row>93</xdr:row>
                <xdr:rowOff>428625</xdr:rowOff>
              </from>
              <to>
                <xdr:col>6</xdr:col>
                <xdr:colOff>9525</xdr:colOff>
                <xdr:row>95</xdr:row>
                <xdr:rowOff>9525</xdr:rowOff>
              </to>
            </anchor>
          </controlPr>
        </control>
      </mc:Choice>
      <mc:Fallback>
        <control shapeId="8206" r:id="rId239" name="ComboBox11"/>
      </mc:Fallback>
    </mc:AlternateContent>
    <mc:AlternateContent xmlns:mc="http://schemas.openxmlformats.org/markup-compatibility/2006">
      <mc:Choice Requires="x14">
        <control shapeId="8207" r:id="rId241" name="ComboBox12">
          <controlPr locked="0" defaultSize="0" autoLine="0" autoPict="0" linkedCell="I96" listFillRange="ダンボール仕様" r:id="rId242">
            <anchor moveWithCells="1" sizeWithCells="1">
              <from>
                <xdr:col>4</xdr:col>
                <xdr:colOff>9525</xdr:colOff>
                <xdr:row>94</xdr:row>
                <xdr:rowOff>428625</xdr:rowOff>
              </from>
              <to>
                <xdr:col>6</xdr:col>
                <xdr:colOff>9525</xdr:colOff>
                <xdr:row>96</xdr:row>
                <xdr:rowOff>9525</xdr:rowOff>
              </to>
            </anchor>
          </controlPr>
        </control>
      </mc:Choice>
      <mc:Fallback>
        <control shapeId="8207" r:id="rId241" name="ComboBox12"/>
      </mc:Fallback>
    </mc:AlternateContent>
    <mc:AlternateContent xmlns:mc="http://schemas.openxmlformats.org/markup-compatibility/2006">
      <mc:Choice Requires="x14">
        <control shapeId="8208" r:id="rId243" name="ComboBox13">
          <controlPr locked="0" defaultSize="0" autoLine="0" autoPict="0" linkedCell="I97" listFillRange="特殊仕様" r:id="rId244">
            <anchor moveWithCells="1" sizeWithCells="1">
              <from>
                <xdr:col>4</xdr:col>
                <xdr:colOff>9525</xdr:colOff>
                <xdr:row>95</xdr:row>
                <xdr:rowOff>419100</xdr:rowOff>
              </from>
              <to>
                <xdr:col>6</xdr:col>
                <xdr:colOff>9525</xdr:colOff>
                <xdr:row>97</xdr:row>
                <xdr:rowOff>0</xdr:rowOff>
              </to>
            </anchor>
          </controlPr>
        </control>
      </mc:Choice>
      <mc:Fallback>
        <control shapeId="8208" r:id="rId243" name="ComboBox13"/>
      </mc:Fallback>
    </mc:AlternateContent>
    <mc:AlternateContent xmlns:mc="http://schemas.openxmlformats.org/markup-compatibility/2006">
      <mc:Choice Requires="x14">
        <control shapeId="8309" r:id="rId245" name="ComboBox114">
          <controlPr locked="0" defaultSize="0" autoLine="0" autoPict="0" linkedCell="I98" listFillRange="アンダーコート塗布" r:id="rId246">
            <anchor moveWithCells="1" sizeWithCells="1">
              <from>
                <xdr:col>4</xdr:col>
                <xdr:colOff>9525</xdr:colOff>
                <xdr:row>96</xdr:row>
                <xdr:rowOff>419100</xdr:rowOff>
              </from>
              <to>
                <xdr:col>6</xdr:col>
                <xdr:colOff>9525</xdr:colOff>
                <xdr:row>98</xdr:row>
                <xdr:rowOff>0</xdr:rowOff>
              </to>
            </anchor>
          </controlPr>
        </control>
      </mc:Choice>
      <mc:Fallback>
        <control shapeId="8309" r:id="rId245" name="ComboBox114"/>
      </mc:Fallback>
    </mc:AlternateContent>
    <mc:AlternateContent xmlns:mc="http://schemas.openxmlformats.org/markup-compatibility/2006">
      <mc:Choice Requires="x14">
        <control shapeId="8325" r:id="rId247" name="ComboBox97">
          <controlPr locked="0" defaultSize="0" autoLine="0" autoPict="0" linkedCell="I104" listFillRange="積載_タイヤ灯" r:id="rId248">
            <anchor moveWithCells="1" sizeWithCells="1">
              <from>
                <xdr:col>4</xdr:col>
                <xdr:colOff>9525</xdr:colOff>
                <xdr:row>102</xdr:row>
                <xdr:rowOff>419100</xdr:rowOff>
              </from>
              <to>
                <xdr:col>6</xdr:col>
                <xdr:colOff>9525</xdr:colOff>
                <xdr:row>104</xdr:row>
                <xdr:rowOff>9525</xdr:rowOff>
              </to>
            </anchor>
          </controlPr>
        </control>
      </mc:Choice>
      <mc:Fallback>
        <control shapeId="8325" r:id="rId247" name="ComboBox97"/>
      </mc:Fallback>
    </mc:AlternateContent>
    <mc:AlternateContent xmlns:mc="http://schemas.openxmlformats.org/markup-compatibility/2006">
      <mc:Choice Requires="x14">
        <control shapeId="8289" r:id="rId249" name="ComboBox94">
          <controlPr locked="0" defaultSize="0" autoLine="0" autoPict="0" linkedCell="I105" listFillRange="積載_オルゴール" r:id="rId250">
            <anchor moveWithCells="1" sizeWithCells="1">
              <from>
                <xdr:col>4</xdr:col>
                <xdr:colOff>9525</xdr:colOff>
                <xdr:row>103</xdr:row>
                <xdr:rowOff>419100</xdr:rowOff>
              </from>
              <to>
                <xdr:col>6</xdr:col>
                <xdr:colOff>9525</xdr:colOff>
                <xdr:row>105</xdr:row>
                <xdr:rowOff>9525</xdr:rowOff>
              </to>
            </anchor>
          </controlPr>
        </control>
      </mc:Choice>
      <mc:Fallback>
        <control shapeId="8289" r:id="rId249" name="ComboBox94"/>
      </mc:Fallback>
    </mc:AlternateContent>
    <mc:AlternateContent xmlns:mc="http://schemas.openxmlformats.org/markup-compatibility/2006">
      <mc:Choice Requires="x14">
        <control shapeId="8290" r:id="rId251" name="ComboBox95">
          <controlPr locked="0" defaultSize="0" autoLine="0" autoPict="0" linkedCell="I106" listFillRange="積載_道具箱" r:id="rId252">
            <anchor moveWithCells="1" sizeWithCells="1">
              <from>
                <xdr:col>4</xdr:col>
                <xdr:colOff>9525</xdr:colOff>
                <xdr:row>104</xdr:row>
                <xdr:rowOff>409575</xdr:rowOff>
              </from>
              <to>
                <xdr:col>6</xdr:col>
                <xdr:colOff>9525</xdr:colOff>
                <xdr:row>105</xdr:row>
                <xdr:rowOff>409575</xdr:rowOff>
              </to>
            </anchor>
          </controlPr>
        </control>
      </mc:Choice>
      <mc:Fallback>
        <control shapeId="8290" r:id="rId251" name="ComboBox95"/>
      </mc:Fallback>
    </mc:AlternateContent>
    <mc:AlternateContent xmlns:mc="http://schemas.openxmlformats.org/markup-compatibility/2006">
      <mc:Choice Requires="x14">
        <control shapeId="8391" r:id="rId253" name="ComboBox40">
          <controlPr locked="0" defaultSize="0" autoLine="0" autoPict="0" linkedCell="I99" listFillRange="標準ラベル類" r:id="rId254">
            <anchor moveWithCells="1" sizeWithCells="1">
              <from>
                <xdr:col>4</xdr:col>
                <xdr:colOff>9525</xdr:colOff>
                <xdr:row>97</xdr:row>
                <xdr:rowOff>428625</xdr:rowOff>
              </from>
              <to>
                <xdr:col>6</xdr:col>
                <xdr:colOff>9525</xdr:colOff>
                <xdr:row>99</xdr:row>
                <xdr:rowOff>19050</xdr:rowOff>
              </to>
            </anchor>
          </controlPr>
        </control>
      </mc:Choice>
      <mc:Fallback>
        <control shapeId="8391" r:id="rId253" name="ComboBox40"/>
      </mc:Fallback>
    </mc:AlternateContent>
    <mc:AlternateContent xmlns:mc="http://schemas.openxmlformats.org/markup-compatibility/2006">
      <mc:Choice Requires="x14">
        <control shapeId="8201" r:id="rId255" name="Button 9">
          <controlPr defaultSize="0" print="0" autoFill="0" autoPict="0" macro="[0]!標準自動選択">
            <anchor moveWithCells="1" sizeWithCells="1">
              <from>
                <xdr:col>4</xdr:col>
                <xdr:colOff>19050</xdr:colOff>
                <xdr:row>1</xdr:row>
                <xdr:rowOff>114300</xdr:rowOff>
              </from>
              <to>
                <xdr:col>4</xdr:col>
                <xdr:colOff>2724150</xdr:colOff>
                <xdr:row>1</xdr:row>
                <xdr:rowOff>495300</xdr:rowOff>
              </to>
            </anchor>
          </controlPr>
        </control>
      </mc:Choice>
    </mc:AlternateContent>
    <mc:AlternateContent xmlns:mc="http://schemas.openxmlformats.org/markup-compatibility/2006">
      <mc:Choice Requires="x14">
        <control shapeId="8311" r:id="rId256" name="Button 119">
          <controlPr defaultSize="0" print="0" autoFill="0" autoPict="0" macro="[0]!印刷">
            <anchor moveWithCells="1" sizeWithCells="1">
              <from>
                <xdr:col>4</xdr:col>
                <xdr:colOff>4905375</xdr:colOff>
                <xdr:row>1</xdr:row>
                <xdr:rowOff>104775</xdr:rowOff>
              </from>
              <to>
                <xdr:col>5</xdr:col>
                <xdr:colOff>342900</xdr:colOff>
                <xdr:row>1</xdr:row>
                <xdr:rowOff>514350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indexed="52"/>
  </sheetPr>
  <dimension ref="A1:O521"/>
  <sheetViews>
    <sheetView showGridLines="0" zoomScale="75" zoomScaleNormal="75" zoomScaleSheetLayoutView="100" workbookViewId="0">
      <pane ySplit="3" topLeftCell="A58" activePane="bottomLeft" state="frozen"/>
      <selection activeCell="BF7" sqref="BF7"/>
      <selection pane="bottomLeft" activeCell="BF7" sqref="BF7"/>
    </sheetView>
  </sheetViews>
  <sheetFormatPr defaultColWidth="9" defaultRowHeight="12.75" x14ac:dyDescent="0.25"/>
  <cols>
    <col min="1" max="1" width="4.265625" style="272" customWidth="1"/>
    <col min="2" max="2" width="18.1328125" style="273" customWidth="1"/>
    <col min="3" max="3" width="6.73046875" style="273" customWidth="1"/>
    <col min="4" max="4" width="38.1328125" style="274" customWidth="1"/>
    <col min="5" max="5" width="50.73046875" style="276" customWidth="1"/>
    <col min="6" max="6" width="46.265625" style="275" customWidth="1"/>
    <col min="7" max="7" width="5.3984375" style="455" customWidth="1"/>
    <col min="8" max="8" width="13.86328125" style="263" customWidth="1"/>
    <col min="9" max="9" width="11.86328125" style="263" customWidth="1"/>
    <col min="10" max="10" width="9" style="263"/>
    <col min="11" max="11" width="14.265625" style="263" customWidth="1"/>
    <col min="12" max="16384" width="9" style="263"/>
  </cols>
  <sheetData>
    <row r="1" spans="1:14" s="1" customFormat="1" ht="23.25" customHeight="1" thickBot="1" x14ac:dyDescent="0.4">
      <c r="A1" s="161"/>
      <c r="C1" s="162"/>
      <c r="D1" s="254" t="str">
        <f>'仕様指示書－作成－'!$D$1</f>
        <v>Vol.2.5</v>
      </c>
      <c r="E1" s="255" t="str">
        <f>'仕様指示書－作成－'!E1</f>
        <v>PB6</v>
      </c>
      <c r="F1" s="688" t="str">
        <f>'仕様指示書－作成－'!F1:G1</f>
        <v>171963</v>
      </c>
      <c r="G1" s="689"/>
    </row>
    <row r="2" spans="1:14" s="1" customFormat="1" ht="32.25" customHeight="1" x14ac:dyDescent="0.25">
      <c r="A2" s="163"/>
      <c r="B2" s="4"/>
      <c r="C2" s="5"/>
      <c r="D2" s="256"/>
      <c r="E2" s="2"/>
      <c r="F2" s="257"/>
      <c r="G2" s="257"/>
      <c r="I2" s="258"/>
      <c r="J2" s="258"/>
      <c r="K2" s="258"/>
    </row>
    <row r="3" spans="1:14" ht="34.5" customHeight="1" x14ac:dyDescent="0.25">
      <c r="A3" s="259"/>
      <c r="B3" s="260" t="s">
        <v>776</v>
      </c>
      <c r="C3" s="261" t="s">
        <v>164</v>
      </c>
      <c r="D3" s="260" t="s">
        <v>162</v>
      </c>
      <c r="E3" s="691" t="s">
        <v>161</v>
      </c>
      <c r="F3" s="692"/>
      <c r="G3" s="262" t="s">
        <v>777</v>
      </c>
      <c r="I3" s="264"/>
      <c r="J3" s="690"/>
      <c r="K3" s="690"/>
    </row>
    <row r="4" spans="1:14" s="267" customFormat="1" ht="34.5" customHeight="1" x14ac:dyDescent="0.25">
      <c r="A4" s="266"/>
      <c r="B4" s="213" t="s">
        <v>780</v>
      </c>
      <c r="C4" s="214" t="str">
        <f>'仕様指示書－作成－'!C4</f>
        <v>標準</v>
      </c>
      <c r="D4" s="238" t="s">
        <v>778</v>
      </c>
      <c r="E4" s="686" t="str">
        <f>'仕様指示書－作成－'!I4</f>
        <v xml:space="preserve">標準化設定シャシ   </v>
      </c>
      <c r="F4" s="687"/>
      <c r="G4" s="452"/>
      <c r="I4" s="169"/>
      <c r="K4" s="268"/>
      <c r="L4" s="269"/>
      <c r="M4" s="269"/>
      <c r="N4" s="269"/>
    </row>
    <row r="5" spans="1:14" s="267" customFormat="1" ht="34.5" customHeight="1" x14ac:dyDescent="0.25">
      <c r="A5" s="266"/>
      <c r="B5" s="221" t="s">
        <v>781</v>
      </c>
      <c r="C5" s="214" t="str">
        <f>'仕様指示書－作成－'!C5</f>
        <v>標準</v>
      </c>
      <c r="D5" s="282" t="s">
        <v>828</v>
      </c>
      <c r="E5" s="686" t="str">
        <f>'仕様指示書－作成－'!I5</f>
        <v xml:space="preserve">耐候性鋼板ｔ２．８ </v>
      </c>
      <c r="F5" s="687"/>
      <c r="G5" s="452"/>
      <c r="K5" s="268"/>
      <c r="L5" s="269"/>
      <c r="M5" s="269"/>
      <c r="N5" s="269"/>
    </row>
    <row r="6" spans="1:14" s="267" customFormat="1" ht="34.5" customHeight="1" x14ac:dyDescent="0.25">
      <c r="A6" s="266"/>
      <c r="B6" s="222"/>
      <c r="C6" s="214" t="str">
        <f>'仕様指示書－作成－'!C6</f>
        <v>標準</v>
      </c>
      <c r="D6" s="238" t="s">
        <v>829</v>
      </c>
      <c r="E6" s="686" t="str">
        <f>'仕様指示書－作成－'!I6</f>
        <v xml:space="preserve">無し </v>
      </c>
      <c r="F6" s="687"/>
      <c r="G6" s="452"/>
      <c r="K6" s="268"/>
      <c r="L6" s="269"/>
      <c r="M6" s="269"/>
      <c r="N6" s="269"/>
    </row>
    <row r="7" spans="1:14" s="267" customFormat="1" ht="34.5" customHeight="1" x14ac:dyDescent="0.25">
      <c r="A7" s="266"/>
      <c r="B7" s="445"/>
      <c r="C7" s="214" t="str">
        <f>'仕様指示書－作成－'!C7</f>
        <v>標準</v>
      </c>
      <c r="D7" s="238" t="s">
        <v>948</v>
      </c>
      <c r="E7" s="686" t="str">
        <f>'仕様指示書－作成－'!I7</f>
        <v xml:space="preserve">無し </v>
      </c>
      <c r="F7" s="687"/>
      <c r="G7" s="452"/>
    </row>
    <row r="8" spans="1:14" s="267" customFormat="1" ht="34.5" customHeight="1" x14ac:dyDescent="0.25">
      <c r="A8" s="266"/>
      <c r="B8" s="213" t="s">
        <v>782</v>
      </c>
      <c r="C8" s="214" t="str">
        <f>'仕様指示書－作成－'!C8</f>
        <v>標準</v>
      </c>
      <c r="D8" s="238" t="s">
        <v>949</v>
      </c>
      <c r="E8" s="686" t="str">
        <f>'仕様指示書－作成－'!I8</f>
        <v xml:space="preserve">無し </v>
      </c>
      <c r="F8" s="687"/>
      <c r="G8" s="452"/>
    </row>
    <row r="9" spans="1:14" s="267" customFormat="1" ht="34.5" customHeight="1" x14ac:dyDescent="0.25">
      <c r="A9" s="266"/>
      <c r="B9" s="223"/>
      <c r="C9" s="214" t="str">
        <f>'仕様指示書－作成－'!C9</f>
        <v>標準</v>
      </c>
      <c r="D9" s="224" t="s">
        <v>950</v>
      </c>
      <c r="E9" s="686" t="str">
        <f>'仕様指示書－作成－'!I9</f>
        <v xml:space="preserve">無し </v>
      </c>
      <c r="F9" s="687"/>
      <c r="G9" s="453"/>
      <c r="H9" s="270"/>
    </row>
    <row r="10" spans="1:14" s="267" customFormat="1" ht="34.5" customHeight="1" x14ac:dyDescent="0.25">
      <c r="A10" s="266"/>
      <c r="B10" s="223"/>
      <c r="C10" s="214" t="str">
        <f>'仕様指示書－作成－'!C10</f>
        <v>標準</v>
      </c>
      <c r="D10" s="224" t="s">
        <v>951</v>
      </c>
      <c r="E10" s="686" t="str">
        <f>'仕様指示書－作成－'!I10</f>
        <v xml:space="preserve">左側のみ取付 </v>
      </c>
      <c r="F10" s="687"/>
      <c r="G10" s="453"/>
    </row>
    <row r="11" spans="1:14" s="267" customFormat="1" ht="34.5" customHeight="1" x14ac:dyDescent="0.25">
      <c r="A11" s="266"/>
      <c r="B11" s="223"/>
      <c r="C11" s="214" t="str">
        <f>'仕様指示書－作成－'!C11</f>
        <v>特仕</v>
      </c>
      <c r="D11" s="224" t="s">
        <v>952</v>
      </c>
      <c r="E11" s="686" t="str">
        <f>'仕様指示書－作成－'!I11</f>
        <v xml:space="preserve">別紙（補助仕様書）参照 </v>
      </c>
      <c r="F11" s="687"/>
      <c r="G11" s="453"/>
    </row>
    <row r="12" spans="1:14" s="267" customFormat="1" ht="34.5" customHeight="1" x14ac:dyDescent="0.25">
      <c r="A12" s="266"/>
      <c r="B12" s="223"/>
      <c r="C12" s="214" t="str">
        <f>'仕様指示書－作成－'!C12</f>
        <v>標準</v>
      </c>
      <c r="D12" s="224" t="s">
        <v>953</v>
      </c>
      <c r="E12" s="686" t="str">
        <f>'仕様指示書－作成－'!I12</f>
        <v xml:space="preserve">無し  </v>
      </c>
      <c r="F12" s="687"/>
      <c r="G12" s="453"/>
    </row>
    <row r="13" spans="1:14" s="267" customFormat="1" ht="34.5" customHeight="1" x14ac:dyDescent="0.25">
      <c r="A13" s="266"/>
      <c r="B13" s="223"/>
      <c r="C13" s="214" t="str">
        <f>'仕様指示書－作成－'!C13</f>
        <v>標準</v>
      </c>
      <c r="D13" s="224" t="s">
        <v>954</v>
      </c>
      <c r="E13" s="686" t="str">
        <f>'仕様指示書－作成－'!I13</f>
        <v xml:space="preserve">無し </v>
      </c>
      <c r="F13" s="687"/>
      <c r="G13" s="453"/>
    </row>
    <row r="14" spans="1:14" s="267" customFormat="1" ht="34.5" customHeight="1" x14ac:dyDescent="0.25">
      <c r="A14" s="266"/>
      <c r="B14" s="223"/>
      <c r="C14" s="214" t="str">
        <f>'仕様指示書－作成－'!C14</f>
        <v>標準</v>
      </c>
      <c r="D14" s="224" t="s">
        <v>955</v>
      </c>
      <c r="E14" s="686" t="str">
        <f>'仕様指示書－作成－'!I14</f>
        <v>無し</v>
      </c>
      <c r="F14" s="687"/>
      <c r="G14" s="453"/>
    </row>
    <row r="15" spans="1:14" s="267" customFormat="1" ht="34.5" customHeight="1" x14ac:dyDescent="0.25">
      <c r="A15" s="266"/>
      <c r="B15" s="223"/>
      <c r="C15" s="214" t="str">
        <f>'仕様指示書－作成－'!C15</f>
        <v>標準</v>
      </c>
      <c r="D15" s="224" t="s">
        <v>956</v>
      </c>
      <c r="E15" s="686" t="str">
        <f>'仕様指示書－作成－'!I15</f>
        <v xml:space="preserve">無し </v>
      </c>
      <c r="F15" s="687"/>
      <c r="G15" s="453"/>
      <c r="H15" s="269"/>
    </row>
    <row r="16" spans="1:14" s="267" customFormat="1" ht="34.5" customHeight="1" x14ac:dyDescent="0.25">
      <c r="A16" s="266"/>
      <c r="B16" s="277"/>
      <c r="C16" s="214" t="str">
        <f>'仕様指示書－作成－'!C16</f>
        <v>標準</v>
      </c>
      <c r="D16" s="238" t="s">
        <v>869</v>
      </c>
      <c r="E16" s="686" t="str">
        <f>'仕様指示書－作成－'!I16</f>
        <v xml:space="preserve">無し </v>
      </c>
      <c r="F16" s="687"/>
      <c r="G16" s="452"/>
      <c r="H16" s="269"/>
    </row>
    <row r="17" spans="1:8" s="267" customFormat="1" ht="34.5" customHeight="1" x14ac:dyDescent="0.25">
      <c r="A17" s="266"/>
      <c r="B17" s="213" t="s">
        <v>783</v>
      </c>
      <c r="C17" s="214" t="str">
        <f>'仕様指示書－作成－'!C17</f>
        <v>標準</v>
      </c>
      <c r="D17" s="213" t="s">
        <v>607</v>
      </c>
      <c r="E17" s="686" t="str">
        <f>'仕様指示書－作成－'!I17</f>
        <v>高張力鋼板ｔ８．０</v>
      </c>
      <c r="F17" s="687"/>
      <c r="G17" s="453"/>
    </row>
    <row r="18" spans="1:8" s="267" customFormat="1" ht="34.5" customHeight="1" x14ac:dyDescent="0.25">
      <c r="A18" s="266"/>
      <c r="B18" s="222"/>
      <c r="C18" s="214" t="str">
        <f>'仕様指示書－作成－'!C18</f>
        <v>標準</v>
      </c>
      <c r="D18" s="213" t="s">
        <v>957</v>
      </c>
      <c r="E18" s="686" t="str">
        <f>'仕様指示書－作成－'!I18</f>
        <v xml:space="preserve">２－φ２５ </v>
      </c>
      <c r="F18" s="687"/>
      <c r="G18" s="453"/>
      <c r="H18" s="269"/>
    </row>
    <row r="19" spans="1:8" s="267" customFormat="1" ht="34.5" customHeight="1" x14ac:dyDescent="0.25">
      <c r="A19" s="266"/>
      <c r="B19" s="446"/>
      <c r="C19" s="214" t="str">
        <f>'仕様指示書－作成－'!C19</f>
        <v>標準</v>
      </c>
      <c r="D19" s="213" t="s">
        <v>628</v>
      </c>
      <c r="E19" s="686" t="str">
        <f>'仕様指示書－作成－'!I19</f>
        <v>有 （汚水タンク本体・側板鉄製）</v>
      </c>
      <c r="F19" s="687"/>
      <c r="G19" s="453"/>
      <c r="H19" s="269"/>
    </row>
    <row r="20" spans="1:8" s="267" customFormat="1" ht="34.5" customHeight="1" x14ac:dyDescent="0.25">
      <c r="A20" s="266"/>
      <c r="B20" s="277"/>
      <c r="C20" s="214" t="str">
        <f>'仕様指示書－作成－'!C20</f>
        <v>標準</v>
      </c>
      <c r="D20" s="213" t="s">
        <v>608</v>
      </c>
      <c r="E20" s="686" t="str">
        <f>'仕様指示書－作成－'!I20</f>
        <v xml:space="preserve">耐候性鋼板製 </v>
      </c>
      <c r="F20" s="687"/>
      <c r="G20" s="453"/>
      <c r="H20" s="269"/>
    </row>
    <row r="21" spans="1:8" s="267" customFormat="1" ht="34.5" customHeight="1" x14ac:dyDescent="0.25">
      <c r="A21" s="266"/>
      <c r="B21" s="213" t="s">
        <v>784</v>
      </c>
      <c r="C21" s="214" t="str">
        <f>'仕様指示書－作成－'!C21</f>
        <v>標準</v>
      </c>
      <c r="D21" s="213" t="s">
        <v>609</v>
      </c>
      <c r="E21" s="686" t="str">
        <f>'仕様指示書－作成－'!I21</f>
        <v xml:space="preserve">無し </v>
      </c>
      <c r="F21" s="687"/>
      <c r="G21" s="453"/>
    </row>
    <row r="22" spans="1:8" s="267" customFormat="1" ht="34.5" customHeight="1" x14ac:dyDescent="0.25">
      <c r="A22" s="266"/>
      <c r="B22" s="222"/>
      <c r="C22" s="214" t="str">
        <f>'仕様指示書－作成－'!C22</f>
        <v>ＯＰ</v>
      </c>
      <c r="D22" s="213" t="s">
        <v>610</v>
      </c>
      <c r="E22" s="686" t="str">
        <f>'仕様指示書－作成－'!I22</f>
        <v xml:space="preserve">同材ｔ２．３ </v>
      </c>
      <c r="F22" s="687"/>
      <c r="G22" s="453"/>
      <c r="H22" s="269"/>
    </row>
    <row r="23" spans="1:8" s="267" customFormat="1" ht="34.5" customHeight="1" x14ac:dyDescent="0.25">
      <c r="A23" s="266"/>
      <c r="B23" s="446"/>
      <c r="C23" s="214" t="str">
        <f>'仕様指示書－作成－'!C23</f>
        <v>標準</v>
      </c>
      <c r="D23" s="238" t="s">
        <v>958</v>
      </c>
      <c r="E23" s="686" t="str">
        <f>'仕様指示書－作成－'!I23</f>
        <v xml:space="preserve">無し </v>
      </c>
      <c r="F23" s="687"/>
      <c r="G23" s="452"/>
    </row>
    <row r="24" spans="1:8" s="267" customFormat="1" ht="34.5" customHeight="1" x14ac:dyDescent="0.25">
      <c r="A24" s="266"/>
      <c r="B24" s="222"/>
      <c r="C24" s="214" t="str">
        <f>'仕様指示書－作成－'!C24</f>
        <v>標準</v>
      </c>
      <c r="D24" s="213" t="s">
        <v>959</v>
      </c>
      <c r="E24" s="686" t="str">
        <f>'仕様指示書－作成－'!I24</f>
        <v xml:space="preserve">無し </v>
      </c>
      <c r="F24" s="687"/>
      <c r="G24" s="453"/>
    </row>
    <row r="25" spans="1:8" s="267" customFormat="1" ht="34.5" customHeight="1" x14ac:dyDescent="0.25">
      <c r="A25" s="266"/>
      <c r="B25" s="222"/>
      <c r="C25" s="214" t="str">
        <f>'仕様指示書－作成－'!C25</f>
        <v>標準</v>
      </c>
      <c r="D25" s="238" t="s">
        <v>960</v>
      </c>
      <c r="E25" s="686" t="str">
        <f>'仕様指示書－作成－'!I25</f>
        <v xml:space="preserve">ＳＳ製 </v>
      </c>
      <c r="F25" s="687"/>
      <c r="G25" s="452"/>
    </row>
    <row r="26" spans="1:8" s="267" customFormat="1" ht="34.5" customHeight="1" x14ac:dyDescent="0.25">
      <c r="A26" s="266"/>
      <c r="B26" s="222"/>
      <c r="C26" s="214" t="str">
        <f>'仕様指示書－作成－'!C26</f>
        <v>標準</v>
      </c>
      <c r="D26" s="238" t="s">
        <v>430</v>
      </c>
      <c r="E26" s="686" t="str">
        <f>'仕様指示書－作成－'!I26</f>
        <v xml:space="preserve">無し </v>
      </c>
      <c r="F26" s="687"/>
      <c r="G26" s="452"/>
    </row>
    <row r="27" spans="1:8" s="267" customFormat="1" ht="34.5" customHeight="1" x14ac:dyDescent="0.25">
      <c r="A27" s="266"/>
      <c r="B27" s="222"/>
      <c r="C27" s="214" t="str">
        <f>'仕様指示書－作成－'!C27</f>
        <v>標準</v>
      </c>
      <c r="D27" s="238" t="s">
        <v>14</v>
      </c>
      <c r="E27" s="686" t="str">
        <f>'仕様指示書－作成－'!I27</f>
        <v xml:space="preserve">ﾌﾟﾚｽﾌﾟﾚｰﾄ先端，ｻｲﾄﾞ(ｺﾞﾑ式） ＋ ﾊﾟｯｶｰﾌﾟﾚｰﾄ～ﾌﾟﾚｽﾌﾟﾚｰﾄ間（ｺﾞﾑ式，固定式） </v>
      </c>
      <c r="F27" s="687"/>
      <c r="G27" s="452"/>
    </row>
    <row r="28" spans="1:8" s="267" customFormat="1" ht="34.5" customHeight="1" x14ac:dyDescent="0.25">
      <c r="A28" s="266"/>
      <c r="B28" s="222"/>
      <c r="C28" s="214" t="str">
        <f>'仕様指示書－作成－'!C28</f>
        <v>標準</v>
      </c>
      <c r="D28" s="238" t="s">
        <v>15</v>
      </c>
      <c r="E28" s="686" t="str">
        <f>'仕様指示書－作成－'!I28</f>
        <v xml:space="preserve">ＳＳ製２枚折れ扉 </v>
      </c>
      <c r="F28" s="687"/>
      <c r="G28" s="452"/>
    </row>
    <row r="29" spans="1:8" s="267" customFormat="1" ht="34.5" customHeight="1" x14ac:dyDescent="0.25">
      <c r="A29" s="266"/>
      <c r="B29" s="222"/>
      <c r="C29" s="214" t="str">
        <f>'仕様指示書－作成－'!C29</f>
        <v>標準</v>
      </c>
      <c r="D29" s="238" t="s">
        <v>1201</v>
      </c>
      <c r="E29" s="686" t="str">
        <f>'仕様指示書－作成－'!I29</f>
        <v xml:space="preserve">パイプ式 </v>
      </c>
      <c r="F29" s="687"/>
      <c r="G29" s="452"/>
    </row>
    <row r="30" spans="1:8" s="267" customFormat="1" ht="34.5" customHeight="1" x14ac:dyDescent="0.25">
      <c r="A30" s="266"/>
      <c r="B30" s="222"/>
      <c r="C30" s="214" t="str">
        <f>'仕様指示書－作成－'!C30</f>
        <v>ＯＰ</v>
      </c>
      <c r="D30" s="238" t="s">
        <v>611</v>
      </c>
      <c r="E30" s="686" t="str">
        <f>'仕様指示書－作成－'!I30</f>
        <v xml:space="preserve">有 </v>
      </c>
      <c r="F30" s="687"/>
      <c r="G30" s="452"/>
    </row>
    <row r="31" spans="1:8" s="267" customFormat="1" ht="34.5" customHeight="1" x14ac:dyDescent="0.25">
      <c r="A31" s="266"/>
      <c r="B31" s="222"/>
      <c r="C31" s="214" t="str">
        <f>'仕様指示書－作成－'!C31</f>
        <v>ＯＰ</v>
      </c>
      <c r="D31" s="238" t="s">
        <v>629</v>
      </c>
      <c r="E31" s="686" t="str">
        <f>'仕様指示書－作成－'!I31</f>
        <v>無し（リフトシリンダカバー取付） 全高制限仕様は標準　PA56H-3、PA56H-5、PA57H、PA57H-4</v>
      </c>
      <c r="F31" s="687"/>
      <c r="G31" s="452"/>
    </row>
    <row r="32" spans="1:8" s="267" customFormat="1" ht="34.5" customHeight="1" x14ac:dyDescent="0.25">
      <c r="A32" s="266"/>
      <c r="B32" s="222"/>
      <c r="C32" s="214" t="str">
        <f>'仕様指示書－作成－'!C32</f>
        <v>特仕</v>
      </c>
      <c r="D32" s="282" t="s">
        <v>630</v>
      </c>
      <c r="E32" s="686" t="str">
        <f>'仕様指示書－作成－'!I32</f>
        <v xml:space="preserve">別紙（補助仕様書）参照 </v>
      </c>
      <c r="F32" s="687"/>
      <c r="G32" s="452"/>
    </row>
    <row r="33" spans="1:7" s="267" customFormat="1" ht="34.5" customHeight="1" x14ac:dyDescent="0.25">
      <c r="A33" s="266"/>
      <c r="B33" s="222"/>
      <c r="C33" s="214" t="str">
        <f>'仕様指示書－作成－'!C33</f>
        <v>ＯＰ</v>
      </c>
      <c r="D33" s="238" t="s">
        <v>1090</v>
      </c>
      <c r="E33" s="686" t="str">
        <f>'仕様指示書－作成－'!I33</f>
        <v>有　【お客様発行の依頼書が必要】</v>
      </c>
      <c r="F33" s="687"/>
      <c r="G33" s="452"/>
    </row>
    <row r="34" spans="1:7" s="267" customFormat="1" ht="34.5" customHeight="1" x14ac:dyDescent="0.25">
      <c r="A34" s="266"/>
      <c r="B34" s="222"/>
      <c r="C34" s="214" t="str">
        <f>'仕様指示書－作成－'!C34</f>
        <v>標準</v>
      </c>
      <c r="D34" s="238" t="s">
        <v>431</v>
      </c>
      <c r="E34" s="686" t="str">
        <f>'仕様指示書－作成－'!I34</f>
        <v>無し</v>
      </c>
      <c r="F34" s="687"/>
      <c r="G34" s="452"/>
    </row>
    <row r="35" spans="1:7" s="267" customFormat="1" ht="34.5" customHeight="1" x14ac:dyDescent="0.25">
      <c r="A35" s="266"/>
      <c r="B35" s="222"/>
      <c r="C35" s="214" t="str">
        <f>'仕様指示書－作成－'!C35</f>
        <v>ＯＰ</v>
      </c>
      <c r="D35" s="238" t="s">
        <v>3</v>
      </c>
      <c r="E35" s="686" t="str">
        <f>'仕様指示書－作成－'!I35</f>
        <v>有 （φ１６丸棒）</v>
      </c>
      <c r="F35" s="687"/>
      <c r="G35" s="452"/>
    </row>
    <row r="36" spans="1:7" s="267" customFormat="1" ht="34.5" customHeight="1" x14ac:dyDescent="0.25">
      <c r="A36" s="266"/>
      <c r="B36" s="222"/>
      <c r="C36" s="214" t="str">
        <f>'仕様指示書－作成－'!C36</f>
        <v>標準</v>
      </c>
      <c r="D36" s="238" t="s">
        <v>4</v>
      </c>
      <c r="E36" s="686" t="str">
        <f>'仕様指示書－作成－'!I36</f>
        <v>無し</v>
      </c>
      <c r="F36" s="687"/>
      <c r="G36" s="452"/>
    </row>
    <row r="37" spans="1:7" s="267" customFormat="1" ht="34.5" customHeight="1" x14ac:dyDescent="0.25">
      <c r="A37" s="266"/>
      <c r="B37" s="222"/>
      <c r="C37" s="214" t="str">
        <f>'仕様指示書－作成－'!C37</f>
        <v>標準</v>
      </c>
      <c r="D37" s="238" t="s">
        <v>967</v>
      </c>
      <c r="E37" s="686" t="str">
        <f>'仕様指示書－作成－'!I37</f>
        <v>有（反転装置取付の場合は無しとなる）</v>
      </c>
      <c r="F37" s="687"/>
      <c r="G37" s="452"/>
    </row>
    <row r="38" spans="1:7" s="267" customFormat="1" ht="34.5" customHeight="1" x14ac:dyDescent="0.25">
      <c r="A38" s="266"/>
      <c r="B38" s="222"/>
      <c r="C38" s="214" t="str">
        <f>'仕様指示書－作成－'!C38</f>
        <v>標準</v>
      </c>
      <c r="D38" s="238" t="s">
        <v>968</v>
      </c>
      <c r="E38" s="686" t="str">
        <f>'仕様指示書－作成－'!I38</f>
        <v xml:space="preserve">有（ＧＶＷ７０００kg以上）／型式認定品 </v>
      </c>
      <c r="F38" s="687"/>
      <c r="G38" s="452"/>
    </row>
    <row r="39" spans="1:7" s="267" customFormat="1" ht="34.5" customHeight="1" x14ac:dyDescent="0.25">
      <c r="A39" s="266"/>
      <c r="B39" s="222"/>
      <c r="C39" s="214" t="str">
        <f>'仕様指示書－作成－'!C39</f>
        <v>標準</v>
      </c>
      <c r="D39" s="238" t="s">
        <v>969</v>
      </c>
      <c r="E39" s="686" t="str">
        <f>'仕様指示書－作成－'!I39</f>
        <v xml:space="preserve">シート式（グレー） </v>
      </c>
      <c r="F39" s="687"/>
      <c r="G39" s="452"/>
    </row>
    <row r="40" spans="1:7" s="267" customFormat="1" ht="34.5" customHeight="1" x14ac:dyDescent="0.25">
      <c r="A40" s="266"/>
      <c r="B40" s="222"/>
      <c r="C40" s="214" t="str">
        <f>'仕様指示書－作成－'!C40</f>
        <v>標準</v>
      </c>
      <c r="D40" s="238" t="s">
        <v>1459</v>
      </c>
      <c r="E40" s="686" t="str">
        <f>'仕様指示書－作成－'!I40</f>
        <v xml:space="preserve">無し </v>
      </c>
      <c r="F40" s="687"/>
      <c r="G40" s="452"/>
    </row>
    <row r="41" spans="1:7" s="267" customFormat="1" ht="34.5" customHeight="1" x14ac:dyDescent="0.25">
      <c r="A41" s="266"/>
      <c r="B41" s="222"/>
      <c r="C41" s="214" t="str">
        <f>'仕様指示書－作成－'!C41</f>
        <v>標準</v>
      </c>
      <c r="D41" s="238" t="s">
        <v>0</v>
      </c>
      <c r="E41" s="686" t="str">
        <f>'仕様指示書－作成－'!I41</f>
        <v xml:space="preserve">無し </v>
      </c>
      <c r="F41" s="687"/>
      <c r="G41" s="452"/>
    </row>
    <row r="42" spans="1:7" s="267" customFormat="1" ht="34.5" customHeight="1" x14ac:dyDescent="0.25">
      <c r="A42" s="266"/>
      <c r="B42" s="277"/>
      <c r="C42" s="214" t="str">
        <f>'仕様指示書－作成－'!C42</f>
        <v>標準</v>
      </c>
      <c r="D42" s="282" t="s">
        <v>5</v>
      </c>
      <c r="E42" s="686" t="str">
        <f>'仕様指示書－作成－'!I42</f>
        <v xml:space="preserve">無し </v>
      </c>
      <c r="F42" s="687"/>
      <c r="G42" s="452"/>
    </row>
    <row r="43" spans="1:7" s="267" customFormat="1" ht="34.5" customHeight="1" x14ac:dyDescent="0.25">
      <c r="A43" s="266"/>
      <c r="B43" s="213" t="s">
        <v>784</v>
      </c>
      <c r="C43" s="214" t="str">
        <f>'仕様指示書－作成－'!C43</f>
        <v>標準</v>
      </c>
      <c r="D43" s="282" t="s">
        <v>6</v>
      </c>
      <c r="E43" s="686" t="str">
        <f>'仕様指示書－作成－'!I43</f>
        <v xml:space="preserve">無し </v>
      </c>
      <c r="F43" s="687"/>
      <c r="G43" s="452"/>
    </row>
    <row r="44" spans="1:7" s="267" customFormat="1" ht="34.5" customHeight="1" x14ac:dyDescent="0.25">
      <c r="A44" s="266"/>
      <c r="B44" s="213" t="s">
        <v>785</v>
      </c>
      <c r="C44" s="214" t="str">
        <f>'仕様指示書－作成－'!C44</f>
        <v>標準</v>
      </c>
      <c r="D44" s="282" t="s">
        <v>631</v>
      </c>
      <c r="E44" s="686" t="str">
        <f>'仕様指示書－作成－'!I44</f>
        <v>ボデー幅取付（ＳＳ） 取付け不可の場合は、フレーム幅になります</v>
      </c>
      <c r="F44" s="687"/>
      <c r="G44" s="452"/>
    </row>
    <row r="45" spans="1:7" s="267" customFormat="1" ht="34.5" customHeight="1" x14ac:dyDescent="0.25">
      <c r="A45" s="266"/>
      <c r="B45" s="222"/>
      <c r="C45" s="214" t="str">
        <f>'仕様指示書－作成－'!C45</f>
        <v>標準</v>
      </c>
      <c r="D45" s="282" t="s">
        <v>632</v>
      </c>
      <c r="E45" s="686" t="str">
        <f>'仕様指示書－作成－'!I45</f>
        <v xml:space="preserve">無し </v>
      </c>
      <c r="F45" s="687"/>
      <c r="G45" s="452"/>
    </row>
    <row r="46" spans="1:7" s="267" customFormat="1" ht="34.5" customHeight="1" x14ac:dyDescent="0.25">
      <c r="A46" s="266"/>
      <c r="B46" s="222"/>
      <c r="C46" s="214" t="str">
        <f>'仕様指示書－作成－'!C46</f>
        <v>標準</v>
      </c>
      <c r="D46" s="282" t="s">
        <v>612</v>
      </c>
      <c r="E46" s="686" t="str">
        <f>'仕様指示書－作成－'!I46</f>
        <v xml:space="preserve">ギヤポンプ </v>
      </c>
      <c r="F46" s="687"/>
      <c r="G46" s="452"/>
    </row>
    <row r="47" spans="1:7" s="267" customFormat="1" ht="34.5" customHeight="1" x14ac:dyDescent="0.25">
      <c r="A47" s="266"/>
      <c r="B47" s="222"/>
      <c r="C47" s="214" t="str">
        <f>'仕様指示書－作成－'!C47</f>
        <v>標準</v>
      </c>
      <c r="D47" s="282" t="s">
        <v>613</v>
      </c>
      <c r="E47" s="686" t="str">
        <f>'仕様指示書－作成－'!I47</f>
        <v xml:space="preserve">ＳＳ製角型 </v>
      </c>
      <c r="F47" s="687"/>
      <c r="G47" s="452"/>
    </row>
    <row r="48" spans="1:7" s="267" customFormat="1" ht="34.5" customHeight="1" x14ac:dyDescent="0.25">
      <c r="A48" s="266"/>
      <c r="B48" s="222"/>
      <c r="C48" s="214" t="str">
        <f>'仕様指示書－作成－'!C48</f>
        <v>標準</v>
      </c>
      <c r="D48" s="282" t="s">
        <v>848</v>
      </c>
      <c r="E48" s="686" t="str">
        <f>'仕様指示書－作成－'!I48</f>
        <v>無し 【三菱小型車は右後３つのみ標準でSS型取付。左右取付の場合は『有』を選択のこと】</v>
      </c>
      <c r="F48" s="687"/>
      <c r="G48" s="452"/>
    </row>
    <row r="49" spans="1:9" s="267" customFormat="1" ht="34.5" customHeight="1" x14ac:dyDescent="0.25">
      <c r="A49" s="266"/>
      <c r="B49" s="222"/>
      <c r="C49" s="214" t="str">
        <f>'仕様指示書－作成－'!C49</f>
        <v>標準</v>
      </c>
      <c r="D49" s="282" t="s">
        <v>435</v>
      </c>
      <c r="E49" s="686" t="str">
        <f>'仕様指示書－作成－'!I49</f>
        <v>無し 【マフラ後輪後出しの場合は取付不可】</v>
      </c>
      <c r="F49" s="687"/>
      <c r="G49" s="452"/>
    </row>
    <row r="50" spans="1:9" s="267" customFormat="1" ht="34.5" customHeight="1" x14ac:dyDescent="0.25">
      <c r="A50" s="266"/>
      <c r="B50" s="222"/>
      <c r="C50" s="214" t="str">
        <f>'仕様指示書－作成－'!C50</f>
        <v>標準</v>
      </c>
      <c r="D50" s="282" t="s">
        <v>622</v>
      </c>
      <c r="E50" s="686" t="str">
        <f>'仕様指示書－作成－'!I50</f>
        <v xml:space="preserve">ロゴ有 </v>
      </c>
      <c r="F50" s="687"/>
      <c r="G50" s="452"/>
    </row>
    <row r="51" spans="1:9" s="267" customFormat="1" ht="34.5" customHeight="1" x14ac:dyDescent="0.25">
      <c r="A51" s="266"/>
      <c r="B51" s="446"/>
      <c r="C51" s="214" t="str">
        <f>'仕様指示書－作成－'!C51</f>
        <v>標準</v>
      </c>
      <c r="D51" s="282" t="s">
        <v>17</v>
      </c>
      <c r="E51" s="686" t="str">
        <f>'仕様指示書－作成－'!I51</f>
        <v xml:space="preserve">無し </v>
      </c>
      <c r="F51" s="687"/>
      <c r="G51" s="452"/>
    </row>
    <row r="52" spans="1:9" s="267" customFormat="1" ht="34.5" customHeight="1" x14ac:dyDescent="0.25">
      <c r="A52" s="266"/>
      <c r="B52" s="222"/>
      <c r="C52" s="214" t="str">
        <f>'仕様指示書－作成－'!C52</f>
        <v>標準</v>
      </c>
      <c r="D52" s="282" t="s">
        <v>432</v>
      </c>
      <c r="E52" s="686" t="str">
        <f>'仕様指示書－作成－'!I52</f>
        <v>ＰＡ：無し／ＰＢ：有 ＰＡ５４Ｈオイルタンクボデー内仕様の場合、有となります</v>
      </c>
      <c r="F52" s="687"/>
      <c r="G52" s="452"/>
    </row>
    <row r="53" spans="1:9" s="267" customFormat="1" ht="34.5" customHeight="1" x14ac:dyDescent="0.25">
      <c r="A53" s="266"/>
      <c r="B53" s="277"/>
      <c r="C53" s="214" t="str">
        <f>'仕様指示書－作成－'!C53</f>
        <v>標準</v>
      </c>
      <c r="D53" s="282" t="s">
        <v>19</v>
      </c>
      <c r="E53" s="686" t="str">
        <f>'仕様指示書－作成－'!I53</f>
        <v xml:space="preserve">２０Ａパイプ１段 </v>
      </c>
      <c r="F53" s="687"/>
      <c r="G53" s="452"/>
    </row>
    <row r="54" spans="1:9" s="267" customFormat="1" ht="34.5" customHeight="1" x14ac:dyDescent="0.25">
      <c r="A54" s="266"/>
      <c r="B54" s="213" t="s">
        <v>786</v>
      </c>
      <c r="C54" s="214" t="str">
        <f>'仕様指示書－作成－'!C54</f>
        <v>標準</v>
      </c>
      <c r="D54" s="282" t="s">
        <v>623</v>
      </c>
      <c r="E54" s="686" t="str">
        <f>'仕様指示書－作成－'!I54</f>
        <v>テールゲートサイド上部（丸型電球式）　【ハイマウントリアパネル無し】</v>
      </c>
      <c r="F54" s="687"/>
      <c r="G54" s="452"/>
    </row>
    <row r="55" spans="1:9" s="267" customFormat="1" ht="34.5" customHeight="1" x14ac:dyDescent="0.25">
      <c r="A55" s="266"/>
      <c r="B55" s="222"/>
      <c r="C55" s="214" t="str">
        <f>'仕様指示書－作成－'!C55</f>
        <v>標準</v>
      </c>
      <c r="D55" s="282" t="s">
        <v>20</v>
      </c>
      <c r="E55" s="686" t="str">
        <f>'仕様指示書－作成－'!I55</f>
        <v xml:space="preserve">標準仕様 </v>
      </c>
      <c r="F55" s="687"/>
      <c r="G55" s="452"/>
    </row>
    <row r="56" spans="1:9" s="267" customFormat="1" ht="34.5" customHeight="1" x14ac:dyDescent="0.25">
      <c r="A56" s="266"/>
      <c r="B56" s="222"/>
      <c r="C56" s="214" t="str">
        <f>'仕様指示書－作成－'!C56</f>
        <v>標準</v>
      </c>
      <c r="D56" s="282" t="s">
        <v>21</v>
      </c>
      <c r="E56" s="686" t="str">
        <f>'仕様指示書－作成－'!I56</f>
        <v>無し</v>
      </c>
      <c r="F56" s="687"/>
      <c r="G56" s="452"/>
      <c r="I56" s="168"/>
    </row>
    <row r="57" spans="1:9" s="267" customFormat="1" ht="34.5" customHeight="1" x14ac:dyDescent="0.25">
      <c r="A57" s="266"/>
      <c r="B57" s="222"/>
      <c r="C57" s="214" t="str">
        <f>'仕様指示書－作成－'!C57</f>
        <v>ＯＰ</v>
      </c>
      <c r="D57" s="282" t="s">
        <v>22</v>
      </c>
      <c r="E57" s="686" t="str">
        <f>'仕様指示書－作成－'!I57</f>
        <v>有　【三菱小型車は標準架装一覧表に記載のシャシＯＰを実施のこと】</v>
      </c>
      <c r="F57" s="687"/>
      <c r="G57" s="452"/>
    </row>
    <row r="58" spans="1:9" s="267" customFormat="1" ht="34.5" customHeight="1" x14ac:dyDescent="0.25">
      <c r="A58" s="266"/>
      <c r="B58" s="222"/>
      <c r="C58" s="214" t="str">
        <f>'仕様指示書－作成－'!C58</f>
        <v>標準</v>
      </c>
      <c r="D58" s="282" t="s">
        <v>624</v>
      </c>
      <c r="E58" s="686" t="str">
        <f>'仕様指示書－作成－'!I58</f>
        <v>後部扉に直付け 　※大型車及び三菱小型車はシャシ純正BKT取付が標準　【PA7系は選択不可】</v>
      </c>
      <c r="F58" s="687"/>
      <c r="G58" s="452"/>
    </row>
    <row r="59" spans="1:9" s="267" customFormat="1" ht="34.5" customHeight="1" x14ac:dyDescent="0.25">
      <c r="A59" s="266"/>
      <c r="B59" s="222"/>
      <c r="C59" s="214" t="str">
        <f>'仕様指示書－作成－'!C59</f>
        <v>標準</v>
      </c>
      <c r="D59" s="282" t="s">
        <v>633</v>
      </c>
      <c r="E59" s="686" t="str">
        <f>'仕様指示書－作成－'!I59</f>
        <v xml:space="preserve">無し </v>
      </c>
      <c r="F59" s="687"/>
      <c r="G59" s="452"/>
    </row>
    <row r="60" spans="1:9" s="267" customFormat="1" ht="34.5" customHeight="1" x14ac:dyDescent="0.25">
      <c r="A60" s="266"/>
      <c r="B60" s="222"/>
      <c r="C60" s="214" t="str">
        <f>'仕様指示書－作成－'!C60</f>
        <v>標準</v>
      </c>
      <c r="D60" s="282" t="s">
        <v>625</v>
      </c>
      <c r="E60" s="686" t="str">
        <f>'仕様指示書－作成－'!I60</f>
        <v>投入口角パイプ下左右</v>
      </c>
      <c r="F60" s="687"/>
      <c r="G60" s="452"/>
    </row>
    <row r="61" spans="1:9" s="267" customFormat="1" ht="34.5" customHeight="1" x14ac:dyDescent="0.25">
      <c r="A61" s="266"/>
      <c r="B61" s="222"/>
      <c r="C61" s="214" t="str">
        <f>'仕様指示書－作成－'!C61</f>
        <v>標準</v>
      </c>
      <c r="D61" s="282" t="s">
        <v>634</v>
      </c>
      <c r="E61" s="686" t="str">
        <f>'仕様指示書－作成－'!I61</f>
        <v xml:space="preserve">無し </v>
      </c>
      <c r="F61" s="687"/>
      <c r="G61" s="452"/>
    </row>
    <row r="62" spans="1:9" s="267" customFormat="1" ht="34.5" customHeight="1" x14ac:dyDescent="0.25">
      <c r="A62" s="266"/>
      <c r="B62" s="222"/>
      <c r="C62" s="214" t="str">
        <f>'仕様指示書－作成－'!C62</f>
        <v>ＯＰ</v>
      </c>
      <c r="D62" s="282" t="s">
        <v>635</v>
      </c>
      <c r="E62" s="686" t="str">
        <f>'仕様指示書－作成－'!I62</f>
        <v>仕様４　有（市光工業製　７型ルームミラー式ｶﾗｰﾓﾆﾀｰ／小型カメラ)</v>
      </c>
      <c r="F62" s="687"/>
      <c r="G62" s="452"/>
    </row>
    <row r="63" spans="1:9" s="267" customFormat="1" ht="34.5" customHeight="1" x14ac:dyDescent="0.25">
      <c r="A63" s="266"/>
      <c r="B63" s="447"/>
      <c r="C63" s="214" t="str">
        <f>'仕様指示書－作成－'!C63</f>
        <v>ＯＰ</v>
      </c>
      <c r="D63" s="283" t="s">
        <v>23</v>
      </c>
      <c r="E63" s="686" t="str">
        <f>'仕様指示書－作成－'!I63</f>
        <v xml:space="preserve">有（枠を水平取付け） </v>
      </c>
      <c r="F63" s="687"/>
      <c r="G63" s="452"/>
    </row>
    <row r="64" spans="1:9" s="267" customFormat="1" ht="34.5" customHeight="1" x14ac:dyDescent="0.25">
      <c r="A64" s="266"/>
      <c r="B64" s="446"/>
      <c r="C64" s="214" t="str">
        <f>'仕様指示書－作成－'!C64</f>
        <v>ＯＰ</v>
      </c>
      <c r="D64" s="282" t="s">
        <v>693</v>
      </c>
      <c r="E64" s="686" t="str">
        <f>'仕様指示書－作成－'!I64</f>
        <v>仕様１１　有（日本ﾎﾞﾃﾞｰﾊﾟｰﾂ製，ＬＳＬ－１００８Ｂ，ＬＥＤ丸型，左側１個取付）</v>
      </c>
      <c r="F64" s="687"/>
      <c r="G64" s="452"/>
    </row>
    <row r="65" spans="1:15" s="267" customFormat="1" ht="34.5" customHeight="1" x14ac:dyDescent="0.25">
      <c r="A65" s="266"/>
      <c r="B65" s="222"/>
      <c r="C65" s="214" t="str">
        <f>'仕様指示書－作成－'!C65</f>
        <v>ＯＰ</v>
      </c>
      <c r="D65" s="246" t="s">
        <v>694</v>
      </c>
      <c r="E65" s="686" t="str">
        <f>'仕様指示書－作成－'!I65</f>
        <v>ＰＴＯ「ＯＮ」時点灯、スイッチ：積込操作盤</v>
      </c>
      <c r="F65" s="687"/>
      <c r="G65" s="452"/>
    </row>
    <row r="66" spans="1:15" s="267" customFormat="1" ht="34.5" customHeight="1" x14ac:dyDescent="0.25">
      <c r="A66" s="266"/>
      <c r="B66" s="222"/>
      <c r="C66" s="214" t="str">
        <f>'仕様指示書－作成－'!C66</f>
        <v>標準</v>
      </c>
      <c r="D66" s="282" t="s">
        <v>24</v>
      </c>
      <c r="E66" s="686" t="str">
        <f>'仕様指示書－作成－'!I66</f>
        <v xml:space="preserve">無し </v>
      </c>
      <c r="F66" s="687"/>
      <c r="G66" s="452"/>
      <c r="I66" s="269"/>
      <c r="J66" s="269"/>
      <c r="K66" s="269"/>
      <c r="L66" s="269"/>
      <c r="M66" s="269"/>
      <c r="N66" s="269"/>
      <c r="O66" s="269"/>
    </row>
    <row r="67" spans="1:15" s="267" customFormat="1" ht="34.5" customHeight="1" x14ac:dyDescent="0.25">
      <c r="A67" s="266"/>
      <c r="B67" s="222"/>
      <c r="C67" s="214" t="str">
        <f>'仕様指示書－作成－'!C67</f>
        <v>特仕</v>
      </c>
      <c r="D67" s="282" t="s">
        <v>562</v>
      </c>
      <c r="E67" s="686" t="str">
        <f>'仕様指示書－作成－'!I67</f>
        <v xml:space="preserve">別紙（補助仕様書）参照 </v>
      </c>
      <c r="F67" s="687"/>
      <c r="G67" s="452"/>
      <c r="I67" s="269"/>
      <c r="J67" s="269"/>
      <c r="K67" s="269"/>
      <c r="L67" s="269"/>
      <c r="M67" s="269"/>
      <c r="N67" s="269"/>
      <c r="O67" s="269"/>
    </row>
    <row r="68" spans="1:15" s="267" customFormat="1" ht="34.5" customHeight="1" x14ac:dyDescent="0.25">
      <c r="A68" s="266"/>
      <c r="B68" s="222"/>
      <c r="C68" s="214" t="str">
        <f>'仕様指示書－作成－'!C68</f>
        <v>標準</v>
      </c>
      <c r="D68" s="282" t="s">
        <v>563</v>
      </c>
      <c r="E68" s="686" t="str">
        <f>'仕様指示書－作成－'!I68</f>
        <v xml:space="preserve">無し </v>
      </c>
      <c r="F68" s="687"/>
      <c r="G68" s="452"/>
      <c r="I68" s="269"/>
      <c r="J68" s="269"/>
      <c r="K68" s="269"/>
      <c r="L68" s="269"/>
      <c r="M68" s="269"/>
      <c r="N68" s="269"/>
      <c r="O68" s="269"/>
    </row>
    <row r="69" spans="1:15" s="267" customFormat="1" ht="34.5" customHeight="1" x14ac:dyDescent="0.25">
      <c r="A69" s="266"/>
      <c r="B69" s="222"/>
      <c r="C69" s="214" t="str">
        <f>'仕様指示書－作成－'!C69</f>
        <v>標準</v>
      </c>
      <c r="D69" s="282" t="s">
        <v>434</v>
      </c>
      <c r="E69" s="686" t="str">
        <f>'仕様指示書－作成－'!I69</f>
        <v xml:space="preserve">無し </v>
      </c>
      <c r="F69" s="687"/>
      <c r="G69" s="452"/>
    </row>
    <row r="70" spans="1:15" s="267" customFormat="1" ht="34.5" customHeight="1" x14ac:dyDescent="0.25">
      <c r="A70" s="266"/>
      <c r="B70" s="222"/>
      <c r="C70" s="214" t="str">
        <f>'仕様指示書－作成－'!C70</f>
        <v>ＯＰ</v>
      </c>
      <c r="D70" s="282" t="s">
        <v>32</v>
      </c>
      <c r="E70" s="686" t="str">
        <f>'仕様指示書－作成－'!I70</f>
        <v>有（ノボル製　電子式，１０Ｗ） スピーカはキャブバック左側取付</v>
      </c>
      <c r="F70" s="687"/>
      <c r="G70" s="452"/>
    </row>
    <row r="71" spans="1:15" s="267" customFormat="1" ht="34.5" customHeight="1" x14ac:dyDescent="0.25">
      <c r="A71" s="266"/>
      <c r="B71" s="222"/>
      <c r="C71" s="214" t="str">
        <f>'仕様指示書－作成－'!C71</f>
        <v>標準</v>
      </c>
      <c r="D71" s="282" t="s">
        <v>33</v>
      </c>
      <c r="E71" s="686" t="str">
        <f>'仕様指示書－作成－'!I71</f>
        <v xml:space="preserve">無し </v>
      </c>
      <c r="F71" s="687"/>
      <c r="G71" s="452"/>
    </row>
    <row r="72" spans="1:15" s="267" customFormat="1" ht="34.5" customHeight="1" x14ac:dyDescent="0.25">
      <c r="A72" s="266"/>
      <c r="B72" s="222"/>
      <c r="C72" s="214" t="str">
        <f>'仕様指示書－作成－'!C72</f>
        <v>標準</v>
      </c>
      <c r="D72" s="282" t="s">
        <v>34</v>
      </c>
      <c r="E72" s="686" t="str">
        <f>'仕様指示書－作成－'!I72</f>
        <v xml:space="preserve">無し </v>
      </c>
      <c r="F72" s="687"/>
      <c r="G72" s="452"/>
    </row>
    <row r="73" spans="1:15" s="267" customFormat="1" ht="34.5" customHeight="1" x14ac:dyDescent="0.25">
      <c r="A73" s="266"/>
      <c r="B73" s="222"/>
      <c r="C73" s="214" t="str">
        <f>'仕様指示書－作成－'!C73</f>
        <v>標準</v>
      </c>
      <c r="D73" s="282" t="s">
        <v>26</v>
      </c>
      <c r="E73" s="686" t="str">
        <f>'仕様指示書－作成－'!I73</f>
        <v xml:space="preserve">無し </v>
      </c>
      <c r="F73" s="687"/>
      <c r="G73" s="452"/>
    </row>
    <row r="74" spans="1:15" s="267" customFormat="1" ht="34.5" customHeight="1" x14ac:dyDescent="0.25">
      <c r="A74" s="266"/>
      <c r="B74" s="222"/>
      <c r="C74" s="214" t="str">
        <f>'仕様指示書－作成－'!C74</f>
        <v>標準</v>
      </c>
      <c r="D74" s="282" t="s">
        <v>433</v>
      </c>
      <c r="E74" s="686" t="str">
        <f>'仕様指示書－作成－'!I74</f>
        <v xml:space="preserve">天井蝶番部付近で接続 </v>
      </c>
      <c r="F74" s="687"/>
      <c r="G74" s="452"/>
    </row>
    <row r="75" spans="1:15" s="267" customFormat="1" ht="34.5" customHeight="1" x14ac:dyDescent="0.25">
      <c r="A75" s="266"/>
      <c r="B75" s="222"/>
      <c r="C75" s="214" t="str">
        <f>'仕様指示書－作成－'!C75</f>
        <v>標準</v>
      </c>
      <c r="D75" s="282" t="s">
        <v>28</v>
      </c>
      <c r="E75" s="686" t="str">
        <f>'仕様指示書－作成－'!I75</f>
        <v xml:space="preserve">無し </v>
      </c>
      <c r="F75" s="687"/>
      <c r="G75" s="452"/>
    </row>
    <row r="76" spans="1:15" s="267" customFormat="1" ht="34.5" customHeight="1" x14ac:dyDescent="0.25">
      <c r="A76" s="266"/>
      <c r="B76" s="222"/>
      <c r="C76" s="214" t="str">
        <f>'仕様指示書－作成－'!C76</f>
        <v>標準</v>
      </c>
      <c r="D76" s="282" t="s">
        <v>29</v>
      </c>
      <c r="E76" s="686" t="str">
        <f>'仕様指示書－作成－'!I76</f>
        <v xml:space="preserve">無し </v>
      </c>
      <c r="F76" s="687"/>
      <c r="G76" s="452"/>
    </row>
    <row r="77" spans="1:15" s="267" customFormat="1" ht="34.5" customHeight="1" x14ac:dyDescent="0.25">
      <c r="A77" s="266"/>
      <c r="B77" s="222"/>
      <c r="C77" s="214" t="str">
        <f>'仕様指示書－作成－'!C77</f>
        <v>標準</v>
      </c>
      <c r="D77" s="282" t="s">
        <v>1060</v>
      </c>
      <c r="E77" s="686" t="str">
        <f>'仕様指示書－作成－'!I77</f>
        <v xml:space="preserve">無し </v>
      </c>
      <c r="F77" s="687"/>
      <c r="G77" s="452"/>
    </row>
    <row r="78" spans="1:15" s="267" customFormat="1" ht="34.5" customHeight="1" x14ac:dyDescent="0.25">
      <c r="A78" s="266"/>
      <c r="B78" s="277"/>
      <c r="C78" s="214" t="str">
        <f>'仕様指示書－作成－'!C78</f>
        <v>標準</v>
      </c>
      <c r="D78" s="282" t="s">
        <v>1170</v>
      </c>
      <c r="E78" s="686" t="str">
        <f>'仕様指示書－作成－'!I78</f>
        <v>無し</v>
      </c>
      <c r="F78" s="687"/>
      <c r="G78" s="452"/>
    </row>
    <row r="79" spans="1:15" s="267" customFormat="1" ht="34.5" customHeight="1" x14ac:dyDescent="0.25">
      <c r="A79" s="266"/>
      <c r="B79" s="213" t="s">
        <v>787</v>
      </c>
      <c r="C79" s="214" t="str">
        <f>'仕様指示書－作成－'!C79</f>
        <v>ＯＰ</v>
      </c>
      <c r="D79" s="282" t="s">
        <v>626</v>
      </c>
      <c r="E79" s="686" t="str">
        <f>'仕様指示書－作成－'!I79</f>
        <v>有 ﾌﾚｰﾑｻｲﾄﾞに最大限（ＳＵＳ、ﾊﾟﾝﾁﾝｸﾞ製） 車型及び架装型式により道具箱の大きさは異なります</v>
      </c>
      <c r="F79" s="687"/>
      <c r="G79" s="452"/>
    </row>
    <row r="80" spans="1:15" s="267" customFormat="1" ht="34.5" customHeight="1" x14ac:dyDescent="0.25">
      <c r="A80" s="266"/>
      <c r="B80" s="222"/>
      <c r="C80" s="214" t="str">
        <f>'仕様指示書－作成－'!C80</f>
        <v>ＯＰ</v>
      </c>
      <c r="D80" s="282" t="s">
        <v>30</v>
      </c>
      <c r="E80" s="686" t="str">
        <f>'仕様指示書－作成－'!I80</f>
        <v>有 ﾌﾚｰﾑｻｲﾄﾞに最大限（ＳＵＳ、ﾊﾟﾝﾁﾝｸﾞ製） 車型及び架装型式により道具箱の大きさは異なります</v>
      </c>
      <c r="F80" s="687"/>
      <c r="G80" s="452"/>
    </row>
    <row r="81" spans="1:9" s="267" customFormat="1" ht="34.5" customHeight="1" x14ac:dyDescent="0.25">
      <c r="A81" s="266"/>
      <c r="B81" s="222"/>
      <c r="C81" s="214" t="str">
        <f>'仕様指示書－作成－'!C81</f>
        <v>標準</v>
      </c>
      <c r="D81" s="282" t="s">
        <v>684</v>
      </c>
      <c r="E81" s="686" t="str">
        <f>'仕様指示書－作成－'!I81</f>
        <v xml:space="preserve">無し </v>
      </c>
      <c r="F81" s="687"/>
      <c r="G81" s="452"/>
      <c r="I81" s="265"/>
    </row>
    <row r="82" spans="1:9" s="267" customFormat="1" ht="34.5" customHeight="1" x14ac:dyDescent="0.25">
      <c r="A82" s="266"/>
      <c r="B82" s="222"/>
      <c r="C82" s="214" t="str">
        <f>'仕様指示書－作成－'!C82</f>
        <v>標準</v>
      </c>
      <c r="D82" s="282" t="s">
        <v>685</v>
      </c>
      <c r="E82" s="686" t="str">
        <f>'仕様指示書－作成－'!I82</f>
        <v xml:space="preserve">無し </v>
      </c>
      <c r="F82" s="687"/>
      <c r="G82" s="454"/>
      <c r="I82" s="265"/>
    </row>
    <row r="83" spans="1:9" s="267" customFormat="1" ht="34.5" customHeight="1" x14ac:dyDescent="0.25">
      <c r="A83" s="266"/>
      <c r="B83" s="222"/>
      <c r="C83" s="214" t="str">
        <f>'仕様指示書－作成－'!C83</f>
        <v>ＯＰ</v>
      </c>
      <c r="D83" s="282" t="s">
        <v>564</v>
      </c>
      <c r="E83" s="686" t="str">
        <f>'仕様指示書－作成－'!I83</f>
        <v>有（１ヶ所） ボデー前端左側</v>
      </c>
      <c r="F83" s="687"/>
      <c r="G83" s="452"/>
      <c r="I83" s="271"/>
    </row>
    <row r="84" spans="1:9" s="267" customFormat="1" ht="34.5" customHeight="1" x14ac:dyDescent="0.25">
      <c r="A84" s="266"/>
      <c r="B84" s="222"/>
      <c r="C84" s="214" t="str">
        <f>'仕様指示書－作成－'!C84</f>
        <v>標準</v>
      </c>
      <c r="D84" s="282" t="s">
        <v>686</v>
      </c>
      <c r="E84" s="686" t="str">
        <f>'仕様指示書－作成－'!I84</f>
        <v xml:space="preserve">無し </v>
      </c>
      <c r="F84" s="687"/>
      <c r="G84" s="452"/>
      <c r="I84" s="271"/>
    </row>
    <row r="85" spans="1:9" s="267" customFormat="1" ht="34.5" customHeight="1" x14ac:dyDescent="0.25">
      <c r="A85" s="266"/>
      <c r="B85" s="222"/>
      <c r="C85" s="214" t="str">
        <f>'仕様指示書－作成－'!C85</f>
        <v>標準</v>
      </c>
      <c r="D85" s="282" t="s">
        <v>687</v>
      </c>
      <c r="E85" s="686" t="str">
        <f>'仕様指示書－作成－'!I85</f>
        <v xml:space="preserve">無し </v>
      </c>
      <c r="F85" s="687"/>
      <c r="G85" s="452"/>
      <c r="I85" s="271"/>
    </row>
    <row r="86" spans="1:9" s="267" customFormat="1" ht="34.5" customHeight="1" x14ac:dyDescent="0.25">
      <c r="A86" s="266"/>
      <c r="B86" s="222"/>
      <c r="C86" s="214" t="str">
        <f>'仕様指示書－作成－'!C86</f>
        <v>標準</v>
      </c>
      <c r="D86" s="282" t="s">
        <v>688</v>
      </c>
      <c r="E86" s="686" t="str">
        <f>'仕様指示書－作成－'!I86</f>
        <v xml:space="preserve">無し </v>
      </c>
      <c r="F86" s="687"/>
      <c r="G86" s="452"/>
      <c r="I86" s="271"/>
    </row>
    <row r="87" spans="1:9" s="267" customFormat="1" ht="34.5" customHeight="1" x14ac:dyDescent="0.25">
      <c r="A87" s="266"/>
      <c r="B87" s="446"/>
      <c r="C87" s="214" t="str">
        <f>'仕様指示書－作成－'!C87</f>
        <v>標準</v>
      </c>
      <c r="D87" s="282" t="s">
        <v>689</v>
      </c>
      <c r="E87" s="686" t="str">
        <f>'仕様指示書－作成－'!I87</f>
        <v>無し</v>
      </c>
      <c r="F87" s="687"/>
      <c r="G87" s="452"/>
      <c r="I87" s="271"/>
    </row>
    <row r="88" spans="1:9" s="267" customFormat="1" ht="34.5" customHeight="1" x14ac:dyDescent="0.25">
      <c r="A88" s="266"/>
      <c r="B88" s="222"/>
      <c r="C88" s="214" t="str">
        <f>'仕様指示書－作成－'!C88</f>
        <v>標準</v>
      </c>
      <c r="D88" s="282" t="s">
        <v>690</v>
      </c>
      <c r="E88" s="686" t="str">
        <f>'仕様指示書－作成－'!I88</f>
        <v>無し</v>
      </c>
      <c r="F88" s="687"/>
      <c r="G88" s="452"/>
      <c r="I88" s="271"/>
    </row>
    <row r="89" spans="1:9" s="267" customFormat="1" ht="34.5" customHeight="1" x14ac:dyDescent="0.25">
      <c r="A89" s="266"/>
      <c r="B89" s="222"/>
      <c r="C89" s="214" t="str">
        <f>'仕様指示書－作成－'!C89</f>
        <v>ＯＰ</v>
      </c>
      <c r="D89" s="282" t="s">
        <v>565</v>
      </c>
      <c r="E89" s="686" t="str">
        <f>'仕様指示書－作成－'!I89</f>
        <v>シングル型 左右取付</v>
      </c>
      <c r="F89" s="687"/>
      <c r="G89" s="452"/>
      <c r="I89" s="271"/>
    </row>
    <row r="90" spans="1:9" s="267" customFormat="1" ht="34.5" customHeight="1" x14ac:dyDescent="0.25">
      <c r="A90" s="266"/>
      <c r="B90" s="222"/>
      <c r="C90" s="214" t="str">
        <f>'仕様指示書－作成－'!C90</f>
        <v>標準</v>
      </c>
      <c r="D90" s="282" t="s">
        <v>691</v>
      </c>
      <c r="E90" s="686" t="str">
        <f>'仕様指示書－作成－'!I90</f>
        <v xml:space="preserve">自動車用３型 １本 </v>
      </c>
      <c r="F90" s="687"/>
      <c r="G90" s="452"/>
      <c r="I90" s="271"/>
    </row>
    <row r="91" spans="1:9" s="267" customFormat="1" ht="34.5" customHeight="1" x14ac:dyDescent="0.25">
      <c r="A91" s="266"/>
      <c r="B91" s="277"/>
      <c r="C91" s="214" t="str">
        <f>'仕様指示書－作成－'!C91</f>
        <v>標準</v>
      </c>
      <c r="D91" s="282" t="s">
        <v>692</v>
      </c>
      <c r="E91" s="686" t="str">
        <f>'仕様指示書－作成－'!I91</f>
        <v>無し</v>
      </c>
      <c r="F91" s="687"/>
      <c r="G91" s="452"/>
      <c r="I91" s="271"/>
    </row>
    <row r="92" spans="1:9" s="267" customFormat="1" ht="34.5" customHeight="1" x14ac:dyDescent="0.25">
      <c r="A92" s="266"/>
      <c r="B92" s="213" t="s">
        <v>638</v>
      </c>
      <c r="C92" s="214" t="str">
        <f>'仕様指示書－作成－'!C92</f>
        <v>標準</v>
      </c>
      <c r="D92" s="282" t="s">
        <v>191</v>
      </c>
      <c r="E92" s="686" t="str">
        <f>'仕様指示書－作成－'!I92</f>
        <v>無し</v>
      </c>
      <c r="F92" s="687"/>
      <c r="G92" s="452"/>
      <c r="I92" s="271"/>
    </row>
    <row r="93" spans="1:9" s="267" customFormat="1" ht="34.5" customHeight="1" x14ac:dyDescent="0.25">
      <c r="A93" s="266"/>
      <c r="B93" s="222"/>
      <c r="C93" s="214" t="str">
        <f>'仕様指示書－作成－'!C93</f>
        <v>標準</v>
      </c>
      <c r="D93" s="282" t="s">
        <v>192</v>
      </c>
      <c r="E93" s="686" t="str">
        <f>'仕様指示書－作成－'!I93</f>
        <v>無し</v>
      </c>
      <c r="F93" s="687"/>
      <c r="G93" s="452"/>
      <c r="I93" s="271"/>
    </row>
    <row r="94" spans="1:9" s="267" customFormat="1" ht="34.5" customHeight="1" x14ac:dyDescent="0.25">
      <c r="A94" s="266"/>
      <c r="B94" s="277"/>
      <c r="C94" s="214" t="str">
        <f>'仕様指示書－作成－'!C94</f>
        <v>標準</v>
      </c>
      <c r="D94" s="282" t="s">
        <v>193</v>
      </c>
      <c r="E94" s="686" t="str">
        <f>'仕様指示書－作成－'!I94</f>
        <v>無し</v>
      </c>
      <c r="F94" s="687"/>
      <c r="G94" s="452"/>
      <c r="I94" s="271"/>
    </row>
    <row r="95" spans="1:9" s="267" customFormat="1" ht="34.5" customHeight="1" x14ac:dyDescent="0.25">
      <c r="A95" s="266"/>
      <c r="B95" s="213" t="s">
        <v>639</v>
      </c>
      <c r="C95" s="214" t="str">
        <f>'仕様指示書－作成－'!C95</f>
        <v>標準</v>
      </c>
      <c r="D95" s="282" t="s">
        <v>640</v>
      </c>
      <c r="E95" s="686" t="str">
        <f>'仕様指示書－作成－'!I95</f>
        <v>無し</v>
      </c>
      <c r="F95" s="687"/>
      <c r="G95" s="452"/>
      <c r="I95" s="271"/>
    </row>
    <row r="96" spans="1:9" s="267" customFormat="1" ht="34.5" customHeight="1" x14ac:dyDescent="0.25">
      <c r="A96" s="266"/>
      <c r="B96" s="222"/>
      <c r="C96" s="214" t="str">
        <f>'仕様指示書－作成－'!C96</f>
        <v>標準</v>
      </c>
      <c r="D96" s="282" t="s">
        <v>31</v>
      </c>
      <c r="E96" s="686" t="str">
        <f>'仕様指示書－作成－'!I96</f>
        <v>無し</v>
      </c>
      <c r="F96" s="687"/>
      <c r="G96" s="452"/>
      <c r="I96" s="271"/>
    </row>
    <row r="97" spans="1:9" s="267" customFormat="1" ht="34.5" customHeight="1" x14ac:dyDescent="0.25">
      <c r="A97" s="266"/>
      <c r="B97" s="277"/>
      <c r="C97" s="214" t="str">
        <f>'仕様指示書－作成－'!C97</f>
        <v>特仕</v>
      </c>
      <c r="D97" s="282" t="s">
        <v>35</v>
      </c>
      <c r="E97" s="686" t="str">
        <f>'仕様指示書－作成－'!I97</f>
        <v xml:space="preserve">別紙（補助仕様書）参照  </v>
      </c>
      <c r="F97" s="687"/>
      <c r="G97" s="452"/>
      <c r="I97" s="271"/>
    </row>
    <row r="98" spans="1:9" s="267" customFormat="1" ht="34.5" customHeight="1" x14ac:dyDescent="0.25">
      <c r="A98" s="266"/>
      <c r="B98" s="213" t="s">
        <v>445</v>
      </c>
      <c r="C98" s="214" t="str">
        <f>'仕様指示書－作成－'!C98</f>
        <v>標準</v>
      </c>
      <c r="D98" s="282" t="s">
        <v>197</v>
      </c>
      <c r="E98" s="686" t="str">
        <f>'仕様指示書－作成－'!I98</f>
        <v>無し</v>
      </c>
      <c r="F98" s="687"/>
      <c r="G98" s="452"/>
    </row>
    <row r="99" spans="1:9" s="267" customFormat="1" ht="34.5" customHeight="1" x14ac:dyDescent="0.25">
      <c r="A99" s="266"/>
      <c r="B99" s="277"/>
      <c r="C99" s="214" t="str">
        <f>'仕様指示書－作成－'!C99</f>
        <v>標準</v>
      </c>
      <c r="D99" s="282" t="s">
        <v>450</v>
      </c>
      <c r="E99" s="686" t="str">
        <f>'仕様指示書－作成－'!I99</f>
        <v>本社塗装時：貼り付け／未塗装発送時：積載（支店貼り付け）</v>
      </c>
      <c r="F99" s="687"/>
      <c r="G99" s="452"/>
    </row>
    <row r="100" spans="1:9" s="267" customFormat="1" ht="34.5" customHeight="1" x14ac:dyDescent="0.3">
      <c r="A100" s="266"/>
      <c r="B100" s="392" t="s">
        <v>647</v>
      </c>
      <c r="C100" s="214" t="str">
        <f>'仕様指示書－作成－'!C100</f>
        <v>標準</v>
      </c>
      <c r="D100" s="282" t="s">
        <v>641</v>
      </c>
      <c r="E100" s="686" t="str">
        <f>'仕様指示書－作成－'!I100</f>
        <v>無し</v>
      </c>
      <c r="F100" s="687"/>
      <c r="G100" s="452" t="str">
        <f>IF('仕様指示書－作成－'!G100="","",'仕様指示書－作成－'!G100 &amp;"個")</f>
        <v/>
      </c>
    </row>
    <row r="101" spans="1:9" s="267" customFormat="1" ht="34.5" customHeight="1" x14ac:dyDescent="0.3">
      <c r="A101" s="266"/>
      <c r="B101" s="406" t="s">
        <v>647</v>
      </c>
      <c r="C101" s="214" t="str">
        <f>'仕様指示書－作成－'!C101</f>
        <v>標準</v>
      </c>
      <c r="D101" s="449" t="s">
        <v>642</v>
      </c>
      <c r="E101" s="686" t="str">
        <f>'仕様指示書－作成－'!I101</f>
        <v>無し</v>
      </c>
      <c r="F101" s="687"/>
      <c r="G101" s="452" t="str">
        <f>IF('仕様指示書－作成－'!G101="","",'仕様指示書－作成－'!G101 &amp;"個")</f>
        <v/>
      </c>
    </row>
    <row r="102" spans="1:9" s="267" customFormat="1" ht="34.5" customHeight="1" x14ac:dyDescent="0.3">
      <c r="A102" s="266"/>
      <c r="B102" s="406" t="s">
        <v>647</v>
      </c>
      <c r="C102" s="214" t="str">
        <f>'仕様指示書－作成－'!C102</f>
        <v>標準</v>
      </c>
      <c r="D102" s="450" t="s">
        <v>844</v>
      </c>
      <c r="E102" s="686" t="str">
        <f>'仕様指示書－作成－'!I102</f>
        <v>無し</v>
      </c>
      <c r="F102" s="687"/>
      <c r="G102" s="452" t="str">
        <f>IF('仕様指示書－作成－'!G102="","",'仕様指示書－作成－'!G102 &amp;"個")</f>
        <v/>
      </c>
    </row>
    <row r="103" spans="1:9" s="267" customFormat="1" ht="34.5" customHeight="1" x14ac:dyDescent="0.3">
      <c r="A103" s="266"/>
      <c r="B103" s="406" t="s">
        <v>647</v>
      </c>
      <c r="C103" s="214" t="str">
        <f>'仕様指示書－作成－'!C103</f>
        <v>標準</v>
      </c>
      <c r="D103" s="449" t="s">
        <v>643</v>
      </c>
      <c r="E103" s="686" t="str">
        <f>'仕様指示書－作成－'!I103</f>
        <v>無し</v>
      </c>
      <c r="F103" s="687"/>
      <c r="G103" s="452" t="str">
        <f>IF('仕様指示書－作成－'!G103="","",'仕様指示書－作成－'!G103 &amp;"個")</f>
        <v/>
      </c>
    </row>
    <row r="104" spans="1:9" s="267" customFormat="1" ht="34.5" customHeight="1" x14ac:dyDescent="0.3">
      <c r="A104" s="266"/>
      <c r="B104" s="406" t="s">
        <v>647</v>
      </c>
      <c r="C104" s="214" t="str">
        <f>'仕様指示書－作成－'!C104</f>
        <v>標準</v>
      </c>
      <c r="D104" s="417" t="s">
        <v>845</v>
      </c>
      <c r="E104" s="686" t="str">
        <f>'仕様指示書－作成－'!I104</f>
        <v>無し</v>
      </c>
      <c r="F104" s="687"/>
      <c r="G104" s="452" t="str">
        <f>IF('仕様指示書－作成－'!G104="","",'仕様指示書－作成－'!G104 &amp;"個")</f>
        <v/>
      </c>
    </row>
    <row r="105" spans="1:9" s="267" customFormat="1" ht="34.5" customHeight="1" x14ac:dyDescent="0.3">
      <c r="A105" s="266"/>
      <c r="B105" s="406" t="s">
        <v>647</v>
      </c>
      <c r="C105" s="278" t="str">
        <f>'仕様指示書－作成－'!C105</f>
        <v>標準</v>
      </c>
      <c r="D105" s="246" t="s">
        <v>830</v>
      </c>
      <c r="E105" s="686" t="str">
        <f>'仕様指示書－作成－'!I105</f>
        <v>無し</v>
      </c>
      <c r="F105" s="687"/>
      <c r="G105" s="452" t="str">
        <f>IF('仕様指示書－作成－'!G105="","",'仕様指示書－作成－'!G105 &amp;"個")</f>
        <v/>
      </c>
    </row>
    <row r="106" spans="1:9" s="267" customFormat="1" ht="34.5" customHeight="1" x14ac:dyDescent="0.3">
      <c r="A106" s="266"/>
      <c r="B106" s="406" t="s">
        <v>647</v>
      </c>
      <c r="C106" s="214" t="str">
        <f>'仕様指示書－作成－'!C106</f>
        <v>標準</v>
      </c>
      <c r="D106" s="213" t="s">
        <v>198</v>
      </c>
      <c r="E106" s="686" t="str">
        <f>'仕様指示書－作成－'!I106</f>
        <v>無し</v>
      </c>
      <c r="F106" s="687"/>
      <c r="G106" s="452" t="str">
        <f>IF('仕様指示書－作成－'!G106="","",'仕様指示書－作成－'!G106 &amp;"個")</f>
        <v/>
      </c>
    </row>
    <row r="107" spans="1:9" ht="34.5" customHeight="1" x14ac:dyDescent="0.3">
      <c r="B107" s="406" t="s">
        <v>647</v>
      </c>
      <c r="C107" s="391" t="str">
        <f>'仕様指示書－作成－'!C107</f>
        <v>標準</v>
      </c>
      <c r="D107" s="418" t="s">
        <v>846</v>
      </c>
      <c r="E107" s="686" t="str">
        <f>'仕様指示書－作成－'!I107</f>
        <v>無し</v>
      </c>
      <c r="F107" s="687"/>
      <c r="G107" s="452" t="str">
        <f>IF('仕様指示書－作成－'!G107="","",'仕様指示書－作成－'!G107 &amp;"個")</f>
        <v/>
      </c>
    </row>
    <row r="108" spans="1:9" ht="34.5" customHeight="1" x14ac:dyDescent="0.3">
      <c r="B108" s="406" t="s">
        <v>647</v>
      </c>
      <c r="C108" s="391" t="str">
        <f>'仕様指示書－作成－'!C108</f>
        <v>標準</v>
      </c>
      <c r="D108" s="418" t="s">
        <v>846</v>
      </c>
      <c r="E108" s="686" t="str">
        <f>'仕様指示書－作成－'!I108</f>
        <v>無し</v>
      </c>
      <c r="F108" s="687"/>
      <c r="G108" s="452" t="str">
        <f>IF('仕様指示書－作成－'!G108="","",'仕様指示書－作成－'!G108 &amp;個)</f>
        <v/>
      </c>
    </row>
    <row r="109" spans="1:9" ht="34.5" customHeight="1" x14ac:dyDescent="0.3">
      <c r="B109" s="406" t="s">
        <v>647</v>
      </c>
      <c r="C109" s="391" t="str">
        <f>'仕様指示書－作成－'!C109</f>
        <v>標準</v>
      </c>
      <c r="D109" s="417" t="s">
        <v>846</v>
      </c>
      <c r="E109" s="686" t="str">
        <f>'仕様指示書－作成－'!I109</f>
        <v>無し</v>
      </c>
      <c r="F109" s="687"/>
      <c r="G109" s="452" t="str">
        <f>IF('仕様指示書－作成－'!G109="","",'仕様指示書－作成－'!G109 &amp;個)</f>
        <v/>
      </c>
    </row>
    <row r="110" spans="1:9" ht="34.5" customHeight="1" x14ac:dyDescent="0.3">
      <c r="B110" s="406" t="s">
        <v>647</v>
      </c>
      <c r="C110" s="391" t="str">
        <f>'仕様指示書－作成－'!C110</f>
        <v>標準</v>
      </c>
      <c r="D110" s="213" t="s">
        <v>199</v>
      </c>
      <c r="E110" s="686" t="str">
        <f>'仕様指示書－作成－'!I110</f>
        <v>無し</v>
      </c>
      <c r="F110" s="687"/>
      <c r="G110" s="452" t="str">
        <f>IF('仕様指示書－作成－'!G110="","",'仕様指示書－作成－'!G110 &amp;個)</f>
        <v/>
      </c>
    </row>
    <row r="111" spans="1:9" ht="34.5" customHeight="1" x14ac:dyDescent="0.3">
      <c r="B111" s="406" t="s">
        <v>647</v>
      </c>
      <c r="C111" s="391" t="str">
        <f>'仕様指示書－作成－'!C111</f>
        <v>標準</v>
      </c>
      <c r="D111" s="417" t="s">
        <v>199</v>
      </c>
      <c r="E111" s="686" t="str">
        <f>'仕様指示書－作成－'!I111</f>
        <v>無し</v>
      </c>
      <c r="F111" s="687"/>
      <c r="G111" s="452" t="str">
        <f>IF('仕様指示書－作成－'!G111="","",'仕様指示書－作成－'!G111 &amp;個)</f>
        <v/>
      </c>
    </row>
    <row r="112" spans="1:9" ht="34.5" customHeight="1" x14ac:dyDescent="0.3">
      <c r="B112" s="406" t="s">
        <v>647</v>
      </c>
      <c r="C112" s="391" t="str">
        <f>'仕様指示書－作成－'!C112</f>
        <v>標準</v>
      </c>
      <c r="D112" s="246" t="s">
        <v>831</v>
      </c>
      <c r="E112" s="686" t="str">
        <f>'仕様指示書－作成－'!I112</f>
        <v>無し</v>
      </c>
      <c r="F112" s="687"/>
      <c r="G112" s="452" t="str">
        <f>IF('仕様指示書－作成－'!G112="","",'仕様指示書－作成－'!G112 &amp;個)</f>
        <v/>
      </c>
    </row>
    <row r="113" spans="2:7" ht="34.5" customHeight="1" x14ac:dyDescent="0.3">
      <c r="B113" s="406" t="s">
        <v>647</v>
      </c>
      <c r="C113" s="391" t="str">
        <f>'仕様指示書－作成－'!C113</f>
        <v>標準</v>
      </c>
      <c r="D113" s="213" t="s">
        <v>200</v>
      </c>
      <c r="E113" s="686" t="str">
        <f>'仕様指示書－作成－'!I113</f>
        <v>無し</v>
      </c>
      <c r="F113" s="687"/>
      <c r="G113" s="452" t="str">
        <f>IF('仕様指示書－作成－'!G113="","",'仕様指示書－作成－'!G113 &amp;個)</f>
        <v/>
      </c>
    </row>
    <row r="114" spans="2:7" ht="34.5" customHeight="1" x14ac:dyDescent="0.3">
      <c r="B114" s="406" t="s">
        <v>647</v>
      </c>
      <c r="C114" s="391" t="str">
        <f>'仕様指示書－作成－'!C114</f>
        <v>標準</v>
      </c>
      <c r="D114" s="418" t="s">
        <v>200</v>
      </c>
      <c r="E114" s="686" t="str">
        <f>'仕様指示書－作成－'!I114</f>
        <v>無し</v>
      </c>
      <c r="F114" s="687"/>
      <c r="G114" s="452" t="str">
        <f>IF('仕様指示書－作成－'!G114="","",'仕様指示書－作成－'!G114 &amp;個)</f>
        <v/>
      </c>
    </row>
    <row r="115" spans="2:7" ht="34.5" customHeight="1" x14ac:dyDescent="0.3">
      <c r="B115" s="406" t="s">
        <v>647</v>
      </c>
      <c r="C115" s="391" t="str">
        <f>'仕様指示書－作成－'!C115</f>
        <v>標準</v>
      </c>
      <c r="D115" s="418" t="s">
        <v>200</v>
      </c>
      <c r="E115" s="686" t="str">
        <f>'仕様指示書－作成－'!I115</f>
        <v>無し</v>
      </c>
      <c r="F115" s="687"/>
      <c r="G115" s="452" t="str">
        <f>IF('仕様指示書－作成－'!G115="","",'仕様指示書－作成－'!G115 &amp;個)</f>
        <v/>
      </c>
    </row>
    <row r="116" spans="2:7" ht="34.5" customHeight="1" x14ac:dyDescent="0.3">
      <c r="B116" s="406" t="s">
        <v>647</v>
      </c>
      <c r="C116" s="391" t="str">
        <f>'仕様指示書－作成－'!C116</f>
        <v>標準</v>
      </c>
      <c r="D116" s="418" t="s">
        <v>200</v>
      </c>
      <c r="E116" s="686" t="str">
        <f>'仕様指示書－作成－'!I116</f>
        <v>無し</v>
      </c>
      <c r="F116" s="687"/>
      <c r="G116" s="452" t="str">
        <f>IF('仕様指示書－作成－'!G116="","",'仕様指示書－作成－'!G116 &amp;個)</f>
        <v/>
      </c>
    </row>
    <row r="117" spans="2:7" ht="34.5" customHeight="1" x14ac:dyDescent="0.3">
      <c r="B117" s="407" t="s">
        <v>647</v>
      </c>
      <c r="C117" s="391" t="str">
        <f>'仕様指示書－作成－'!C117</f>
        <v>標準</v>
      </c>
      <c r="D117" s="417" t="s">
        <v>200</v>
      </c>
      <c r="E117" s="686" t="str">
        <f>'仕様指示書－作成－'!I117</f>
        <v>無し</v>
      </c>
      <c r="F117" s="687"/>
      <c r="G117" s="452" t="str">
        <f>IF('仕様指示書－作成－'!G117="","",'仕様指示書－作成－'!G117 &amp;個)</f>
        <v/>
      </c>
    </row>
    <row r="118" spans="2:7" ht="34.5" customHeight="1" x14ac:dyDescent="0.25"/>
    <row r="119" spans="2:7" ht="34.5" customHeight="1" x14ac:dyDescent="0.25"/>
    <row r="120" spans="2:7" ht="34.5" customHeight="1" x14ac:dyDescent="0.25"/>
    <row r="121" spans="2:7" ht="34.5" customHeight="1" x14ac:dyDescent="0.25"/>
    <row r="122" spans="2:7" ht="34.5" customHeight="1" x14ac:dyDescent="0.25"/>
    <row r="123" spans="2:7" ht="34.5" customHeight="1" x14ac:dyDescent="0.25"/>
    <row r="124" spans="2:7" ht="34.5" customHeight="1" x14ac:dyDescent="0.25"/>
    <row r="125" spans="2:7" ht="34.5" customHeight="1" x14ac:dyDescent="0.25"/>
    <row r="126" spans="2:7" ht="34.5" customHeight="1" x14ac:dyDescent="0.25"/>
    <row r="127" spans="2:7" ht="34.5" customHeight="1" x14ac:dyDescent="0.25"/>
    <row r="128" spans="2:7" ht="34.5" customHeight="1" x14ac:dyDescent="0.25"/>
    <row r="129" ht="34.5" customHeight="1" x14ac:dyDescent="0.25"/>
    <row r="130" ht="34.5" customHeight="1" x14ac:dyDescent="0.25"/>
    <row r="131" ht="34.5" customHeight="1" x14ac:dyDescent="0.25"/>
    <row r="132" ht="34.5" customHeight="1" x14ac:dyDescent="0.25"/>
    <row r="133" ht="34.5" customHeight="1" x14ac:dyDescent="0.25"/>
    <row r="134" ht="34.5" customHeight="1" x14ac:dyDescent="0.25"/>
    <row r="135" ht="34.5" customHeight="1" x14ac:dyDescent="0.25"/>
    <row r="136" ht="34.5" customHeight="1" x14ac:dyDescent="0.25"/>
    <row r="137" ht="34.5" customHeight="1" x14ac:dyDescent="0.25"/>
    <row r="138" ht="34.5" customHeight="1" x14ac:dyDescent="0.25"/>
    <row r="139" ht="34.5" customHeight="1" x14ac:dyDescent="0.25"/>
    <row r="140" ht="34.5" customHeight="1" x14ac:dyDescent="0.25"/>
    <row r="141" ht="34.5" customHeight="1" x14ac:dyDescent="0.25"/>
    <row r="142" ht="34.5" customHeight="1" x14ac:dyDescent="0.25"/>
    <row r="143" ht="34.5" customHeight="1" x14ac:dyDescent="0.25"/>
    <row r="144" ht="34.5" customHeight="1" x14ac:dyDescent="0.25"/>
    <row r="145" ht="34.5" customHeight="1" x14ac:dyDescent="0.25"/>
    <row r="146" ht="34.5" customHeight="1" x14ac:dyDescent="0.25"/>
    <row r="147" ht="34.5" customHeight="1" x14ac:dyDescent="0.25"/>
    <row r="148" ht="34.5" customHeight="1" x14ac:dyDescent="0.25"/>
    <row r="149" ht="34.5" customHeight="1" x14ac:dyDescent="0.25"/>
    <row r="150" ht="34.5" customHeight="1" x14ac:dyDescent="0.25"/>
    <row r="151" ht="34.5" customHeight="1" x14ac:dyDescent="0.25"/>
    <row r="152" ht="34.5" customHeight="1" x14ac:dyDescent="0.25"/>
    <row r="153" ht="34.5" customHeight="1" x14ac:dyDescent="0.25"/>
    <row r="154" ht="34.5" customHeight="1" x14ac:dyDescent="0.25"/>
    <row r="155" ht="34.5" customHeight="1" x14ac:dyDescent="0.25"/>
    <row r="156" ht="34.5" customHeight="1" x14ac:dyDescent="0.25"/>
    <row r="157" ht="34.5" customHeight="1" x14ac:dyDescent="0.25"/>
    <row r="158" ht="34.5" customHeight="1" x14ac:dyDescent="0.25"/>
    <row r="159" ht="34.5" customHeight="1" x14ac:dyDescent="0.25"/>
    <row r="160" ht="34.5" customHeight="1" x14ac:dyDescent="0.25"/>
    <row r="161" ht="34.5" customHeight="1" x14ac:dyDescent="0.25"/>
    <row r="162" ht="34.5" customHeight="1" x14ac:dyDescent="0.25"/>
    <row r="163" ht="34.5" customHeight="1" x14ac:dyDescent="0.25"/>
    <row r="164" ht="34.5" customHeight="1" x14ac:dyDescent="0.25"/>
    <row r="165" ht="34.5" customHeight="1" x14ac:dyDescent="0.25"/>
    <row r="166" ht="34.5" customHeight="1" x14ac:dyDescent="0.25"/>
    <row r="167" ht="34.5" customHeight="1" x14ac:dyDescent="0.25"/>
    <row r="168" ht="34.5" customHeight="1" x14ac:dyDescent="0.25"/>
    <row r="169" ht="34.5" customHeight="1" x14ac:dyDescent="0.25"/>
    <row r="170" ht="34.5" customHeight="1" x14ac:dyDescent="0.25"/>
    <row r="171" ht="34.5" customHeight="1" x14ac:dyDescent="0.25"/>
    <row r="172" ht="34.5" customHeight="1" x14ac:dyDescent="0.25"/>
    <row r="173" ht="34.5" customHeight="1" x14ac:dyDescent="0.25"/>
    <row r="174" ht="34.5" customHeight="1" x14ac:dyDescent="0.25"/>
    <row r="175" ht="34.5" customHeight="1" x14ac:dyDescent="0.25"/>
    <row r="176" ht="34.5" customHeight="1" x14ac:dyDescent="0.25"/>
    <row r="177" ht="34.5" customHeight="1" x14ac:dyDescent="0.25"/>
    <row r="178" ht="34.5" customHeight="1" x14ac:dyDescent="0.25"/>
    <row r="179" ht="34.5" customHeight="1" x14ac:dyDescent="0.25"/>
    <row r="180" ht="34.5" customHeight="1" x14ac:dyDescent="0.25"/>
    <row r="181" ht="34.5" customHeight="1" x14ac:dyDescent="0.25"/>
    <row r="182" ht="34.5" customHeight="1" x14ac:dyDescent="0.25"/>
    <row r="183" ht="34.5" customHeight="1" x14ac:dyDescent="0.25"/>
    <row r="184" ht="34.5" customHeight="1" x14ac:dyDescent="0.25"/>
    <row r="185" ht="34.5" customHeight="1" x14ac:dyDescent="0.25"/>
    <row r="186" ht="34.5" customHeight="1" x14ac:dyDescent="0.25"/>
    <row r="187" ht="34.5" customHeight="1" x14ac:dyDescent="0.25"/>
    <row r="188" ht="34.5" customHeight="1" x14ac:dyDescent="0.25"/>
    <row r="189" ht="34.5" customHeight="1" x14ac:dyDescent="0.25"/>
    <row r="190" ht="34.5" customHeight="1" x14ac:dyDescent="0.25"/>
    <row r="191" ht="34.5" customHeight="1" x14ac:dyDescent="0.25"/>
    <row r="192" ht="34.5" customHeight="1" x14ac:dyDescent="0.25"/>
    <row r="193" ht="34.5" customHeight="1" x14ac:dyDescent="0.25"/>
    <row r="194" ht="34.5" customHeight="1" x14ac:dyDescent="0.25"/>
    <row r="195" ht="34.5" customHeight="1" x14ac:dyDescent="0.25"/>
    <row r="196" ht="34.5" customHeight="1" x14ac:dyDescent="0.25"/>
    <row r="197" ht="34.5" customHeight="1" x14ac:dyDescent="0.25"/>
    <row r="198" ht="34.5" customHeight="1" x14ac:dyDescent="0.25"/>
    <row r="199" ht="34.5" customHeight="1" x14ac:dyDescent="0.25"/>
    <row r="200" ht="34.5" customHeight="1" x14ac:dyDescent="0.25"/>
    <row r="201" ht="34.5" customHeight="1" x14ac:dyDescent="0.25"/>
    <row r="202" ht="34.5" customHeight="1" x14ac:dyDescent="0.25"/>
    <row r="203" ht="34.5" customHeight="1" x14ac:dyDescent="0.25"/>
    <row r="204" ht="34.5" customHeight="1" x14ac:dyDescent="0.25"/>
    <row r="205" ht="34.5" customHeight="1" x14ac:dyDescent="0.25"/>
    <row r="206" ht="34.5" customHeight="1" x14ac:dyDescent="0.25"/>
    <row r="207" ht="34.5" customHeight="1" x14ac:dyDescent="0.25"/>
    <row r="208" ht="34.5" customHeight="1" x14ac:dyDescent="0.25"/>
    <row r="209" ht="34.5" customHeight="1" x14ac:dyDescent="0.25"/>
    <row r="210" ht="34.5" customHeight="1" x14ac:dyDescent="0.25"/>
    <row r="211" ht="34.5" customHeight="1" x14ac:dyDescent="0.25"/>
    <row r="212" ht="34.5" customHeight="1" x14ac:dyDescent="0.25"/>
    <row r="213" ht="34.5" customHeight="1" x14ac:dyDescent="0.25"/>
    <row r="214" ht="34.5" customHeight="1" x14ac:dyDescent="0.25"/>
    <row r="215" ht="34.5" customHeight="1" x14ac:dyDescent="0.25"/>
    <row r="216" ht="34.5" customHeight="1" x14ac:dyDescent="0.25"/>
    <row r="217" ht="34.5" customHeight="1" x14ac:dyDescent="0.25"/>
    <row r="218" ht="34.5" customHeight="1" x14ac:dyDescent="0.25"/>
    <row r="219" ht="34.5" customHeight="1" x14ac:dyDescent="0.25"/>
    <row r="220" ht="34.5" customHeight="1" x14ac:dyDescent="0.25"/>
    <row r="221" ht="34.5" customHeight="1" x14ac:dyDescent="0.25"/>
    <row r="222" ht="34.5" customHeight="1" x14ac:dyDescent="0.25"/>
    <row r="223" ht="34.5" customHeight="1" x14ac:dyDescent="0.25"/>
    <row r="224" ht="34.5" customHeight="1" x14ac:dyDescent="0.25"/>
    <row r="225" ht="34.5" customHeight="1" x14ac:dyDescent="0.25"/>
    <row r="226" ht="34.5" customHeight="1" x14ac:dyDescent="0.25"/>
    <row r="227" ht="34.5" customHeight="1" x14ac:dyDescent="0.25"/>
    <row r="228" ht="34.5" customHeight="1" x14ac:dyDescent="0.25"/>
    <row r="229" ht="34.5" customHeight="1" x14ac:dyDescent="0.25"/>
    <row r="230" ht="34.5" customHeight="1" x14ac:dyDescent="0.25"/>
    <row r="231" ht="34.5" customHeight="1" x14ac:dyDescent="0.25"/>
    <row r="232" ht="34.5" customHeight="1" x14ac:dyDescent="0.25"/>
    <row r="233" ht="34.5" customHeight="1" x14ac:dyDescent="0.25"/>
    <row r="234" ht="34.5" customHeight="1" x14ac:dyDescent="0.25"/>
    <row r="235" ht="34.5" customHeight="1" x14ac:dyDescent="0.25"/>
    <row r="236" ht="34.5" customHeight="1" x14ac:dyDescent="0.25"/>
    <row r="237" ht="34.5" customHeight="1" x14ac:dyDescent="0.25"/>
    <row r="238" ht="34.5" customHeight="1" x14ac:dyDescent="0.25"/>
    <row r="239" ht="34.5" customHeight="1" x14ac:dyDescent="0.25"/>
    <row r="240" ht="34.5" customHeight="1" x14ac:dyDescent="0.25"/>
    <row r="241" ht="34.5" customHeight="1" x14ac:dyDescent="0.25"/>
    <row r="242" ht="34.5" customHeight="1" x14ac:dyDescent="0.25"/>
    <row r="243" ht="34.5" customHeight="1" x14ac:dyDescent="0.25"/>
    <row r="244" ht="34.5" customHeight="1" x14ac:dyDescent="0.25"/>
    <row r="245" ht="34.5" customHeight="1" x14ac:dyDescent="0.25"/>
    <row r="246" ht="34.5" customHeight="1" x14ac:dyDescent="0.25"/>
    <row r="247" ht="34.5" customHeight="1" x14ac:dyDescent="0.25"/>
    <row r="248" ht="34.5" customHeight="1" x14ac:dyDescent="0.25"/>
    <row r="249" ht="34.5" customHeight="1" x14ac:dyDescent="0.25"/>
    <row r="250" ht="34.5" customHeight="1" x14ac:dyDescent="0.25"/>
    <row r="251" ht="34.5" customHeight="1" x14ac:dyDescent="0.25"/>
    <row r="252" ht="34.5" customHeight="1" x14ac:dyDescent="0.25"/>
    <row r="253" ht="34.5" customHeight="1" x14ac:dyDescent="0.25"/>
    <row r="254" ht="34.5" customHeight="1" x14ac:dyDescent="0.25"/>
    <row r="255" ht="34.5" customHeight="1" x14ac:dyDescent="0.25"/>
    <row r="256" ht="34.5" customHeight="1" x14ac:dyDescent="0.25"/>
    <row r="257" ht="34.5" customHeight="1" x14ac:dyDescent="0.25"/>
    <row r="258" ht="34.5" customHeight="1" x14ac:dyDescent="0.25"/>
    <row r="259" ht="34.5" customHeight="1" x14ac:dyDescent="0.25"/>
    <row r="260" ht="34.5" customHeight="1" x14ac:dyDescent="0.25"/>
    <row r="261" ht="34.5" customHeight="1" x14ac:dyDescent="0.25"/>
    <row r="262" ht="34.5" customHeight="1" x14ac:dyDescent="0.25"/>
    <row r="263" ht="34.5" customHeight="1" x14ac:dyDescent="0.25"/>
    <row r="264" ht="34.5" customHeight="1" x14ac:dyDescent="0.25"/>
    <row r="265" ht="34.5" customHeight="1" x14ac:dyDescent="0.25"/>
    <row r="266" ht="34.5" customHeight="1" x14ac:dyDescent="0.25"/>
    <row r="267" ht="34.5" customHeight="1" x14ac:dyDescent="0.25"/>
    <row r="268" ht="34.5" customHeight="1" x14ac:dyDescent="0.25"/>
    <row r="269" ht="34.5" customHeight="1" x14ac:dyDescent="0.25"/>
    <row r="270" ht="34.5" customHeight="1" x14ac:dyDescent="0.25"/>
    <row r="271" ht="34.5" customHeight="1" x14ac:dyDescent="0.25"/>
    <row r="272" ht="34.5" customHeight="1" x14ac:dyDescent="0.25"/>
    <row r="273" ht="34.5" customHeight="1" x14ac:dyDescent="0.25"/>
    <row r="274" ht="34.5" customHeight="1" x14ac:dyDescent="0.25"/>
    <row r="275" ht="34.5" customHeight="1" x14ac:dyDescent="0.25"/>
    <row r="276" ht="34.5" customHeight="1" x14ac:dyDescent="0.25"/>
    <row r="277" ht="34.5" customHeight="1" x14ac:dyDescent="0.25"/>
    <row r="278" ht="34.5" customHeight="1" x14ac:dyDescent="0.25"/>
    <row r="279" ht="34.5" customHeight="1" x14ac:dyDescent="0.25"/>
    <row r="280" ht="34.5" customHeight="1" x14ac:dyDescent="0.25"/>
    <row r="281" ht="34.5" customHeight="1" x14ac:dyDescent="0.25"/>
    <row r="282" ht="34.5" customHeight="1" x14ac:dyDescent="0.25"/>
    <row r="283" ht="34.5" customHeight="1" x14ac:dyDescent="0.25"/>
    <row r="284" ht="34.5" customHeight="1" x14ac:dyDescent="0.25"/>
    <row r="285" ht="34.5" customHeight="1" x14ac:dyDescent="0.25"/>
    <row r="286" ht="34.5" customHeight="1" x14ac:dyDescent="0.25"/>
    <row r="287" ht="34.5" customHeight="1" x14ac:dyDescent="0.25"/>
    <row r="288" ht="34.5" customHeight="1" x14ac:dyDescent="0.25"/>
    <row r="289" ht="34.5" customHeight="1" x14ac:dyDescent="0.25"/>
    <row r="290" ht="34.5" customHeight="1" x14ac:dyDescent="0.25"/>
    <row r="291" ht="34.5" customHeight="1" x14ac:dyDescent="0.25"/>
    <row r="292" ht="34.5" customHeight="1" x14ac:dyDescent="0.25"/>
    <row r="293" ht="34.5" customHeight="1" x14ac:dyDescent="0.25"/>
    <row r="294" ht="34.5" customHeight="1" x14ac:dyDescent="0.25"/>
    <row r="295" ht="34.5" customHeight="1" x14ac:dyDescent="0.25"/>
    <row r="296" ht="34.5" customHeight="1" x14ac:dyDescent="0.25"/>
    <row r="297" ht="34.5" customHeight="1" x14ac:dyDescent="0.25"/>
    <row r="298" ht="34.5" customHeight="1" x14ac:dyDescent="0.25"/>
    <row r="299" ht="34.5" customHeight="1" x14ac:dyDescent="0.25"/>
    <row r="300" ht="34.5" customHeight="1" x14ac:dyDescent="0.25"/>
    <row r="301" ht="34.5" customHeight="1" x14ac:dyDescent="0.25"/>
    <row r="302" ht="34.5" customHeight="1" x14ac:dyDescent="0.25"/>
    <row r="303" ht="34.5" customHeight="1" x14ac:dyDescent="0.25"/>
    <row r="304" ht="34.5" customHeight="1" x14ac:dyDescent="0.25"/>
    <row r="305" ht="34.5" customHeight="1" x14ac:dyDescent="0.25"/>
    <row r="306" ht="34.5" customHeight="1" x14ac:dyDescent="0.25"/>
    <row r="307" ht="34.5" customHeight="1" x14ac:dyDescent="0.25"/>
    <row r="308" ht="34.5" customHeight="1" x14ac:dyDescent="0.25"/>
    <row r="309" ht="34.5" customHeight="1" x14ac:dyDescent="0.25"/>
    <row r="310" ht="34.5" customHeight="1" x14ac:dyDescent="0.25"/>
    <row r="311" ht="34.5" customHeight="1" x14ac:dyDescent="0.25"/>
    <row r="312" ht="34.5" customHeight="1" x14ac:dyDescent="0.25"/>
    <row r="313" ht="34.5" customHeight="1" x14ac:dyDescent="0.25"/>
    <row r="314" ht="34.5" customHeight="1" x14ac:dyDescent="0.25"/>
    <row r="315" ht="34.5" customHeight="1" x14ac:dyDescent="0.25"/>
    <row r="316" ht="34.5" customHeight="1" x14ac:dyDescent="0.25"/>
    <row r="317" ht="34.5" customHeight="1" x14ac:dyDescent="0.25"/>
    <row r="318" ht="34.5" customHeight="1" x14ac:dyDescent="0.25"/>
    <row r="319" ht="34.5" customHeight="1" x14ac:dyDescent="0.25"/>
    <row r="320" ht="34.5" customHeight="1" x14ac:dyDescent="0.25"/>
    <row r="321" ht="34.5" customHeight="1" x14ac:dyDescent="0.25"/>
    <row r="322" ht="34.5" customHeight="1" x14ac:dyDescent="0.25"/>
    <row r="323" ht="34.5" customHeight="1" x14ac:dyDescent="0.25"/>
    <row r="324" ht="34.5" customHeight="1" x14ac:dyDescent="0.25"/>
    <row r="325" ht="34.5" customHeight="1" x14ac:dyDescent="0.25"/>
    <row r="326" ht="34.5" customHeight="1" x14ac:dyDescent="0.25"/>
    <row r="327" ht="34.5" customHeight="1" x14ac:dyDescent="0.25"/>
    <row r="328" ht="34.5" customHeight="1" x14ac:dyDescent="0.25"/>
    <row r="329" ht="34.5" customHeight="1" x14ac:dyDescent="0.25"/>
    <row r="330" ht="34.5" customHeight="1" x14ac:dyDescent="0.25"/>
    <row r="331" ht="34.5" customHeight="1" x14ac:dyDescent="0.25"/>
    <row r="332" ht="34.5" customHeight="1" x14ac:dyDescent="0.25"/>
    <row r="333" ht="34.5" customHeight="1" x14ac:dyDescent="0.25"/>
    <row r="334" ht="34.5" customHeight="1" x14ac:dyDescent="0.25"/>
    <row r="335" ht="34.5" customHeight="1" x14ac:dyDescent="0.25"/>
    <row r="336" ht="34.5" customHeight="1" x14ac:dyDescent="0.25"/>
    <row r="337" ht="34.5" customHeight="1" x14ac:dyDescent="0.25"/>
    <row r="338" ht="34.5" customHeight="1" x14ac:dyDescent="0.25"/>
    <row r="339" ht="34.5" customHeight="1" x14ac:dyDescent="0.25"/>
    <row r="340" ht="34.5" customHeight="1" x14ac:dyDescent="0.25"/>
    <row r="341" ht="34.5" customHeight="1" x14ac:dyDescent="0.25"/>
    <row r="342" ht="34.5" customHeight="1" x14ac:dyDescent="0.25"/>
    <row r="343" ht="34.5" customHeight="1" x14ac:dyDescent="0.25"/>
    <row r="344" ht="34.5" customHeight="1" x14ac:dyDescent="0.25"/>
    <row r="345" ht="34.5" customHeight="1" x14ac:dyDescent="0.25"/>
    <row r="346" ht="34.5" customHeight="1" x14ac:dyDescent="0.25"/>
    <row r="347" ht="34.5" customHeight="1" x14ac:dyDescent="0.25"/>
    <row r="348" ht="34.5" customHeight="1" x14ac:dyDescent="0.25"/>
    <row r="349" ht="34.5" customHeight="1" x14ac:dyDescent="0.25"/>
    <row r="350" ht="34.5" customHeight="1" x14ac:dyDescent="0.25"/>
    <row r="351" ht="34.5" customHeight="1" x14ac:dyDescent="0.25"/>
    <row r="352" ht="34.5" customHeight="1" x14ac:dyDescent="0.25"/>
    <row r="353" ht="34.5" customHeight="1" x14ac:dyDescent="0.25"/>
    <row r="354" ht="34.5" customHeight="1" x14ac:dyDescent="0.25"/>
    <row r="355" ht="34.5" customHeight="1" x14ac:dyDescent="0.25"/>
    <row r="356" ht="34.5" customHeight="1" x14ac:dyDescent="0.25"/>
    <row r="357" ht="34.5" customHeight="1" x14ac:dyDescent="0.25"/>
    <row r="358" ht="34.5" customHeight="1" x14ac:dyDescent="0.25"/>
    <row r="359" ht="34.5" customHeight="1" x14ac:dyDescent="0.25"/>
    <row r="360" ht="34.5" customHeight="1" x14ac:dyDescent="0.25"/>
    <row r="361" ht="34.5" customHeight="1" x14ac:dyDescent="0.25"/>
    <row r="362" ht="34.5" customHeight="1" x14ac:dyDescent="0.25"/>
    <row r="363" ht="34.5" customHeight="1" x14ac:dyDescent="0.25"/>
    <row r="364" ht="34.5" customHeight="1" x14ac:dyDescent="0.25"/>
    <row r="365" ht="34.5" customHeight="1" x14ac:dyDescent="0.25"/>
    <row r="366" ht="34.5" customHeight="1" x14ac:dyDescent="0.25"/>
    <row r="367" ht="34.5" customHeight="1" x14ac:dyDescent="0.25"/>
    <row r="368" ht="34.5" customHeight="1" x14ac:dyDescent="0.25"/>
    <row r="369" ht="34.5" customHeight="1" x14ac:dyDescent="0.25"/>
    <row r="370" ht="34.5" customHeight="1" x14ac:dyDescent="0.25"/>
    <row r="371" ht="34.5" customHeight="1" x14ac:dyDescent="0.25"/>
    <row r="372" ht="34.5" customHeight="1" x14ac:dyDescent="0.25"/>
    <row r="373" ht="34.5" customHeight="1" x14ac:dyDescent="0.25"/>
    <row r="374" ht="34.5" customHeight="1" x14ac:dyDescent="0.25"/>
    <row r="375" ht="34.5" customHeight="1" x14ac:dyDescent="0.25"/>
    <row r="376" ht="34.5" customHeight="1" x14ac:dyDescent="0.25"/>
    <row r="377" ht="34.5" customHeight="1" x14ac:dyDescent="0.25"/>
    <row r="378" ht="34.5" customHeight="1" x14ac:dyDescent="0.25"/>
    <row r="379" ht="34.5" customHeight="1" x14ac:dyDescent="0.25"/>
    <row r="380" ht="34.5" customHeight="1" x14ac:dyDescent="0.25"/>
    <row r="381" ht="34.5" customHeight="1" x14ac:dyDescent="0.25"/>
    <row r="382" ht="34.5" customHeight="1" x14ac:dyDescent="0.25"/>
    <row r="383" ht="34.5" customHeight="1" x14ac:dyDescent="0.25"/>
    <row r="384" ht="34.5" customHeight="1" x14ac:dyDescent="0.25"/>
    <row r="385" ht="34.5" customHeight="1" x14ac:dyDescent="0.25"/>
    <row r="386" ht="34.5" customHeight="1" x14ac:dyDescent="0.25"/>
    <row r="387" ht="34.5" customHeight="1" x14ac:dyDescent="0.25"/>
    <row r="388" ht="34.5" customHeight="1" x14ac:dyDescent="0.25"/>
    <row r="389" ht="34.5" customHeight="1" x14ac:dyDescent="0.25"/>
    <row r="390" ht="34.5" customHeight="1" x14ac:dyDescent="0.25"/>
    <row r="391" ht="34.5" customHeight="1" x14ac:dyDescent="0.25"/>
    <row r="392" ht="34.5" customHeight="1" x14ac:dyDescent="0.25"/>
    <row r="393" ht="34.5" customHeight="1" x14ac:dyDescent="0.25"/>
    <row r="394" ht="34.5" customHeight="1" x14ac:dyDescent="0.25"/>
    <row r="395" ht="34.5" customHeight="1" x14ac:dyDescent="0.25"/>
    <row r="396" ht="34.5" customHeight="1" x14ac:dyDescent="0.25"/>
    <row r="397" ht="34.5" customHeight="1" x14ac:dyDescent="0.25"/>
    <row r="398" ht="34.5" customHeight="1" x14ac:dyDescent="0.25"/>
    <row r="399" ht="34.5" customHeight="1" x14ac:dyDescent="0.25"/>
    <row r="400" ht="34.5" customHeight="1" x14ac:dyDescent="0.25"/>
    <row r="401" ht="34.5" customHeight="1" x14ac:dyDescent="0.25"/>
    <row r="402" ht="34.5" customHeight="1" x14ac:dyDescent="0.25"/>
    <row r="403" ht="34.5" customHeight="1" x14ac:dyDescent="0.25"/>
    <row r="404" ht="34.5" customHeight="1" x14ac:dyDescent="0.25"/>
    <row r="405" ht="34.5" customHeight="1" x14ac:dyDescent="0.25"/>
    <row r="406" ht="34.5" customHeight="1" x14ac:dyDescent="0.25"/>
    <row r="407" ht="34.5" customHeight="1" x14ac:dyDescent="0.25"/>
    <row r="408" ht="34.5" customHeight="1" x14ac:dyDescent="0.25"/>
    <row r="409" ht="34.5" customHeight="1" x14ac:dyDescent="0.25"/>
    <row r="410" ht="34.5" customHeight="1" x14ac:dyDescent="0.25"/>
    <row r="411" ht="34.5" customHeight="1" x14ac:dyDescent="0.25"/>
    <row r="412" ht="34.5" customHeight="1" x14ac:dyDescent="0.25"/>
    <row r="413" ht="34.5" customHeight="1" x14ac:dyDescent="0.25"/>
    <row r="414" ht="34.5" customHeight="1" x14ac:dyDescent="0.25"/>
    <row r="415" ht="34.5" customHeight="1" x14ac:dyDescent="0.25"/>
    <row r="416" ht="34.5" customHeight="1" x14ac:dyDescent="0.25"/>
    <row r="417" ht="34.5" customHeight="1" x14ac:dyDescent="0.25"/>
    <row r="418" ht="34.5" customHeight="1" x14ac:dyDescent="0.25"/>
    <row r="419" ht="34.5" customHeight="1" x14ac:dyDescent="0.25"/>
    <row r="420" ht="34.5" customHeight="1" x14ac:dyDescent="0.25"/>
    <row r="421" ht="34.5" customHeight="1" x14ac:dyDescent="0.25"/>
    <row r="422" ht="34.5" customHeight="1" x14ac:dyDescent="0.25"/>
    <row r="423" ht="34.5" customHeight="1" x14ac:dyDescent="0.25"/>
    <row r="424" ht="34.5" customHeight="1" x14ac:dyDescent="0.25"/>
    <row r="425" ht="34.5" customHeight="1" x14ac:dyDescent="0.25"/>
    <row r="426" ht="34.5" customHeight="1" x14ac:dyDescent="0.25"/>
    <row r="427" ht="34.5" customHeight="1" x14ac:dyDescent="0.25"/>
    <row r="428" ht="34.5" customHeight="1" x14ac:dyDescent="0.25"/>
    <row r="429" ht="34.5" customHeight="1" x14ac:dyDescent="0.25"/>
    <row r="430" ht="34.5" customHeight="1" x14ac:dyDescent="0.25"/>
    <row r="431" ht="34.5" customHeight="1" x14ac:dyDescent="0.25"/>
    <row r="432" ht="34.5" customHeight="1" x14ac:dyDescent="0.25"/>
    <row r="433" ht="34.5" customHeight="1" x14ac:dyDescent="0.25"/>
    <row r="434" ht="34.5" customHeight="1" x14ac:dyDescent="0.25"/>
    <row r="435" ht="34.5" customHeight="1" x14ac:dyDescent="0.25"/>
    <row r="436" ht="34.5" customHeight="1" x14ac:dyDescent="0.25"/>
    <row r="437" ht="34.5" customHeight="1" x14ac:dyDescent="0.25"/>
    <row r="438" ht="34.5" customHeight="1" x14ac:dyDescent="0.25"/>
    <row r="439" ht="34.5" customHeight="1" x14ac:dyDescent="0.25"/>
    <row r="440" ht="34.5" customHeight="1" x14ac:dyDescent="0.25"/>
    <row r="441" ht="34.5" customHeight="1" x14ac:dyDescent="0.25"/>
    <row r="442" ht="34.5" customHeight="1" x14ac:dyDescent="0.25"/>
    <row r="443" ht="34.5" customHeight="1" x14ac:dyDescent="0.25"/>
    <row r="444" ht="34.5" customHeight="1" x14ac:dyDescent="0.25"/>
    <row r="445" ht="34.5" customHeight="1" x14ac:dyDescent="0.25"/>
    <row r="446" ht="34.5" customHeight="1" x14ac:dyDescent="0.25"/>
    <row r="447" ht="34.5" customHeight="1" x14ac:dyDescent="0.25"/>
    <row r="448" ht="34.5" customHeight="1" x14ac:dyDescent="0.25"/>
    <row r="449" ht="34.5" customHeight="1" x14ac:dyDescent="0.25"/>
    <row r="450" ht="34.5" customHeight="1" x14ac:dyDescent="0.25"/>
    <row r="451" ht="34.5" customHeight="1" x14ac:dyDescent="0.25"/>
    <row r="452" ht="34.5" customHeight="1" x14ac:dyDescent="0.25"/>
    <row r="453" ht="34.5" customHeight="1" x14ac:dyDescent="0.25"/>
    <row r="454" ht="34.5" customHeight="1" x14ac:dyDescent="0.25"/>
    <row r="455" ht="34.5" customHeight="1" x14ac:dyDescent="0.25"/>
    <row r="456" ht="34.5" customHeight="1" x14ac:dyDescent="0.25"/>
    <row r="457" ht="34.5" customHeight="1" x14ac:dyDescent="0.25"/>
    <row r="458" ht="34.5" customHeight="1" x14ac:dyDescent="0.25"/>
    <row r="459" ht="34.5" customHeight="1" x14ac:dyDescent="0.25"/>
    <row r="460" ht="34.5" customHeight="1" x14ac:dyDescent="0.25"/>
    <row r="461" ht="34.5" customHeight="1" x14ac:dyDescent="0.25"/>
    <row r="462" ht="34.5" customHeight="1" x14ac:dyDescent="0.25"/>
    <row r="463" ht="34.5" customHeight="1" x14ac:dyDescent="0.25"/>
    <row r="464" ht="34.5" customHeight="1" x14ac:dyDescent="0.25"/>
    <row r="465" ht="34.5" customHeight="1" x14ac:dyDescent="0.25"/>
    <row r="466" ht="34.5" customHeight="1" x14ac:dyDescent="0.25"/>
    <row r="467" ht="34.5" customHeight="1" x14ac:dyDescent="0.25"/>
    <row r="468" ht="34.5" customHeight="1" x14ac:dyDescent="0.25"/>
    <row r="469" ht="34.5" customHeight="1" x14ac:dyDescent="0.25"/>
    <row r="470" ht="34.5" customHeight="1" x14ac:dyDescent="0.25"/>
    <row r="471" ht="34.5" customHeight="1" x14ac:dyDescent="0.25"/>
    <row r="472" ht="34.5" customHeight="1" x14ac:dyDescent="0.25"/>
    <row r="473" ht="34.5" customHeight="1" x14ac:dyDescent="0.25"/>
    <row r="474" ht="34.5" customHeight="1" x14ac:dyDescent="0.25"/>
    <row r="475" ht="34.5" customHeight="1" x14ac:dyDescent="0.25"/>
    <row r="476" ht="34.5" customHeight="1" x14ac:dyDescent="0.25"/>
    <row r="477" ht="34.5" customHeight="1" x14ac:dyDescent="0.25"/>
    <row r="478" ht="34.5" customHeight="1" x14ac:dyDescent="0.25"/>
    <row r="479" ht="34.5" customHeight="1" x14ac:dyDescent="0.25"/>
    <row r="480" ht="34.5" customHeight="1" x14ac:dyDescent="0.25"/>
    <row r="481" ht="34.5" customHeight="1" x14ac:dyDescent="0.25"/>
    <row r="482" ht="34.5" customHeight="1" x14ac:dyDescent="0.25"/>
    <row r="483" ht="34.5" customHeight="1" x14ac:dyDescent="0.25"/>
    <row r="484" ht="34.5" customHeight="1" x14ac:dyDescent="0.25"/>
    <row r="485" ht="34.5" customHeight="1" x14ac:dyDescent="0.25"/>
    <row r="486" ht="34.5" customHeight="1" x14ac:dyDescent="0.25"/>
    <row r="487" ht="34.5" customHeight="1" x14ac:dyDescent="0.25"/>
    <row r="488" ht="34.5" customHeight="1" x14ac:dyDescent="0.25"/>
    <row r="489" ht="34.5" customHeight="1" x14ac:dyDescent="0.25"/>
    <row r="490" ht="34.5" customHeight="1" x14ac:dyDescent="0.25"/>
    <row r="491" ht="34.5" customHeight="1" x14ac:dyDescent="0.25"/>
    <row r="492" ht="34.5" customHeight="1" x14ac:dyDescent="0.25"/>
    <row r="493" ht="34.5" customHeight="1" x14ac:dyDescent="0.25"/>
    <row r="494" ht="34.5" customHeight="1" x14ac:dyDescent="0.25"/>
    <row r="495" ht="34.5" customHeight="1" x14ac:dyDescent="0.25"/>
    <row r="496" ht="34.5" customHeight="1" x14ac:dyDescent="0.25"/>
    <row r="497" ht="34.5" customHeight="1" x14ac:dyDescent="0.25"/>
    <row r="498" ht="34.5" customHeight="1" x14ac:dyDescent="0.25"/>
    <row r="499" ht="34.5" customHeight="1" x14ac:dyDescent="0.25"/>
    <row r="500" ht="34.5" customHeight="1" x14ac:dyDescent="0.25"/>
    <row r="501" ht="34.5" customHeight="1" x14ac:dyDescent="0.25"/>
    <row r="502" ht="34.5" customHeight="1" x14ac:dyDescent="0.25"/>
    <row r="503" ht="34.5" customHeight="1" x14ac:dyDescent="0.25"/>
    <row r="504" ht="34.5" customHeight="1" x14ac:dyDescent="0.25"/>
    <row r="505" ht="34.5" customHeight="1" x14ac:dyDescent="0.25"/>
    <row r="506" ht="34.5" customHeight="1" x14ac:dyDescent="0.25"/>
    <row r="507" ht="34.5" customHeight="1" x14ac:dyDescent="0.25"/>
    <row r="508" ht="34.5" customHeight="1" x14ac:dyDescent="0.25"/>
    <row r="509" ht="34.5" customHeight="1" x14ac:dyDescent="0.25"/>
    <row r="510" ht="34.5" customHeight="1" x14ac:dyDescent="0.25"/>
    <row r="511" ht="34.5" customHeight="1" x14ac:dyDescent="0.25"/>
    <row r="512" ht="34.5" customHeight="1" x14ac:dyDescent="0.25"/>
    <row r="513" ht="34.5" customHeight="1" x14ac:dyDescent="0.25"/>
    <row r="514" ht="34.5" customHeight="1" x14ac:dyDescent="0.25"/>
    <row r="515" ht="34.5" customHeight="1" x14ac:dyDescent="0.25"/>
    <row r="516" ht="34.5" customHeight="1" x14ac:dyDescent="0.25"/>
    <row r="517" ht="34.5" customHeight="1" x14ac:dyDescent="0.25"/>
    <row r="518" ht="34.5" customHeight="1" x14ac:dyDescent="0.25"/>
    <row r="519" ht="34.5" customHeight="1" x14ac:dyDescent="0.25"/>
    <row r="520" ht="34.5" customHeight="1" x14ac:dyDescent="0.25"/>
    <row r="521" ht="34.5" customHeight="1" x14ac:dyDescent="0.25"/>
  </sheetData>
  <mergeCells count="117">
    <mergeCell ref="E107:F107"/>
    <mergeCell ref="E108:F108"/>
    <mergeCell ref="E109:F109"/>
    <mergeCell ref="E110:F110"/>
    <mergeCell ref="E117:F117"/>
    <mergeCell ref="E111:F111"/>
    <mergeCell ref="E112:F112"/>
    <mergeCell ref="E113:F113"/>
    <mergeCell ref="E114:F114"/>
    <mergeCell ref="E116:F116"/>
    <mergeCell ref="E115:F115"/>
    <mergeCell ref="E11:F11"/>
    <mergeCell ref="E12:F12"/>
    <mergeCell ref="E13:F13"/>
    <mergeCell ref="E14:F14"/>
    <mergeCell ref="E15:F15"/>
    <mergeCell ref="E16:F16"/>
    <mergeCell ref="F1:G1"/>
    <mergeCell ref="J3:K3"/>
    <mergeCell ref="E3:F3"/>
    <mergeCell ref="E9:F9"/>
    <mergeCell ref="E10:F10"/>
    <mergeCell ref="E4:F4"/>
    <mergeCell ref="E5:F5"/>
    <mergeCell ref="E6:F6"/>
    <mergeCell ref="E7:F7"/>
    <mergeCell ref="E8:F8"/>
    <mergeCell ref="E23:F23"/>
    <mergeCell ref="E24:F24"/>
    <mergeCell ref="E25:F25"/>
    <mergeCell ref="E26:F26"/>
    <mergeCell ref="E27:F27"/>
    <mergeCell ref="E28:F28"/>
    <mergeCell ref="E17:F17"/>
    <mergeCell ref="E18:F18"/>
    <mergeCell ref="E19:F19"/>
    <mergeCell ref="E20:F20"/>
    <mergeCell ref="E21:F21"/>
    <mergeCell ref="E22:F22"/>
    <mergeCell ref="E38:F38"/>
    <mergeCell ref="E39:F39"/>
    <mergeCell ref="E40:F40"/>
    <mergeCell ref="E41:F41"/>
    <mergeCell ref="E29:F29"/>
    <mergeCell ref="E30:F30"/>
    <mergeCell ref="E35:F35"/>
    <mergeCell ref="E36:F36"/>
    <mergeCell ref="E37:F37"/>
    <mergeCell ref="E31:F31"/>
    <mergeCell ref="E32:F32"/>
    <mergeCell ref="E33:F33"/>
    <mergeCell ref="E34:F34"/>
    <mergeCell ref="E45:F45"/>
    <mergeCell ref="E46:F46"/>
    <mergeCell ref="E47:F47"/>
    <mergeCell ref="E48:F48"/>
    <mergeCell ref="E49:F49"/>
    <mergeCell ref="E50:F50"/>
    <mergeCell ref="E42:F42"/>
    <mergeCell ref="E43:F43"/>
    <mergeCell ref="E44:F44"/>
    <mergeCell ref="E57:F57"/>
    <mergeCell ref="E58:F58"/>
    <mergeCell ref="E59:F59"/>
    <mergeCell ref="E60:F60"/>
    <mergeCell ref="E61:F61"/>
    <mergeCell ref="E62:F62"/>
    <mergeCell ref="E51:F51"/>
    <mergeCell ref="E52:F52"/>
    <mergeCell ref="E53:F53"/>
    <mergeCell ref="E54:F54"/>
    <mergeCell ref="E55:F55"/>
    <mergeCell ref="E56:F56"/>
    <mergeCell ref="E69:F69"/>
    <mergeCell ref="E70:F70"/>
    <mergeCell ref="E71:F71"/>
    <mergeCell ref="E72:F72"/>
    <mergeCell ref="E81:F81"/>
    <mergeCell ref="E82:F82"/>
    <mergeCell ref="E63:F63"/>
    <mergeCell ref="E64:F64"/>
    <mergeCell ref="E65:F65"/>
    <mergeCell ref="E66:F66"/>
    <mergeCell ref="E67:F67"/>
    <mergeCell ref="E68:F68"/>
    <mergeCell ref="E73:F73"/>
    <mergeCell ref="E75:F75"/>
    <mergeCell ref="E74:F74"/>
    <mergeCell ref="E76:F76"/>
    <mergeCell ref="E77:F77"/>
    <mergeCell ref="E78:F78"/>
    <mergeCell ref="E79:F79"/>
    <mergeCell ref="E80:F80"/>
    <mergeCell ref="E92:F92"/>
    <mergeCell ref="E83:F83"/>
    <mergeCell ref="E84:F84"/>
    <mergeCell ref="E85:F85"/>
    <mergeCell ref="E86:F86"/>
    <mergeCell ref="E87:F87"/>
    <mergeCell ref="E89:F89"/>
    <mergeCell ref="E90:F90"/>
    <mergeCell ref="E91:F91"/>
    <mergeCell ref="E88:F88"/>
    <mergeCell ref="E97:F97"/>
    <mergeCell ref="E98:F98"/>
    <mergeCell ref="E93:F93"/>
    <mergeCell ref="E94:F94"/>
    <mergeCell ref="E95:F95"/>
    <mergeCell ref="E96:F96"/>
    <mergeCell ref="E106:F106"/>
    <mergeCell ref="E100:F100"/>
    <mergeCell ref="E104:F104"/>
    <mergeCell ref="E105:F105"/>
    <mergeCell ref="E101:F101"/>
    <mergeCell ref="E102:F102"/>
    <mergeCell ref="E103:F103"/>
    <mergeCell ref="E99:F99"/>
  </mergeCells>
  <phoneticPr fontId="2"/>
  <conditionalFormatting sqref="F118:F656 C4:C117">
    <cfRule type="cellIs" dxfId="7" priority="1" stopIfTrue="1" operator="equal">
      <formula>"標準"</formula>
    </cfRule>
  </conditionalFormatting>
  <dataValidations count="1">
    <dataValidation type="list" allowBlank="1" showInputMessage="1" showErrorMessage="1" sqref="J3:K3" xr:uid="{00000000-0002-0000-0200-000000000000}">
      <formula1>$L$4:$L$4</formula1>
    </dataValidation>
  </dataValidations>
  <pageMargins left="0.23" right="0.2" top="0.35" bottom="0.28000000000000003" header="0.2" footer="0.2"/>
  <pageSetup paperSize="9" scale="60" orientation="portrait" r:id="rId1"/>
  <headerFooter alignWithMargins="0"/>
  <rowBreaks count="1" manualBreakCount="1">
    <brk id="78" max="6"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indexed="45"/>
  </sheetPr>
  <dimension ref="A1:AR84"/>
  <sheetViews>
    <sheetView showZeros="0" zoomScaleNormal="100" workbookViewId="0">
      <selection activeCell="AJ8" sqref="AJ8"/>
    </sheetView>
  </sheetViews>
  <sheetFormatPr defaultColWidth="2.59765625" defaultRowHeight="12.75" x14ac:dyDescent="0.25"/>
  <cols>
    <col min="1" max="33" width="2.86328125" style="176" customWidth="1"/>
    <col min="34" max="34" width="8.73046875" style="176" customWidth="1"/>
    <col min="35" max="35" width="8.1328125" style="176" customWidth="1"/>
    <col min="36" max="36" width="24.59765625" style="176" customWidth="1"/>
    <col min="37" max="37" width="36.59765625" style="176" customWidth="1"/>
    <col min="38" max="38" width="2.59765625" style="176" customWidth="1"/>
    <col min="39" max="44" width="8.59765625" style="176" customWidth="1"/>
    <col min="45" max="16384" width="2.59765625" style="176"/>
  </cols>
  <sheetData>
    <row r="1" spans="1:44" ht="18" customHeight="1" x14ac:dyDescent="0.25">
      <c r="A1" s="748"/>
      <c r="B1" s="748"/>
      <c r="C1" s="748"/>
      <c r="D1" s="171"/>
      <c r="E1" s="749"/>
      <c r="F1" s="749"/>
      <c r="G1" s="749"/>
      <c r="H1" s="749"/>
      <c r="I1" s="749"/>
      <c r="J1" s="171"/>
      <c r="K1" s="172"/>
      <c r="L1" s="173"/>
      <c r="M1" s="173"/>
      <c r="N1" s="173"/>
      <c r="O1" s="173"/>
      <c r="P1" s="173"/>
      <c r="Q1" s="173"/>
      <c r="R1" s="173"/>
      <c r="S1" s="173"/>
      <c r="T1" s="173"/>
      <c r="U1" s="173"/>
      <c r="V1" s="173"/>
      <c r="W1" s="173"/>
      <c r="X1" s="173"/>
      <c r="Y1" s="173"/>
      <c r="Z1" s="173"/>
      <c r="AA1" s="173"/>
      <c r="AB1" s="173"/>
      <c r="AC1" s="174" t="s">
        <v>810</v>
      </c>
      <c r="AD1" s="371"/>
      <c r="AE1" s="175" t="s">
        <v>811</v>
      </c>
      <c r="AF1" s="371"/>
      <c r="AG1" s="173" t="s">
        <v>812</v>
      </c>
    </row>
    <row r="2" spans="1:44" ht="3" customHeight="1" x14ac:dyDescent="0.25">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row>
    <row r="3" spans="1:44" ht="18" customHeight="1" x14ac:dyDescent="0.4">
      <c r="A3" s="742" t="s">
        <v>763</v>
      </c>
      <c r="B3" s="743"/>
      <c r="C3" s="743"/>
      <c r="D3" s="743"/>
      <c r="E3" s="743"/>
      <c r="F3" s="743"/>
      <c r="G3" s="743"/>
      <c r="H3" s="743"/>
      <c r="I3" s="743"/>
      <c r="J3" s="743"/>
      <c r="K3" s="743"/>
      <c r="L3" s="743"/>
      <c r="M3" s="743"/>
      <c r="N3" s="743"/>
      <c r="O3" s="743"/>
      <c r="P3" s="743"/>
      <c r="Q3" s="743"/>
      <c r="R3" s="746" t="str">
        <f>受注仕様書!C4</f>
        <v>Vol.2.5</v>
      </c>
      <c r="S3" s="746"/>
      <c r="T3" s="746"/>
      <c r="U3" s="746"/>
      <c r="V3" s="388"/>
      <c r="W3" s="388"/>
      <c r="X3" s="750" t="s">
        <v>764</v>
      </c>
      <c r="Y3" s="750"/>
      <c r="Z3" s="750"/>
      <c r="AA3" s="750"/>
      <c r="AB3" s="750"/>
      <c r="AC3" s="751"/>
      <c r="AD3" s="751"/>
      <c r="AE3" s="751"/>
      <c r="AF3" s="751"/>
      <c r="AG3" s="752"/>
    </row>
    <row r="4" spans="1:44" ht="18" customHeight="1" x14ac:dyDescent="0.4">
      <c r="A4" s="744"/>
      <c r="B4" s="745"/>
      <c r="C4" s="745"/>
      <c r="D4" s="745"/>
      <c r="E4" s="745"/>
      <c r="F4" s="745"/>
      <c r="G4" s="745"/>
      <c r="H4" s="745"/>
      <c r="I4" s="745"/>
      <c r="J4" s="745"/>
      <c r="K4" s="745"/>
      <c r="L4" s="745"/>
      <c r="M4" s="745"/>
      <c r="N4" s="745"/>
      <c r="O4" s="745"/>
      <c r="P4" s="745"/>
      <c r="Q4" s="745"/>
      <c r="R4" s="747"/>
      <c r="S4" s="747"/>
      <c r="T4" s="747"/>
      <c r="U4" s="747"/>
      <c r="V4" s="389"/>
      <c r="W4" s="389"/>
      <c r="X4" s="738" t="s">
        <v>765</v>
      </c>
      <c r="Y4" s="738"/>
      <c r="Z4" s="738"/>
      <c r="AA4" s="738"/>
      <c r="AB4" s="738"/>
      <c r="AC4" s="739">
        <v>43257</v>
      </c>
      <c r="AD4" s="740"/>
      <c r="AE4" s="740"/>
      <c r="AF4" s="740"/>
      <c r="AG4" s="741"/>
    </row>
    <row r="5" spans="1:44" ht="13.5" customHeight="1" x14ac:dyDescent="0.25">
      <c r="A5" s="178"/>
      <c r="B5" s="179"/>
      <c r="C5" s="180"/>
      <c r="D5" s="180"/>
      <c r="E5" s="180"/>
      <c r="F5" s="180"/>
      <c r="G5" s="180"/>
      <c r="H5" s="180"/>
      <c r="I5" s="180"/>
      <c r="J5" s="180"/>
      <c r="K5" s="180"/>
      <c r="L5" s="180"/>
      <c r="M5" s="390"/>
      <c r="N5" s="390"/>
      <c r="O5" s="390"/>
      <c r="P5" s="180"/>
      <c r="Q5" s="180"/>
      <c r="R5" s="180"/>
      <c r="S5" s="180"/>
      <c r="T5" s="180"/>
      <c r="U5" s="180"/>
      <c r="V5" s="179"/>
      <c r="W5" s="179"/>
      <c r="X5" s="179"/>
      <c r="Y5" s="179"/>
      <c r="Z5" s="179"/>
      <c r="AA5" s="179"/>
      <c r="AB5" s="179"/>
      <c r="AC5" s="179"/>
      <c r="AD5" s="179"/>
      <c r="AE5" s="179"/>
      <c r="AF5" s="179"/>
      <c r="AG5" s="181"/>
      <c r="AH5" s="783" t="s">
        <v>510</v>
      </c>
      <c r="AI5" s="784"/>
      <c r="AJ5" s="784"/>
      <c r="AK5" s="784"/>
    </row>
    <row r="6" spans="1:44" ht="18" customHeight="1" x14ac:dyDescent="0.25">
      <c r="A6" s="712" t="s">
        <v>766</v>
      </c>
      <c r="B6" s="713"/>
      <c r="C6" s="713"/>
      <c r="D6" s="713"/>
      <c r="E6" s="713"/>
      <c r="F6" s="713"/>
      <c r="G6" s="713"/>
      <c r="H6" s="713"/>
      <c r="I6" s="713"/>
      <c r="J6" s="713" t="s">
        <v>767</v>
      </c>
      <c r="K6" s="713"/>
      <c r="L6" s="713"/>
      <c r="M6" s="713" t="s">
        <v>768</v>
      </c>
      <c r="N6" s="713"/>
      <c r="O6" s="713"/>
      <c r="P6" s="713" t="s">
        <v>769</v>
      </c>
      <c r="Q6" s="713"/>
      <c r="R6" s="714"/>
      <c r="S6" s="706" t="s">
        <v>770</v>
      </c>
      <c r="T6" s="707"/>
      <c r="U6" s="707"/>
      <c r="V6" s="707"/>
      <c r="W6" s="707"/>
      <c r="X6" s="707"/>
      <c r="Y6" s="707"/>
      <c r="Z6" s="707"/>
      <c r="AA6" s="708"/>
      <c r="AB6" s="709" t="s">
        <v>636</v>
      </c>
      <c r="AC6" s="710"/>
      <c r="AD6" s="710"/>
      <c r="AE6" s="710"/>
      <c r="AF6" s="710"/>
      <c r="AG6" s="711"/>
      <c r="AH6" s="783" t="s">
        <v>511</v>
      </c>
      <c r="AI6" s="784"/>
      <c r="AJ6" s="784"/>
      <c r="AK6" s="784"/>
    </row>
    <row r="7" spans="1:44" ht="13.5" customHeight="1" x14ac:dyDescent="0.25">
      <c r="A7" s="763" t="str">
        <f>受注仕様書!L8</f>
        <v>関西支店</v>
      </c>
      <c r="B7" s="764"/>
      <c r="C7" s="764"/>
      <c r="D7" s="764"/>
      <c r="E7" s="764"/>
      <c r="F7" s="764"/>
      <c r="G7" s="764"/>
      <c r="H7" s="764"/>
      <c r="I7" s="764"/>
      <c r="J7" s="764" t="str">
        <f>受注仕様書!U6</f>
        <v>古林</v>
      </c>
      <c r="K7" s="764"/>
      <c r="L7" s="764"/>
      <c r="M7" s="764" t="str">
        <f>受注仕様書!Y6</f>
        <v>平井</v>
      </c>
      <c r="N7" s="764"/>
      <c r="O7" s="764"/>
      <c r="P7" s="764" t="str">
        <f>受注仕様書!AC6</f>
        <v>山北</v>
      </c>
      <c r="Q7" s="764"/>
      <c r="R7" s="767"/>
      <c r="S7" s="791"/>
      <c r="T7" s="792"/>
      <c r="U7" s="792"/>
      <c r="V7" s="792"/>
      <c r="W7" s="792"/>
      <c r="X7" s="792"/>
      <c r="Y7" s="792"/>
      <c r="Z7" s="792"/>
      <c r="AA7" s="795"/>
      <c r="AB7" s="757">
        <f>受注仕様書!L13</f>
        <v>0</v>
      </c>
      <c r="AC7" s="758"/>
      <c r="AD7" s="758"/>
      <c r="AE7" s="758"/>
      <c r="AF7" s="758"/>
      <c r="AG7" s="759"/>
      <c r="AH7" s="785" t="s">
        <v>512</v>
      </c>
      <c r="AI7" s="786"/>
      <c r="AJ7" s="786"/>
      <c r="AK7" s="786"/>
    </row>
    <row r="8" spans="1:44" ht="13.5" customHeight="1" x14ac:dyDescent="0.25">
      <c r="A8" s="763"/>
      <c r="B8" s="764"/>
      <c r="C8" s="764"/>
      <c r="D8" s="764"/>
      <c r="E8" s="764"/>
      <c r="F8" s="764"/>
      <c r="G8" s="764"/>
      <c r="H8" s="764"/>
      <c r="I8" s="764"/>
      <c r="J8" s="764"/>
      <c r="K8" s="764"/>
      <c r="L8" s="764"/>
      <c r="M8" s="764"/>
      <c r="N8" s="764"/>
      <c r="O8" s="764"/>
      <c r="P8" s="764"/>
      <c r="Q8" s="764"/>
      <c r="R8" s="767"/>
      <c r="S8" s="791"/>
      <c r="T8" s="792"/>
      <c r="U8" s="792"/>
      <c r="V8" s="792"/>
      <c r="W8" s="792"/>
      <c r="X8" s="792"/>
      <c r="Y8" s="792"/>
      <c r="Z8" s="792"/>
      <c r="AA8" s="795"/>
      <c r="AB8" s="757"/>
      <c r="AC8" s="758"/>
      <c r="AD8" s="758"/>
      <c r="AE8" s="758"/>
      <c r="AF8" s="758"/>
      <c r="AG8" s="759"/>
      <c r="AH8" s="797">
        <f>SUM(AH9:AI9)</f>
        <v>0</v>
      </c>
      <c r="AI8" s="797"/>
      <c r="AJ8" s="112"/>
      <c r="AK8" s="112"/>
    </row>
    <row r="9" spans="1:44" ht="13.5" customHeight="1" x14ac:dyDescent="0.25">
      <c r="A9" s="765"/>
      <c r="B9" s="766"/>
      <c r="C9" s="766"/>
      <c r="D9" s="766"/>
      <c r="E9" s="766"/>
      <c r="F9" s="766"/>
      <c r="G9" s="766"/>
      <c r="H9" s="766"/>
      <c r="I9" s="766"/>
      <c r="J9" s="766"/>
      <c r="K9" s="766"/>
      <c r="L9" s="766"/>
      <c r="M9" s="766"/>
      <c r="N9" s="766"/>
      <c r="O9" s="766"/>
      <c r="P9" s="766"/>
      <c r="Q9" s="766"/>
      <c r="R9" s="768"/>
      <c r="S9" s="793"/>
      <c r="T9" s="794"/>
      <c r="U9" s="794"/>
      <c r="V9" s="794"/>
      <c r="W9" s="794"/>
      <c r="X9" s="794"/>
      <c r="Y9" s="794"/>
      <c r="Z9" s="794"/>
      <c r="AA9" s="796"/>
      <c r="AB9" s="760"/>
      <c r="AC9" s="761"/>
      <c r="AD9" s="761"/>
      <c r="AE9" s="761"/>
      <c r="AF9" s="761"/>
      <c r="AG9" s="762"/>
      <c r="AH9" s="167">
        <f>SUM(AH20:AH44)</f>
        <v>0</v>
      </c>
      <c r="AI9" s="167">
        <f>SUM(AI20:AI44)</f>
        <v>0</v>
      </c>
      <c r="AJ9" s="112"/>
      <c r="AK9" s="112"/>
    </row>
    <row r="10" spans="1:44" ht="24.75" customHeight="1" x14ac:dyDescent="0.25">
      <c r="A10" s="755" t="s">
        <v>771</v>
      </c>
      <c r="B10" s="756"/>
      <c r="C10" s="756"/>
      <c r="D10" s="756"/>
      <c r="E10" s="756"/>
      <c r="F10" s="769" t="s">
        <v>772</v>
      </c>
      <c r="G10" s="770"/>
      <c r="H10" s="771"/>
      <c r="I10" s="772" t="str">
        <f>受注仕様書!AG8</f>
        <v>171963</v>
      </c>
      <c r="J10" s="773"/>
      <c r="K10" s="773"/>
      <c r="L10" s="773"/>
      <c r="M10" s="773"/>
      <c r="N10" s="773"/>
      <c r="O10" s="773"/>
      <c r="P10" s="773"/>
      <c r="Q10" s="773"/>
      <c r="R10" s="773"/>
      <c r="S10" s="773"/>
      <c r="T10" s="773"/>
      <c r="U10" s="773"/>
      <c r="V10" s="773"/>
      <c r="W10" s="773"/>
      <c r="X10" s="773"/>
      <c r="Y10" s="774"/>
      <c r="Z10" s="798" t="s">
        <v>773</v>
      </c>
      <c r="AA10" s="799"/>
      <c r="AB10" s="799"/>
      <c r="AC10" s="799"/>
      <c r="AD10" s="800"/>
      <c r="AE10" s="801" t="s">
        <v>1545</v>
      </c>
      <c r="AF10" s="802"/>
      <c r="AG10" s="803"/>
      <c r="AH10" s="787" t="s">
        <v>774</v>
      </c>
      <c r="AI10" s="788"/>
      <c r="AJ10" s="112"/>
      <c r="AK10" s="112"/>
    </row>
    <row r="11" spans="1:44" ht="10.5" customHeight="1" x14ac:dyDescent="0.25">
      <c r="A11" s="775" t="s">
        <v>775</v>
      </c>
      <c r="B11" s="776"/>
      <c r="C11" s="776"/>
      <c r="D11" s="776"/>
      <c r="E11" s="777" t="str">
        <f>受注仕様書!L9</f>
        <v>大阪日野自動車㈱</v>
      </c>
      <c r="F11" s="722"/>
      <c r="G11" s="722"/>
      <c r="H11" s="722"/>
      <c r="I11" s="722"/>
      <c r="J11" s="722"/>
      <c r="K11" s="722"/>
      <c r="L11" s="722"/>
      <c r="M11" s="722"/>
      <c r="N11" s="722"/>
      <c r="O11" s="722"/>
      <c r="P11" s="722"/>
      <c r="Q11" s="722"/>
      <c r="R11" s="723"/>
      <c r="S11" s="778" t="s">
        <v>813</v>
      </c>
      <c r="T11" s="716"/>
      <c r="U11" s="716"/>
      <c r="V11" s="716"/>
      <c r="W11" s="779" t="str">
        <f>受注仕様書!AG9</f>
        <v>ﾀﾞｲﾊﾁｾｲｿｳｼｬ</v>
      </c>
      <c r="X11" s="779"/>
      <c r="Y11" s="779"/>
      <c r="Z11" s="779"/>
      <c r="AA11" s="779"/>
      <c r="AB11" s="779"/>
      <c r="AC11" s="779"/>
      <c r="AD11" s="779"/>
      <c r="AE11" s="779"/>
      <c r="AF11" s="779"/>
      <c r="AG11" s="780"/>
      <c r="AH11" s="789"/>
      <c r="AI11" s="790"/>
      <c r="AJ11" s="112"/>
      <c r="AK11" s="112"/>
    </row>
    <row r="12" spans="1:44" ht="25.5" customHeight="1" x14ac:dyDescent="0.25">
      <c r="A12" s="775"/>
      <c r="B12" s="776"/>
      <c r="C12" s="776"/>
      <c r="D12" s="776"/>
      <c r="E12" s="724"/>
      <c r="F12" s="725"/>
      <c r="G12" s="725"/>
      <c r="H12" s="725"/>
      <c r="I12" s="725"/>
      <c r="J12" s="725"/>
      <c r="K12" s="725"/>
      <c r="L12" s="725"/>
      <c r="M12" s="725"/>
      <c r="N12" s="725"/>
      <c r="O12" s="725"/>
      <c r="P12" s="725"/>
      <c r="Q12" s="725"/>
      <c r="R12" s="726"/>
      <c r="S12" s="716"/>
      <c r="T12" s="716"/>
      <c r="U12" s="716"/>
      <c r="V12" s="716"/>
      <c r="W12" s="753" t="str">
        <f>受注仕様書!AG10</f>
        <v>大八清掃社</v>
      </c>
      <c r="X12" s="753"/>
      <c r="Y12" s="753"/>
      <c r="Z12" s="753"/>
      <c r="AA12" s="753"/>
      <c r="AB12" s="753"/>
      <c r="AC12" s="753"/>
      <c r="AD12" s="753"/>
      <c r="AE12" s="753"/>
      <c r="AF12" s="753"/>
      <c r="AG12" s="754"/>
      <c r="AH12" s="834" t="s">
        <v>795</v>
      </c>
      <c r="AI12" s="834" t="s">
        <v>796</v>
      </c>
      <c r="AJ12" s="834" t="s">
        <v>797</v>
      </c>
      <c r="AK12" s="834" t="s">
        <v>798</v>
      </c>
    </row>
    <row r="13" spans="1:44" ht="18" customHeight="1" x14ac:dyDescent="0.25">
      <c r="A13" s="715" t="s">
        <v>799</v>
      </c>
      <c r="B13" s="716"/>
      <c r="C13" s="716"/>
      <c r="D13" s="716"/>
      <c r="E13" s="721">
        <f>受注仕様書!AG17</f>
        <v>43320</v>
      </c>
      <c r="F13" s="722"/>
      <c r="G13" s="722"/>
      <c r="H13" s="722"/>
      <c r="I13" s="722"/>
      <c r="J13" s="722"/>
      <c r="K13" s="723"/>
      <c r="L13" s="719" t="s">
        <v>800</v>
      </c>
      <c r="M13" s="719"/>
      <c r="N13" s="719"/>
      <c r="O13" s="719"/>
      <c r="P13" s="721">
        <f>受注仕様書!L11</f>
        <v>43376</v>
      </c>
      <c r="Q13" s="722"/>
      <c r="R13" s="722"/>
      <c r="S13" s="722"/>
      <c r="T13" s="722"/>
      <c r="U13" s="722"/>
      <c r="V13" s="723"/>
      <c r="W13" s="840" t="s">
        <v>313</v>
      </c>
      <c r="X13" s="841"/>
      <c r="Y13" s="841"/>
      <c r="Z13" s="842"/>
      <c r="AA13" s="721">
        <f>受注仕様書!AG11</f>
        <v>43399</v>
      </c>
      <c r="AB13" s="722"/>
      <c r="AC13" s="722"/>
      <c r="AD13" s="722"/>
      <c r="AE13" s="722"/>
      <c r="AF13" s="722"/>
      <c r="AG13" s="727"/>
      <c r="AH13" s="835"/>
      <c r="AI13" s="835"/>
      <c r="AJ13" s="835"/>
      <c r="AK13" s="835"/>
    </row>
    <row r="14" spans="1:44" ht="17.25" customHeight="1" x14ac:dyDescent="0.25">
      <c r="A14" s="717"/>
      <c r="B14" s="718"/>
      <c r="C14" s="718"/>
      <c r="D14" s="718"/>
      <c r="E14" s="724"/>
      <c r="F14" s="725"/>
      <c r="G14" s="725"/>
      <c r="H14" s="725"/>
      <c r="I14" s="725"/>
      <c r="J14" s="725"/>
      <c r="K14" s="726"/>
      <c r="L14" s="720"/>
      <c r="M14" s="720"/>
      <c r="N14" s="720"/>
      <c r="O14" s="720"/>
      <c r="P14" s="724"/>
      <c r="Q14" s="725"/>
      <c r="R14" s="725"/>
      <c r="S14" s="725"/>
      <c r="T14" s="725"/>
      <c r="U14" s="725"/>
      <c r="V14" s="726"/>
      <c r="W14" s="843"/>
      <c r="X14" s="844"/>
      <c r="Y14" s="844"/>
      <c r="Z14" s="845"/>
      <c r="AA14" s="724"/>
      <c r="AB14" s="725"/>
      <c r="AC14" s="725"/>
      <c r="AD14" s="725"/>
      <c r="AE14" s="725"/>
      <c r="AF14" s="725"/>
      <c r="AG14" s="728"/>
      <c r="AH14" s="835"/>
      <c r="AI14" s="835"/>
      <c r="AJ14" s="835"/>
      <c r="AK14" s="835"/>
    </row>
    <row r="15" spans="1:44" ht="18" customHeight="1" x14ac:dyDescent="0.25">
      <c r="A15" s="817" t="s">
        <v>801</v>
      </c>
      <c r="B15" s="818"/>
      <c r="C15" s="818"/>
      <c r="D15" s="819"/>
      <c r="E15" s="732" t="str">
        <f>受注仕様書!L27</f>
        <v>PB681E-N(8.1)</v>
      </c>
      <c r="F15" s="733"/>
      <c r="G15" s="733"/>
      <c r="H15" s="733"/>
      <c r="I15" s="733"/>
      <c r="J15" s="734"/>
      <c r="K15" s="731" t="s">
        <v>802</v>
      </c>
      <c r="L15" s="731"/>
      <c r="M15" s="820" t="str">
        <f>受注仕様書!L16</f>
        <v>日野</v>
      </c>
      <c r="N15" s="820"/>
      <c r="O15" s="820"/>
      <c r="P15" s="820"/>
      <c r="Q15" s="820"/>
      <c r="R15" s="735" t="s">
        <v>803</v>
      </c>
      <c r="S15" s="735"/>
      <c r="T15" s="732" t="str">
        <f>受注仕様書!AG16</f>
        <v>2DG-GC2ADBA-CBAAAB</v>
      </c>
      <c r="U15" s="733"/>
      <c r="V15" s="733"/>
      <c r="W15" s="733"/>
      <c r="X15" s="733"/>
      <c r="Y15" s="733"/>
      <c r="Z15" s="734"/>
      <c r="AA15" s="731" t="s">
        <v>804</v>
      </c>
      <c r="AB15" s="731"/>
      <c r="AC15" s="731"/>
      <c r="AD15" s="729">
        <f>受注仕様書!L17</f>
        <v>0</v>
      </c>
      <c r="AE15" s="729"/>
      <c r="AF15" s="729"/>
      <c r="AG15" s="730"/>
      <c r="AH15" s="835"/>
      <c r="AI15" s="835"/>
      <c r="AJ15" s="835"/>
      <c r="AK15" s="835"/>
      <c r="AM15" s="821" t="s">
        <v>505</v>
      </c>
      <c r="AN15" s="822"/>
      <c r="AO15" s="822"/>
      <c r="AP15" s="822"/>
      <c r="AQ15" s="822"/>
      <c r="AR15" s="823"/>
    </row>
    <row r="16" spans="1:44" ht="18" customHeight="1" x14ac:dyDescent="0.25">
      <c r="A16" s="781" t="s">
        <v>807</v>
      </c>
      <c r="B16" s="782"/>
      <c r="C16" s="782"/>
      <c r="D16" s="782"/>
      <c r="E16" s="782"/>
      <c r="F16" s="782"/>
      <c r="G16" s="782"/>
      <c r="H16" s="782"/>
      <c r="I16" s="782"/>
      <c r="J16" s="782"/>
      <c r="K16" s="782"/>
      <c r="L16" s="782"/>
      <c r="M16" s="782"/>
      <c r="N16" s="782"/>
      <c r="O16" s="782"/>
      <c r="P16" s="782"/>
      <c r="Q16" s="782"/>
      <c r="R16" s="782"/>
      <c r="S16" s="782"/>
      <c r="T16" s="782"/>
      <c r="U16" s="782"/>
      <c r="V16" s="782"/>
      <c r="W16" s="782"/>
      <c r="X16" s="782"/>
      <c r="Y16" s="368" t="s">
        <v>814</v>
      </c>
      <c r="Z16" s="815">
        <f>受注仕様書!AL13</f>
        <v>0</v>
      </c>
      <c r="AA16" s="816"/>
      <c r="AB16" s="369" t="s">
        <v>815</v>
      </c>
      <c r="AC16" s="368"/>
      <c r="AD16" s="368"/>
      <c r="AE16" s="368"/>
      <c r="AF16" s="368"/>
      <c r="AG16" s="370" t="s">
        <v>129</v>
      </c>
      <c r="AH16" s="836"/>
      <c r="AI16" s="836"/>
      <c r="AJ16" s="836"/>
      <c r="AK16" s="836"/>
      <c r="AM16" s="824"/>
      <c r="AN16" s="825"/>
      <c r="AO16" s="825"/>
      <c r="AP16" s="825"/>
      <c r="AQ16" s="825"/>
      <c r="AR16" s="826"/>
    </row>
    <row r="17" spans="1:44" ht="18" customHeight="1" x14ac:dyDescent="0.25">
      <c r="A17" s="804" t="s">
        <v>590</v>
      </c>
      <c r="B17" s="804"/>
      <c r="C17" s="804"/>
      <c r="D17" s="804"/>
      <c r="E17" s="804"/>
      <c r="F17" s="804"/>
      <c r="G17" s="804"/>
      <c r="H17" s="804"/>
      <c r="I17" s="804"/>
      <c r="J17" s="804"/>
      <c r="K17" s="804"/>
      <c r="L17" s="805" t="str">
        <f>'仕様指示書－作成－'!K119</f>
        <v>3-4．5-12．7-14．10-3．</v>
      </c>
      <c r="M17" s="806"/>
      <c r="N17" s="806"/>
      <c r="O17" s="806"/>
      <c r="P17" s="806"/>
      <c r="Q17" s="806"/>
      <c r="R17" s="806"/>
      <c r="S17" s="806"/>
      <c r="T17" s="806"/>
      <c r="U17" s="806"/>
      <c r="V17" s="806"/>
      <c r="W17" s="806"/>
      <c r="X17" s="806"/>
      <c r="Y17" s="806"/>
      <c r="Z17" s="806"/>
      <c r="AA17" s="806"/>
      <c r="AB17" s="806"/>
      <c r="AC17" s="806"/>
      <c r="AD17" s="806"/>
      <c r="AE17" s="806"/>
      <c r="AF17" s="806"/>
      <c r="AG17" s="807"/>
      <c r="AH17" s="811">
        <v>1</v>
      </c>
      <c r="AI17" s="813"/>
      <c r="AJ17" s="830" t="s">
        <v>805</v>
      </c>
      <c r="AK17" s="832" t="s">
        <v>806</v>
      </c>
      <c r="AM17" s="824"/>
      <c r="AN17" s="825"/>
      <c r="AO17" s="825"/>
      <c r="AP17" s="825"/>
      <c r="AQ17" s="825"/>
      <c r="AR17" s="826"/>
    </row>
    <row r="18" spans="1:44" ht="18" customHeight="1" x14ac:dyDescent="0.25">
      <c r="A18" s="804"/>
      <c r="B18" s="804"/>
      <c r="C18" s="804"/>
      <c r="D18" s="804"/>
      <c r="E18" s="804"/>
      <c r="F18" s="804"/>
      <c r="G18" s="804"/>
      <c r="H18" s="804"/>
      <c r="I18" s="804"/>
      <c r="J18" s="804"/>
      <c r="K18" s="804"/>
      <c r="L18" s="808"/>
      <c r="M18" s="809"/>
      <c r="N18" s="809"/>
      <c r="O18" s="809"/>
      <c r="P18" s="809"/>
      <c r="Q18" s="809"/>
      <c r="R18" s="809"/>
      <c r="S18" s="809"/>
      <c r="T18" s="809"/>
      <c r="U18" s="809"/>
      <c r="V18" s="809"/>
      <c r="W18" s="809"/>
      <c r="X18" s="809"/>
      <c r="Y18" s="809"/>
      <c r="Z18" s="809"/>
      <c r="AA18" s="809"/>
      <c r="AB18" s="809"/>
      <c r="AC18" s="809"/>
      <c r="AD18" s="809"/>
      <c r="AE18" s="809"/>
      <c r="AF18" s="809"/>
      <c r="AG18" s="810"/>
      <c r="AH18" s="812"/>
      <c r="AI18" s="814"/>
      <c r="AJ18" s="831"/>
      <c r="AK18" s="833"/>
      <c r="AM18" s="827"/>
      <c r="AN18" s="828"/>
      <c r="AO18" s="828"/>
      <c r="AP18" s="828"/>
      <c r="AQ18" s="828"/>
      <c r="AR18" s="829"/>
    </row>
    <row r="19" spans="1:44" ht="26.1" customHeight="1" x14ac:dyDescent="0.25">
      <c r="A19" s="736" t="s">
        <v>327</v>
      </c>
      <c r="B19" s="737"/>
      <c r="C19" s="837" t="s">
        <v>808</v>
      </c>
      <c r="D19" s="838"/>
      <c r="E19" s="838"/>
      <c r="F19" s="838"/>
      <c r="G19" s="838"/>
      <c r="H19" s="838"/>
      <c r="I19" s="838"/>
      <c r="J19" s="838"/>
      <c r="K19" s="838"/>
      <c r="L19" s="838"/>
      <c r="M19" s="838"/>
      <c r="N19" s="838"/>
      <c r="O19" s="838"/>
      <c r="P19" s="838"/>
      <c r="Q19" s="838"/>
      <c r="R19" s="838"/>
      <c r="S19" s="838"/>
      <c r="T19" s="838"/>
      <c r="U19" s="838"/>
      <c r="V19" s="838"/>
      <c r="W19" s="838"/>
      <c r="X19" s="838"/>
      <c r="Y19" s="838"/>
      <c r="Z19" s="838"/>
      <c r="AA19" s="838"/>
      <c r="AB19" s="838"/>
      <c r="AC19" s="838"/>
      <c r="AD19" s="838"/>
      <c r="AE19" s="838"/>
      <c r="AF19" s="838"/>
      <c r="AG19" s="839"/>
      <c r="AH19" s="182"/>
      <c r="AI19" s="182">
        <v>1</v>
      </c>
      <c r="AJ19" s="183" t="s">
        <v>809</v>
      </c>
      <c r="AK19" s="184" t="s">
        <v>816</v>
      </c>
      <c r="AM19" s="365" t="s">
        <v>506</v>
      </c>
      <c r="AN19" s="365" t="s">
        <v>57</v>
      </c>
      <c r="AO19" s="365" t="s">
        <v>507</v>
      </c>
      <c r="AP19" s="365" t="s">
        <v>637</v>
      </c>
      <c r="AQ19" s="365" t="s">
        <v>508</v>
      </c>
      <c r="AR19" s="366" t="s">
        <v>509</v>
      </c>
    </row>
    <row r="20" spans="1:44" ht="23.25" customHeight="1" x14ac:dyDescent="0.25">
      <c r="A20" s="703" t="s">
        <v>335</v>
      </c>
      <c r="B20" s="704"/>
      <c r="C20" s="846" t="s">
        <v>1528</v>
      </c>
      <c r="D20" s="847"/>
      <c r="E20" s="847"/>
      <c r="F20" s="847"/>
      <c r="G20" s="847"/>
      <c r="H20" s="847"/>
      <c r="I20" s="847"/>
      <c r="J20" s="847"/>
      <c r="K20" s="847"/>
      <c r="L20" s="847"/>
      <c r="M20" s="847"/>
      <c r="N20" s="847"/>
      <c r="O20" s="847"/>
      <c r="P20" s="847"/>
      <c r="Q20" s="847"/>
      <c r="R20" s="847"/>
      <c r="S20" s="847"/>
      <c r="T20" s="847"/>
      <c r="U20" s="847"/>
      <c r="V20" s="847"/>
      <c r="W20" s="847"/>
      <c r="X20" s="847"/>
      <c r="Y20" s="847"/>
      <c r="Z20" s="847"/>
      <c r="AA20" s="847"/>
      <c r="AB20" s="847"/>
      <c r="AC20" s="847"/>
      <c r="AD20" s="847"/>
      <c r="AE20" s="847"/>
      <c r="AF20" s="847"/>
      <c r="AG20" s="848"/>
      <c r="AH20" s="372"/>
      <c r="AI20" s="372"/>
      <c r="AJ20" s="372"/>
      <c r="AK20" s="372"/>
      <c r="AM20" s="367" t="str">
        <f>$I$10</f>
        <v>171963</v>
      </c>
      <c r="AN20" s="367" t="str">
        <f>$E$15</f>
        <v>PB681E-N(8.1)</v>
      </c>
      <c r="AO20" s="367" t="str">
        <f>$T$15</f>
        <v>2DG-GC2ADBA-CBAAAB</v>
      </c>
      <c r="AP20" s="367" t="str">
        <f>$W$12</f>
        <v>大八清掃社</v>
      </c>
      <c r="AQ20" s="367" t="str">
        <f>$A$7</f>
        <v>関西支店</v>
      </c>
      <c r="AR20" s="367" t="str">
        <f>$M$7</f>
        <v>平井</v>
      </c>
    </row>
    <row r="21" spans="1:44" ht="23.25" customHeight="1" x14ac:dyDescent="0.25">
      <c r="A21" s="703"/>
      <c r="B21" s="704"/>
      <c r="C21" s="695"/>
      <c r="D21" s="696"/>
      <c r="E21" s="696"/>
      <c r="F21" s="696"/>
      <c r="G21" s="696"/>
      <c r="H21" s="696"/>
      <c r="I21" s="696"/>
      <c r="J21" s="696"/>
      <c r="K21" s="696"/>
      <c r="L21" s="696"/>
      <c r="M21" s="696"/>
      <c r="N21" s="696"/>
      <c r="O21" s="696"/>
      <c r="P21" s="696"/>
      <c r="Q21" s="696"/>
      <c r="R21" s="696"/>
      <c r="S21" s="696"/>
      <c r="T21" s="696"/>
      <c r="U21" s="696"/>
      <c r="V21" s="696"/>
      <c r="W21" s="696"/>
      <c r="X21" s="696"/>
      <c r="Y21" s="696"/>
      <c r="Z21" s="696"/>
      <c r="AA21" s="696"/>
      <c r="AB21" s="696"/>
      <c r="AC21" s="696"/>
      <c r="AD21" s="696"/>
      <c r="AE21" s="696"/>
      <c r="AF21" s="696"/>
      <c r="AG21" s="697"/>
      <c r="AH21" s="373"/>
      <c r="AI21" s="373"/>
      <c r="AJ21" s="373"/>
      <c r="AK21" s="373"/>
      <c r="AM21" s="367" t="str">
        <f t="shared" ref="AM21:AM44" si="0">$I$10</f>
        <v>171963</v>
      </c>
      <c r="AN21" s="367" t="str">
        <f t="shared" ref="AN21:AN44" si="1">$E$15</f>
        <v>PB681E-N(8.1)</v>
      </c>
      <c r="AO21" s="367" t="str">
        <f t="shared" ref="AO21:AO44" si="2">$T$15</f>
        <v>2DG-GC2ADBA-CBAAAB</v>
      </c>
      <c r="AP21" s="367" t="str">
        <f t="shared" ref="AP21:AP44" si="3">$W$12</f>
        <v>大八清掃社</v>
      </c>
      <c r="AQ21" s="367" t="str">
        <f t="shared" ref="AQ21:AQ44" si="4">$A$7</f>
        <v>関西支店</v>
      </c>
      <c r="AR21" s="367" t="str">
        <f t="shared" ref="AR21:AR44" si="5">$M$7</f>
        <v>平井</v>
      </c>
    </row>
    <row r="22" spans="1:44" ht="23.25" customHeight="1" x14ac:dyDescent="0.25">
      <c r="A22" s="703"/>
      <c r="B22" s="704"/>
      <c r="C22" s="695"/>
      <c r="D22" s="696"/>
      <c r="E22" s="696"/>
      <c r="F22" s="696"/>
      <c r="G22" s="696"/>
      <c r="H22" s="696"/>
      <c r="I22" s="696"/>
      <c r="J22" s="696"/>
      <c r="K22" s="696"/>
      <c r="L22" s="696"/>
      <c r="M22" s="696"/>
      <c r="N22" s="696"/>
      <c r="O22" s="696"/>
      <c r="P22" s="696"/>
      <c r="Q22" s="696"/>
      <c r="R22" s="696"/>
      <c r="S22" s="696"/>
      <c r="T22" s="696"/>
      <c r="U22" s="696"/>
      <c r="V22" s="696"/>
      <c r="W22" s="696"/>
      <c r="X22" s="696"/>
      <c r="Y22" s="696"/>
      <c r="Z22" s="696"/>
      <c r="AA22" s="696"/>
      <c r="AB22" s="696"/>
      <c r="AC22" s="696"/>
      <c r="AD22" s="696"/>
      <c r="AE22" s="696"/>
      <c r="AF22" s="696"/>
      <c r="AG22" s="697"/>
      <c r="AH22" s="373"/>
      <c r="AI22" s="373"/>
      <c r="AJ22" s="373"/>
      <c r="AK22" s="373"/>
      <c r="AM22" s="367" t="str">
        <f t="shared" si="0"/>
        <v>171963</v>
      </c>
      <c r="AN22" s="367" t="str">
        <f t="shared" si="1"/>
        <v>PB681E-N(8.1)</v>
      </c>
      <c r="AO22" s="367" t="str">
        <f t="shared" si="2"/>
        <v>2DG-GC2ADBA-CBAAAB</v>
      </c>
      <c r="AP22" s="367" t="str">
        <f t="shared" si="3"/>
        <v>大八清掃社</v>
      </c>
      <c r="AQ22" s="367" t="str">
        <f t="shared" si="4"/>
        <v>関西支店</v>
      </c>
      <c r="AR22" s="367" t="str">
        <f t="shared" si="5"/>
        <v>平井</v>
      </c>
    </row>
    <row r="23" spans="1:44" ht="23.25" customHeight="1" x14ac:dyDescent="0.25">
      <c r="A23" s="703"/>
      <c r="B23" s="704"/>
      <c r="C23" s="695"/>
      <c r="D23" s="696"/>
      <c r="E23" s="696"/>
      <c r="F23" s="696"/>
      <c r="G23" s="696"/>
      <c r="H23" s="696"/>
      <c r="I23" s="696"/>
      <c r="J23" s="696"/>
      <c r="K23" s="696"/>
      <c r="L23" s="696"/>
      <c r="M23" s="696"/>
      <c r="N23" s="696"/>
      <c r="O23" s="696"/>
      <c r="P23" s="696"/>
      <c r="Q23" s="696"/>
      <c r="R23" s="696"/>
      <c r="S23" s="696"/>
      <c r="T23" s="696"/>
      <c r="U23" s="696"/>
      <c r="V23" s="696"/>
      <c r="W23" s="696"/>
      <c r="X23" s="696"/>
      <c r="Y23" s="696"/>
      <c r="Z23" s="696"/>
      <c r="AA23" s="696"/>
      <c r="AB23" s="696"/>
      <c r="AC23" s="696"/>
      <c r="AD23" s="696"/>
      <c r="AE23" s="696"/>
      <c r="AF23" s="696"/>
      <c r="AG23" s="697"/>
      <c r="AH23" s="373"/>
      <c r="AI23" s="373"/>
      <c r="AJ23" s="373"/>
      <c r="AK23" s="373"/>
      <c r="AM23" s="367" t="str">
        <f t="shared" si="0"/>
        <v>171963</v>
      </c>
      <c r="AN23" s="367" t="str">
        <f t="shared" si="1"/>
        <v>PB681E-N(8.1)</v>
      </c>
      <c r="AO23" s="367" t="str">
        <f t="shared" si="2"/>
        <v>2DG-GC2ADBA-CBAAAB</v>
      </c>
      <c r="AP23" s="367" t="str">
        <f t="shared" si="3"/>
        <v>大八清掃社</v>
      </c>
      <c r="AQ23" s="367" t="str">
        <f t="shared" si="4"/>
        <v>関西支店</v>
      </c>
      <c r="AR23" s="367" t="str">
        <f t="shared" si="5"/>
        <v>平井</v>
      </c>
    </row>
    <row r="24" spans="1:44" ht="23.25" customHeight="1" x14ac:dyDescent="0.25">
      <c r="A24" s="703"/>
      <c r="B24" s="704"/>
      <c r="C24" s="695"/>
      <c r="D24" s="696"/>
      <c r="E24" s="696"/>
      <c r="F24" s="696"/>
      <c r="G24" s="696"/>
      <c r="H24" s="696"/>
      <c r="I24" s="696"/>
      <c r="J24" s="696"/>
      <c r="K24" s="696"/>
      <c r="L24" s="696"/>
      <c r="M24" s="696"/>
      <c r="N24" s="696"/>
      <c r="O24" s="696"/>
      <c r="P24" s="696"/>
      <c r="Q24" s="696"/>
      <c r="R24" s="696"/>
      <c r="S24" s="696"/>
      <c r="T24" s="696"/>
      <c r="U24" s="696"/>
      <c r="V24" s="696"/>
      <c r="W24" s="696"/>
      <c r="X24" s="696"/>
      <c r="Y24" s="696"/>
      <c r="Z24" s="696"/>
      <c r="AA24" s="696"/>
      <c r="AB24" s="696"/>
      <c r="AC24" s="696"/>
      <c r="AD24" s="696"/>
      <c r="AE24" s="696"/>
      <c r="AF24" s="696"/>
      <c r="AG24" s="697"/>
      <c r="AH24" s="373"/>
      <c r="AI24" s="373"/>
      <c r="AJ24" s="373"/>
      <c r="AK24" s="373"/>
      <c r="AM24" s="367" t="str">
        <f t="shared" si="0"/>
        <v>171963</v>
      </c>
      <c r="AN24" s="367" t="str">
        <f t="shared" si="1"/>
        <v>PB681E-N(8.1)</v>
      </c>
      <c r="AO24" s="367" t="str">
        <f t="shared" si="2"/>
        <v>2DG-GC2ADBA-CBAAAB</v>
      </c>
      <c r="AP24" s="367" t="str">
        <f t="shared" si="3"/>
        <v>大八清掃社</v>
      </c>
      <c r="AQ24" s="367" t="str">
        <f t="shared" si="4"/>
        <v>関西支店</v>
      </c>
      <c r="AR24" s="367" t="str">
        <f t="shared" si="5"/>
        <v>平井</v>
      </c>
    </row>
    <row r="25" spans="1:44" ht="23.25" customHeight="1" x14ac:dyDescent="0.25">
      <c r="A25" s="703"/>
      <c r="B25" s="704"/>
      <c r="C25" s="695"/>
      <c r="D25" s="696"/>
      <c r="E25" s="696"/>
      <c r="F25" s="696"/>
      <c r="G25" s="696"/>
      <c r="H25" s="696"/>
      <c r="I25" s="696"/>
      <c r="J25" s="696"/>
      <c r="K25" s="696"/>
      <c r="L25" s="696"/>
      <c r="M25" s="696"/>
      <c r="N25" s="696"/>
      <c r="O25" s="696"/>
      <c r="P25" s="696"/>
      <c r="Q25" s="696"/>
      <c r="R25" s="696"/>
      <c r="S25" s="696"/>
      <c r="T25" s="696"/>
      <c r="U25" s="696"/>
      <c r="V25" s="696"/>
      <c r="W25" s="696"/>
      <c r="X25" s="696"/>
      <c r="Y25" s="696"/>
      <c r="Z25" s="696"/>
      <c r="AA25" s="696"/>
      <c r="AB25" s="696"/>
      <c r="AC25" s="696"/>
      <c r="AD25" s="696"/>
      <c r="AE25" s="696"/>
      <c r="AF25" s="696"/>
      <c r="AG25" s="697"/>
      <c r="AH25" s="373"/>
      <c r="AI25" s="373"/>
      <c r="AJ25" s="373"/>
      <c r="AK25" s="373"/>
      <c r="AM25" s="367" t="str">
        <f t="shared" si="0"/>
        <v>171963</v>
      </c>
      <c r="AN25" s="367" t="str">
        <f t="shared" si="1"/>
        <v>PB681E-N(8.1)</v>
      </c>
      <c r="AO25" s="367" t="str">
        <f t="shared" si="2"/>
        <v>2DG-GC2ADBA-CBAAAB</v>
      </c>
      <c r="AP25" s="367" t="str">
        <f t="shared" si="3"/>
        <v>大八清掃社</v>
      </c>
      <c r="AQ25" s="367" t="str">
        <f t="shared" si="4"/>
        <v>関西支店</v>
      </c>
      <c r="AR25" s="367" t="str">
        <f t="shared" si="5"/>
        <v>平井</v>
      </c>
    </row>
    <row r="26" spans="1:44" ht="23.25" customHeight="1" x14ac:dyDescent="0.25">
      <c r="A26" s="703"/>
      <c r="B26" s="704"/>
      <c r="C26" s="695"/>
      <c r="D26" s="696"/>
      <c r="E26" s="696"/>
      <c r="F26" s="696"/>
      <c r="G26" s="696"/>
      <c r="H26" s="696"/>
      <c r="I26" s="696"/>
      <c r="J26" s="696"/>
      <c r="K26" s="696"/>
      <c r="L26" s="696"/>
      <c r="M26" s="696"/>
      <c r="N26" s="696"/>
      <c r="O26" s="696"/>
      <c r="P26" s="696"/>
      <c r="Q26" s="696"/>
      <c r="R26" s="696"/>
      <c r="S26" s="696"/>
      <c r="T26" s="696"/>
      <c r="U26" s="696"/>
      <c r="V26" s="696"/>
      <c r="W26" s="696"/>
      <c r="X26" s="696"/>
      <c r="Y26" s="696"/>
      <c r="Z26" s="696"/>
      <c r="AA26" s="696"/>
      <c r="AB26" s="696"/>
      <c r="AC26" s="696"/>
      <c r="AD26" s="696"/>
      <c r="AE26" s="696"/>
      <c r="AF26" s="696"/>
      <c r="AG26" s="697"/>
      <c r="AH26" s="373"/>
      <c r="AI26" s="373"/>
      <c r="AJ26" s="373"/>
      <c r="AK26" s="373"/>
      <c r="AM26" s="367" t="str">
        <f t="shared" si="0"/>
        <v>171963</v>
      </c>
      <c r="AN26" s="367" t="str">
        <f t="shared" si="1"/>
        <v>PB681E-N(8.1)</v>
      </c>
      <c r="AO26" s="367" t="str">
        <f t="shared" si="2"/>
        <v>2DG-GC2ADBA-CBAAAB</v>
      </c>
      <c r="AP26" s="367" t="str">
        <f t="shared" si="3"/>
        <v>大八清掃社</v>
      </c>
      <c r="AQ26" s="367" t="str">
        <f t="shared" si="4"/>
        <v>関西支店</v>
      </c>
      <c r="AR26" s="367" t="str">
        <f t="shared" si="5"/>
        <v>平井</v>
      </c>
    </row>
    <row r="27" spans="1:44" ht="23.25" customHeight="1" x14ac:dyDescent="0.25">
      <c r="A27" s="703"/>
      <c r="B27" s="704"/>
      <c r="C27" s="695"/>
      <c r="D27" s="696"/>
      <c r="E27" s="696"/>
      <c r="F27" s="696"/>
      <c r="G27" s="696"/>
      <c r="H27" s="696"/>
      <c r="I27" s="696"/>
      <c r="J27" s="696"/>
      <c r="K27" s="696"/>
      <c r="L27" s="696"/>
      <c r="M27" s="696"/>
      <c r="N27" s="696"/>
      <c r="O27" s="696"/>
      <c r="P27" s="696"/>
      <c r="Q27" s="696"/>
      <c r="R27" s="696"/>
      <c r="S27" s="696"/>
      <c r="T27" s="696"/>
      <c r="U27" s="696"/>
      <c r="V27" s="696"/>
      <c r="W27" s="696"/>
      <c r="X27" s="696"/>
      <c r="Y27" s="696"/>
      <c r="Z27" s="696"/>
      <c r="AA27" s="696"/>
      <c r="AB27" s="696"/>
      <c r="AC27" s="696"/>
      <c r="AD27" s="696"/>
      <c r="AE27" s="696"/>
      <c r="AF27" s="696"/>
      <c r="AG27" s="697"/>
      <c r="AH27" s="373"/>
      <c r="AI27" s="373"/>
      <c r="AJ27" s="373"/>
      <c r="AK27" s="373"/>
      <c r="AM27" s="367" t="str">
        <f t="shared" si="0"/>
        <v>171963</v>
      </c>
      <c r="AN27" s="367" t="str">
        <f t="shared" si="1"/>
        <v>PB681E-N(8.1)</v>
      </c>
      <c r="AO27" s="367" t="str">
        <f t="shared" si="2"/>
        <v>2DG-GC2ADBA-CBAAAB</v>
      </c>
      <c r="AP27" s="367" t="str">
        <f t="shared" si="3"/>
        <v>大八清掃社</v>
      </c>
      <c r="AQ27" s="367" t="str">
        <f t="shared" si="4"/>
        <v>関西支店</v>
      </c>
      <c r="AR27" s="367" t="str">
        <f t="shared" si="5"/>
        <v>平井</v>
      </c>
    </row>
    <row r="28" spans="1:44" ht="23.25" customHeight="1" x14ac:dyDescent="0.25">
      <c r="A28" s="703"/>
      <c r="B28" s="704"/>
      <c r="C28" s="695"/>
      <c r="D28" s="696"/>
      <c r="E28" s="696"/>
      <c r="F28" s="696"/>
      <c r="G28" s="696"/>
      <c r="H28" s="696"/>
      <c r="I28" s="696"/>
      <c r="J28" s="696"/>
      <c r="K28" s="696"/>
      <c r="L28" s="696"/>
      <c r="M28" s="696"/>
      <c r="N28" s="696"/>
      <c r="O28" s="696"/>
      <c r="P28" s="696"/>
      <c r="Q28" s="696"/>
      <c r="R28" s="696"/>
      <c r="S28" s="696"/>
      <c r="T28" s="696"/>
      <c r="U28" s="696"/>
      <c r="V28" s="696"/>
      <c r="W28" s="696"/>
      <c r="X28" s="696"/>
      <c r="Y28" s="696"/>
      <c r="Z28" s="696"/>
      <c r="AA28" s="696"/>
      <c r="AB28" s="696"/>
      <c r="AC28" s="696"/>
      <c r="AD28" s="696"/>
      <c r="AE28" s="696"/>
      <c r="AF28" s="696"/>
      <c r="AG28" s="697"/>
      <c r="AH28" s="373"/>
      <c r="AI28" s="373"/>
      <c r="AJ28" s="373"/>
      <c r="AK28" s="373"/>
      <c r="AM28" s="367" t="str">
        <f t="shared" si="0"/>
        <v>171963</v>
      </c>
      <c r="AN28" s="367" t="str">
        <f t="shared" si="1"/>
        <v>PB681E-N(8.1)</v>
      </c>
      <c r="AO28" s="367" t="str">
        <f t="shared" si="2"/>
        <v>2DG-GC2ADBA-CBAAAB</v>
      </c>
      <c r="AP28" s="367" t="str">
        <f t="shared" si="3"/>
        <v>大八清掃社</v>
      </c>
      <c r="AQ28" s="367" t="str">
        <f t="shared" si="4"/>
        <v>関西支店</v>
      </c>
      <c r="AR28" s="367" t="str">
        <f t="shared" si="5"/>
        <v>平井</v>
      </c>
    </row>
    <row r="29" spans="1:44" ht="23.25" customHeight="1" x14ac:dyDescent="0.25">
      <c r="A29" s="703"/>
      <c r="B29" s="704"/>
      <c r="C29" s="695"/>
      <c r="D29" s="696"/>
      <c r="E29" s="696"/>
      <c r="F29" s="696"/>
      <c r="G29" s="696"/>
      <c r="H29" s="696"/>
      <c r="I29" s="696"/>
      <c r="J29" s="696"/>
      <c r="K29" s="696"/>
      <c r="L29" s="696"/>
      <c r="M29" s="696"/>
      <c r="N29" s="696"/>
      <c r="O29" s="696"/>
      <c r="P29" s="696"/>
      <c r="Q29" s="696"/>
      <c r="R29" s="696"/>
      <c r="S29" s="696"/>
      <c r="T29" s="696"/>
      <c r="U29" s="696"/>
      <c r="V29" s="696"/>
      <c r="W29" s="696"/>
      <c r="X29" s="696"/>
      <c r="Y29" s="696"/>
      <c r="Z29" s="696"/>
      <c r="AA29" s="696"/>
      <c r="AB29" s="696"/>
      <c r="AC29" s="696"/>
      <c r="AD29" s="696"/>
      <c r="AE29" s="696"/>
      <c r="AF29" s="696"/>
      <c r="AG29" s="697"/>
      <c r="AH29" s="373"/>
      <c r="AI29" s="373"/>
      <c r="AJ29" s="373"/>
      <c r="AK29" s="373"/>
      <c r="AM29" s="367" t="str">
        <f t="shared" si="0"/>
        <v>171963</v>
      </c>
      <c r="AN29" s="367" t="str">
        <f t="shared" si="1"/>
        <v>PB681E-N(8.1)</v>
      </c>
      <c r="AO29" s="367" t="str">
        <f t="shared" si="2"/>
        <v>2DG-GC2ADBA-CBAAAB</v>
      </c>
      <c r="AP29" s="367" t="str">
        <f t="shared" si="3"/>
        <v>大八清掃社</v>
      </c>
      <c r="AQ29" s="367" t="str">
        <f t="shared" si="4"/>
        <v>関西支店</v>
      </c>
      <c r="AR29" s="367" t="str">
        <f t="shared" si="5"/>
        <v>平井</v>
      </c>
    </row>
    <row r="30" spans="1:44" ht="23.25" customHeight="1" x14ac:dyDescent="0.25">
      <c r="A30" s="703"/>
      <c r="B30" s="704"/>
      <c r="C30" s="695"/>
      <c r="D30" s="696"/>
      <c r="E30" s="696"/>
      <c r="F30" s="696"/>
      <c r="G30" s="696"/>
      <c r="H30" s="696"/>
      <c r="I30" s="696"/>
      <c r="J30" s="696"/>
      <c r="K30" s="696"/>
      <c r="L30" s="696"/>
      <c r="M30" s="696"/>
      <c r="N30" s="696"/>
      <c r="O30" s="696"/>
      <c r="P30" s="696"/>
      <c r="Q30" s="696"/>
      <c r="R30" s="696"/>
      <c r="S30" s="696"/>
      <c r="T30" s="696"/>
      <c r="U30" s="696"/>
      <c r="V30" s="696"/>
      <c r="W30" s="696"/>
      <c r="X30" s="696"/>
      <c r="Y30" s="696"/>
      <c r="Z30" s="696"/>
      <c r="AA30" s="696"/>
      <c r="AB30" s="696"/>
      <c r="AC30" s="696"/>
      <c r="AD30" s="696"/>
      <c r="AE30" s="696"/>
      <c r="AF30" s="696"/>
      <c r="AG30" s="697"/>
      <c r="AH30" s="373"/>
      <c r="AI30" s="373"/>
      <c r="AJ30" s="373"/>
      <c r="AK30" s="373"/>
      <c r="AM30" s="367" t="str">
        <f t="shared" si="0"/>
        <v>171963</v>
      </c>
      <c r="AN30" s="367" t="str">
        <f t="shared" si="1"/>
        <v>PB681E-N(8.1)</v>
      </c>
      <c r="AO30" s="367" t="str">
        <f t="shared" si="2"/>
        <v>2DG-GC2ADBA-CBAAAB</v>
      </c>
      <c r="AP30" s="367" t="str">
        <f t="shared" si="3"/>
        <v>大八清掃社</v>
      </c>
      <c r="AQ30" s="367" t="str">
        <f t="shared" si="4"/>
        <v>関西支店</v>
      </c>
      <c r="AR30" s="367" t="str">
        <f t="shared" si="5"/>
        <v>平井</v>
      </c>
    </row>
    <row r="31" spans="1:44" ht="23.25" customHeight="1" x14ac:dyDescent="0.25">
      <c r="A31" s="703"/>
      <c r="B31" s="704"/>
      <c r="C31" s="695"/>
      <c r="D31" s="696"/>
      <c r="E31" s="696"/>
      <c r="F31" s="696"/>
      <c r="G31" s="696"/>
      <c r="H31" s="696"/>
      <c r="I31" s="696"/>
      <c r="J31" s="696"/>
      <c r="K31" s="696"/>
      <c r="L31" s="696"/>
      <c r="M31" s="696"/>
      <c r="N31" s="696"/>
      <c r="O31" s="696"/>
      <c r="P31" s="696"/>
      <c r="Q31" s="696"/>
      <c r="R31" s="696"/>
      <c r="S31" s="696"/>
      <c r="T31" s="696"/>
      <c r="U31" s="696"/>
      <c r="V31" s="696"/>
      <c r="W31" s="696"/>
      <c r="X31" s="696"/>
      <c r="Y31" s="696"/>
      <c r="Z31" s="696"/>
      <c r="AA31" s="696"/>
      <c r="AB31" s="696"/>
      <c r="AC31" s="696"/>
      <c r="AD31" s="696"/>
      <c r="AE31" s="696"/>
      <c r="AF31" s="696"/>
      <c r="AG31" s="697"/>
      <c r="AH31" s="373"/>
      <c r="AI31" s="373"/>
      <c r="AJ31" s="373"/>
      <c r="AK31" s="373"/>
      <c r="AM31" s="367" t="str">
        <f t="shared" si="0"/>
        <v>171963</v>
      </c>
      <c r="AN31" s="367" t="str">
        <f t="shared" si="1"/>
        <v>PB681E-N(8.1)</v>
      </c>
      <c r="AO31" s="367" t="str">
        <f t="shared" si="2"/>
        <v>2DG-GC2ADBA-CBAAAB</v>
      </c>
      <c r="AP31" s="367" t="str">
        <f t="shared" si="3"/>
        <v>大八清掃社</v>
      </c>
      <c r="AQ31" s="367" t="str">
        <f t="shared" si="4"/>
        <v>関西支店</v>
      </c>
      <c r="AR31" s="367" t="str">
        <f t="shared" si="5"/>
        <v>平井</v>
      </c>
    </row>
    <row r="32" spans="1:44" ht="23.25" customHeight="1" x14ac:dyDescent="0.25">
      <c r="A32" s="703"/>
      <c r="B32" s="704"/>
      <c r="C32" s="695"/>
      <c r="D32" s="696"/>
      <c r="E32" s="696"/>
      <c r="F32" s="696"/>
      <c r="G32" s="696"/>
      <c r="H32" s="696"/>
      <c r="I32" s="696"/>
      <c r="J32" s="696"/>
      <c r="K32" s="696"/>
      <c r="L32" s="696"/>
      <c r="M32" s="696"/>
      <c r="N32" s="696"/>
      <c r="O32" s="696"/>
      <c r="P32" s="696"/>
      <c r="Q32" s="696"/>
      <c r="R32" s="696"/>
      <c r="S32" s="696"/>
      <c r="T32" s="696"/>
      <c r="U32" s="696"/>
      <c r="V32" s="696"/>
      <c r="W32" s="696"/>
      <c r="X32" s="696"/>
      <c r="Y32" s="696"/>
      <c r="Z32" s="696"/>
      <c r="AA32" s="696"/>
      <c r="AB32" s="696"/>
      <c r="AC32" s="696"/>
      <c r="AD32" s="696"/>
      <c r="AE32" s="696"/>
      <c r="AF32" s="696"/>
      <c r="AG32" s="697"/>
      <c r="AH32" s="373"/>
      <c r="AI32" s="373"/>
      <c r="AJ32" s="373"/>
      <c r="AK32" s="373"/>
      <c r="AM32" s="367" t="str">
        <f t="shared" si="0"/>
        <v>171963</v>
      </c>
      <c r="AN32" s="367" t="str">
        <f t="shared" si="1"/>
        <v>PB681E-N(8.1)</v>
      </c>
      <c r="AO32" s="367" t="str">
        <f t="shared" si="2"/>
        <v>2DG-GC2ADBA-CBAAAB</v>
      </c>
      <c r="AP32" s="367" t="str">
        <f t="shared" si="3"/>
        <v>大八清掃社</v>
      </c>
      <c r="AQ32" s="367" t="str">
        <f t="shared" si="4"/>
        <v>関西支店</v>
      </c>
      <c r="AR32" s="367" t="str">
        <f t="shared" si="5"/>
        <v>平井</v>
      </c>
    </row>
    <row r="33" spans="1:44" ht="23.25" customHeight="1" x14ac:dyDescent="0.25">
      <c r="A33" s="693" t="s">
        <v>355</v>
      </c>
      <c r="B33" s="694"/>
      <c r="C33" s="705" t="s">
        <v>1529</v>
      </c>
      <c r="D33" s="696"/>
      <c r="E33" s="696"/>
      <c r="F33" s="696"/>
      <c r="G33" s="696"/>
      <c r="H33" s="696"/>
      <c r="I33" s="696"/>
      <c r="J33" s="696"/>
      <c r="K33" s="696"/>
      <c r="L33" s="696"/>
      <c r="M33" s="696"/>
      <c r="N33" s="696"/>
      <c r="O33" s="696"/>
      <c r="P33" s="696"/>
      <c r="Q33" s="696"/>
      <c r="R33" s="696"/>
      <c r="S33" s="696"/>
      <c r="T33" s="696"/>
      <c r="U33" s="696"/>
      <c r="V33" s="696"/>
      <c r="W33" s="696"/>
      <c r="X33" s="696"/>
      <c r="Y33" s="696"/>
      <c r="Z33" s="696"/>
      <c r="AA33" s="696"/>
      <c r="AB33" s="696"/>
      <c r="AC33" s="696"/>
      <c r="AD33" s="696"/>
      <c r="AE33" s="696"/>
      <c r="AF33" s="696"/>
      <c r="AG33" s="697"/>
      <c r="AH33" s="373"/>
      <c r="AI33" s="373"/>
      <c r="AJ33" s="373"/>
      <c r="AK33" s="373"/>
      <c r="AM33" s="367" t="str">
        <f t="shared" si="0"/>
        <v>171963</v>
      </c>
      <c r="AN33" s="367" t="str">
        <f t="shared" si="1"/>
        <v>PB681E-N(8.1)</v>
      </c>
      <c r="AO33" s="367" t="str">
        <f t="shared" si="2"/>
        <v>2DG-GC2ADBA-CBAAAB</v>
      </c>
      <c r="AP33" s="367" t="str">
        <f t="shared" si="3"/>
        <v>大八清掃社</v>
      </c>
      <c r="AQ33" s="367" t="str">
        <f t="shared" si="4"/>
        <v>関西支店</v>
      </c>
      <c r="AR33" s="367" t="str">
        <f t="shared" si="5"/>
        <v>平井</v>
      </c>
    </row>
    <row r="34" spans="1:44" ht="23.25" customHeight="1" x14ac:dyDescent="0.25">
      <c r="A34" s="693"/>
      <c r="B34" s="694"/>
      <c r="C34" s="705" t="s">
        <v>1530</v>
      </c>
      <c r="D34" s="696"/>
      <c r="E34" s="696"/>
      <c r="F34" s="696"/>
      <c r="G34" s="696"/>
      <c r="H34" s="696"/>
      <c r="I34" s="696"/>
      <c r="J34" s="696"/>
      <c r="K34" s="696"/>
      <c r="L34" s="696"/>
      <c r="M34" s="696"/>
      <c r="N34" s="696"/>
      <c r="O34" s="696"/>
      <c r="P34" s="696"/>
      <c r="Q34" s="696"/>
      <c r="R34" s="696"/>
      <c r="S34" s="696"/>
      <c r="T34" s="696"/>
      <c r="U34" s="696"/>
      <c r="V34" s="696"/>
      <c r="W34" s="696"/>
      <c r="X34" s="696"/>
      <c r="Y34" s="696"/>
      <c r="Z34" s="696"/>
      <c r="AA34" s="696"/>
      <c r="AB34" s="696"/>
      <c r="AC34" s="696"/>
      <c r="AD34" s="696"/>
      <c r="AE34" s="696"/>
      <c r="AF34" s="696"/>
      <c r="AG34" s="697"/>
      <c r="AH34" s="373"/>
      <c r="AI34" s="373"/>
      <c r="AJ34" s="373"/>
      <c r="AK34" s="373"/>
      <c r="AM34" s="367" t="str">
        <f t="shared" si="0"/>
        <v>171963</v>
      </c>
      <c r="AN34" s="367" t="str">
        <f t="shared" si="1"/>
        <v>PB681E-N(8.1)</v>
      </c>
      <c r="AO34" s="367" t="str">
        <f t="shared" si="2"/>
        <v>2DG-GC2ADBA-CBAAAB</v>
      </c>
      <c r="AP34" s="367" t="str">
        <f t="shared" si="3"/>
        <v>大八清掃社</v>
      </c>
      <c r="AQ34" s="367" t="str">
        <f t="shared" si="4"/>
        <v>関西支店</v>
      </c>
      <c r="AR34" s="367" t="str">
        <f t="shared" si="5"/>
        <v>平井</v>
      </c>
    </row>
    <row r="35" spans="1:44" ht="23.25" customHeight="1" x14ac:dyDescent="0.25">
      <c r="A35" s="693"/>
      <c r="B35" s="694"/>
      <c r="C35" s="695"/>
      <c r="D35" s="696"/>
      <c r="E35" s="696"/>
      <c r="F35" s="696"/>
      <c r="G35" s="696"/>
      <c r="H35" s="696"/>
      <c r="I35" s="696"/>
      <c r="J35" s="696"/>
      <c r="K35" s="696"/>
      <c r="L35" s="696"/>
      <c r="M35" s="696"/>
      <c r="N35" s="696"/>
      <c r="O35" s="696"/>
      <c r="P35" s="696"/>
      <c r="Q35" s="696"/>
      <c r="R35" s="696"/>
      <c r="S35" s="696"/>
      <c r="T35" s="696"/>
      <c r="U35" s="696"/>
      <c r="V35" s="696"/>
      <c r="W35" s="696"/>
      <c r="X35" s="696"/>
      <c r="Y35" s="696"/>
      <c r="Z35" s="696"/>
      <c r="AA35" s="696"/>
      <c r="AB35" s="696"/>
      <c r="AC35" s="696"/>
      <c r="AD35" s="696"/>
      <c r="AE35" s="696"/>
      <c r="AF35" s="696"/>
      <c r="AG35" s="697"/>
      <c r="AH35" s="373"/>
      <c r="AI35" s="373"/>
      <c r="AJ35" s="373"/>
      <c r="AK35" s="373"/>
      <c r="AM35" s="367" t="str">
        <f t="shared" si="0"/>
        <v>171963</v>
      </c>
      <c r="AN35" s="367" t="str">
        <f t="shared" si="1"/>
        <v>PB681E-N(8.1)</v>
      </c>
      <c r="AO35" s="367" t="str">
        <f t="shared" si="2"/>
        <v>2DG-GC2ADBA-CBAAAB</v>
      </c>
      <c r="AP35" s="367" t="str">
        <f t="shared" si="3"/>
        <v>大八清掃社</v>
      </c>
      <c r="AQ35" s="367" t="str">
        <f t="shared" si="4"/>
        <v>関西支店</v>
      </c>
      <c r="AR35" s="367" t="str">
        <f t="shared" si="5"/>
        <v>平井</v>
      </c>
    </row>
    <row r="36" spans="1:44" ht="23.25" customHeight="1" x14ac:dyDescent="0.25">
      <c r="A36" s="693"/>
      <c r="B36" s="694"/>
      <c r="C36" s="695"/>
      <c r="D36" s="696"/>
      <c r="E36" s="696"/>
      <c r="F36" s="696"/>
      <c r="G36" s="696"/>
      <c r="H36" s="696"/>
      <c r="I36" s="696"/>
      <c r="J36" s="696"/>
      <c r="K36" s="696"/>
      <c r="L36" s="696"/>
      <c r="M36" s="696"/>
      <c r="N36" s="696"/>
      <c r="O36" s="696"/>
      <c r="P36" s="696"/>
      <c r="Q36" s="696"/>
      <c r="R36" s="696"/>
      <c r="S36" s="696"/>
      <c r="T36" s="696"/>
      <c r="U36" s="696"/>
      <c r="V36" s="696"/>
      <c r="W36" s="696"/>
      <c r="X36" s="696"/>
      <c r="Y36" s="696"/>
      <c r="Z36" s="696"/>
      <c r="AA36" s="696"/>
      <c r="AB36" s="696"/>
      <c r="AC36" s="696"/>
      <c r="AD36" s="696"/>
      <c r="AE36" s="696"/>
      <c r="AF36" s="696"/>
      <c r="AG36" s="697"/>
      <c r="AH36" s="373"/>
      <c r="AI36" s="373"/>
      <c r="AJ36" s="373"/>
      <c r="AK36" s="373"/>
      <c r="AM36" s="367" t="str">
        <f t="shared" si="0"/>
        <v>171963</v>
      </c>
      <c r="AN36" s="367" t="str">
        <f t="shared" si="1"/>
        <v>PB681E-N(8.1)</v>
      </c>
      <c r="AO36" s="367" t="str">
        <f t="shared" si="2"/>
        <v>2DG-GC2ADBA-CBAAAB</v>
      </c>
      <c r="AP36" s="367" t="str">
        <f t="shared" si="3"/>
        <v>大八清掃社</v>
      </c>
      <c r="AQ36" s="367" t="str">
        <f t="shared" si="4"/>
        <v>関西支店</v>
      </c>
      <c r="AR36" s="367" t="str">
        <f t="shared" si="5"/>
        <v>平井</v>
      </c>
    </row>
    <row r="37" spans="1:44" ht="23.25" customHeight="1" x14ac:dyDescent="0.25">
      <c r="A37" s="693"/>
      <c r="B37" s="694"/>
      <c r="C37" s="695"/>
      <c r="D37" s="696"/>
      <c r="E37" s="696"/>
      <c r="F37" s="696"/>
      <c r="G37" s="696"/>
      <c r="H37" s="696"/>
      <c r="I37" s="696"/>
      <c r="J37" s="696"/>
      <c r="K37" s="696"/>
      <c r="L37" s="696"/>
      <c r="M37" s="696"/>
      <c r="N37" s="696"/>
      <c r="O37" s="696"/>
      <c r="P37" s="696"/>
      <c r="Q37" s="696"/>
      <c r="R37" s="696"/>
      <c r="S37" s="696"/>
      <c r="T37" s="696"/>
      <c r="U37" s="696"/>
      <c r="V37" s="696"/>
      <c r="W37" s="696"/>
      <c r="X37" s="696"/>
      <c r="Y37" s="696"/>
      <c r="Z37" s="696"/>
      <c r="AA37" s="696"/>
      <c r="AB37" s="696"/>
      <c r="AC37" s="696"/>
      <c r="AD37" s="696"/>
      <c r="AE37" s="696"/>
      <c r="AF37" s="696"/>
      <c r="AG37" s="697"/>
      <c r="AH37" s="373"/>
      <c r="AI37" s="373"/>
      <c r="AJ37" s="373"/>
      <c r="AK37" s="373"/>
      <c r="AM37" s="367" t="str">
        <f t="shared" si="0"/>
        <v>171963</v>
      </c>
      <c r="AN37" s="367" t="str">
        <f t="shared" si="1"/>
        <v>PB681E-N(8.1)</v>
      </c>
      <c r="AO37" s="367" t="str">
        <f t="shared" si="2"/>
        <v>2DG-GC2ADBA-CBAAAB</v>
      </c>
      <c r="AP37" s="367" t="str">
        <f t="shared" si="3"/>
        <v>大八清掃社</v>
      </c>
      <c r="AQ37" s="367" t="str">
        <f t="shared" si="4"/>
        <v>関西支店</v>
      </c>
      <c r="AR37" s="367" t="str">
        <f t="shared" si="5"/>
        <v>平井</v>
      </c>
    </row>
    <row r="38" spans="1:44" ht="23.25" customHeight="1" x14ac:dyDescent="0.25">
      <c r="A38" s="693"/>
      <c r="B38" s="694"/>
      <c r="C38" s="695"/>
      <c r="D38" s="696"/>
      <c r="E38" s="696"/>
      <c r="F38" s="696"/>
      <c r="G38" s="696"/>
      <c r="H38" s="696"/>
      <c r="I38" s="696"/>
      <c r="J38" s="696"/>
      <c r="K38" s="696"/>
      <c r="L38" s="696"/>
      <c r="M38" s="696"/>
      <c r="N38" s="696"/>
      <c r="O38" s="696"/>
      <c r="P38" s="696"/>
      <c r="Q38" s="696"/>
      <c r="R38" s="696"/>
      <c r="S38" s="696"/>
      <c r="T38" s="696"/>
      <c r="U38" s="696"/>
      <c r="V38" s="696"/>
      <c r="W38" s="696"/>
      <c r="X38" s="696"/>
      <c r="Y38" s="696"/>
      <c r="Z38" s="696"/>
      <c r="AA38" s="696"/>
      <c r="AB38" s="696"/>
      <c r="AC38" s="696"/>
      <c r="AD38" s="696"/>
      <c r="AE38" s="696"/>
      <c r="AF38" s="696"/>
      <c r="AG38" s="697"/>
      <c r="AH38" s="373"/>
      <c r="AI38" s="373"/>
      <c r="AJ38" s="373"/>
      <c r="AK38" s="373"/>
      <c r="AM38" s="367" t="str">
        <f t="shared" si="0"/>
        <v>171963</v>
      </c>
      <c r="AN38" s="367" t="str">
        <f t="shared" si="1"/>
        <v>PB681E-N(8.1)</v>
      </c>
      <c r="AO38" s="367" t="str">
        <f t="shared" si="2"/>
        <v>2DG-GC2ADBA-CBAAAB</v>
      </c>
      <c r="AP38" s="367" t="str">
        <f t="shared" si="3"/>
        <v>大八清掃社</v>
      </c>
      <c r="AQ38" s="367" t="str">
        <f t="shared" si="4"/>
        <v>関西支店</v>
      </c>
      <c r="AR38" s="367" t="str">
        <f t="shared" si="5"/>
        <v>平井</v>
      </c>
    </row>
    <row r="39" spans="1:44" ht="23.25" customHeight="1" x14ac:dyDescent="0.25">
      <c r="A39" s="693"/>
      <c r="B39" s="694"/>
      <c r="C39" s="695"/>
      <c r="D39" s="696"/>
      <c r="E39" s="696"/>
      <c r="F39" s="696"/>
      <c r="G39" s="696"/>
      <c r="H39" s="696"/>
      <c r="I39" s="696"/>
      <c r="J39" s="696"/>
      <c r="K39" s="696"/>
      <c r="L39" s="696"/>
      <c r="M39" s="696"/>
      <c r="N39" s="696"/>
      <c r="O39" s="696"/>
      <c r="P39" s="696"/>
      <c r="Q39" s="696"/>
      <c r="R39" s="696"/>
      <c r="S39" s="696"/>
      <c r="T39" s="696"/>
      <c r="U39" s="696"/>
      <c r="V39" s="696"/>
      <c r="W39" s="696"/>
      <c r="X39" s="696"/>
      <c r="Y39" s="696"/>
      <c r="Z39" s="696"/>
      <c r="AA39" s="696"/>
      <c r="AB39" s="696"/>
      <c r="AC39" s="696"/>
      <c r="AD39" s="696"/>
      <c r="AE39" s="696"/>
      <c r="AF39" s="696"/>
      <c r="AG39" s="697"/>
      <c r="AH39" s="373"/>
      <c r="AI39" s="373"/>
      <c r="AJ39" s="373"/>
      <c r="AK39" s="373"/>
      <c r="AM39" s="367" t="str">
        <f t="shared" si="0"/>
        <v>171963</v>
      </c>
      <c r="AN39" s="367" t="str">
        <f t="shared" si="1"/>
        <v>PB681E-N(8.1)</v>
      </c>
      <c r="AO39" s="367" t="str">
        <f t="shared" si="2"/>
        <v>2DG-GC2ADBA-CBAAAB</v>
      </c>
      <c r="AP39" s="367" t="str">
        <f t="shared" si="3"/>
        <v>大八清掃社</v>
      </c>
      <c r="AQ39" s="367" t="str">
        <f t="shared" si="4"/>
        <v>関西支店</v>
      </c>
      <c r="AR39" s="367" t="str">
        <f t="shared" si="5"/>
        <v>平井</v>
      </c>
    </row>
    <row r="40" spans="1:44" ht="23.25" customHeight="1" x14ac:dyDescent="0.25">
      <c r="A40" s="693"/>
      <c r="B40" s="694"/>
      <c r="C40" s="695"/>
      <c r="D40" s="696"/>
      <c r="E40" s="696"/>
      <c r="F40" s="696"/>
      <c r="G40" s="696"/>
      <c r="H40" s="696"/>
      <c r="I40" s="696"/>
      <c r="J40" s="696"/>
      <c r="K40" s="696"/>
      <c r="L40" s="696"/>
      <c r="M40" s="696"/>
      <c r="N40" s="696"/>
      <c r="O40" s="696"/>
      <c r="P40" s="696"/>
      <c r="Q40" s="696"/>
      <c r="R40" s="696"/>
      <c r="S40" s="696"/>
      <c r="T40" s="696"/>
      <c r="U40" s="696"/>
      <c r="V40" s="696"/>
      <c r="W40" s="696"/>
      <c r="X40" s="696"/>
      <c r="Y40" s="696"/>
      <c r="Z40" s="696"/>
      <c r="AA40" s="696"/>
      <c r="AB40" s="696"/>
      <c r="AC40" s="696"/>
      <c r="AD40" s="696"/>
      <c r="AE40" s="696"/>
      <c r="AF40" s="696"/>
      <c r="AG40" s="697"/>
      <c r="AH40" s="373"/>
      <c r="AI40" s="373"/>
      <c r="AJ40" s="373"/>
      <c r="AK40" s="373"/>
      <c r="AM40" s="367" t="str">
        <f t="shared" si="0"/>
        <v>171963</v>
      </c>
      <c r="AN40" s="367" t="str">
        <f t="shared" si="1"/>
        <v>PB681E-N(8.1)</v>
      </c>
      <c r="AO40" s="367" t="str">
        <f t="shared" si="2"/>
        <v>2DG-GC2ADBA-CBAAAB</v>
      </c>
      <c r="AP40" s="367" t="str">
        <f t="shared" si="3"/>
        <v>大八清掃社</v>
      </c>
      <c r="AQ40" s="367" t="str">
        <f t="shared" si="4"/>
        <v>関西支店</v>
      </c>
      <c r="AR40" s="367" t="str">
        <f t="shared" si="5"/>
        <v>平井</v>
      </c>
    </row>
    <row r="41" spans="1:44" ht="23.25" customHeight="1" x14ac:dyDescent="0.25">
      <c r="A41" s="693"/>
      <c r="B41" s="694"/>
      <c r="C41" s="695"/>
      <c r="D41" s="696"/>
      <c r="E41" s="696"/>
      <c r="F41" s="696"/>
      <c r="G41" s="696"/>
      <c r="H41" s="696"/>
      <c r="I41" s="696"/>
      <c r="J41" s="696"/>
      <c r="K41" s="696"/>
      <c r="L41" s="696"/>
      <c r="M41" s="696"/>
      <c r="N41" s="696"/>
      <c r="O41" s="696"/>
      <c r="P41" s="696"/>
      <c r="Q41" s="696"/>
      <c r="R41" s="696"/>
      <c r="S41" s="696"/>
      <c r="T41" s="696"/>
      <c r="U41" s="696"/>
      <c r="V41" s="696"/>
      <c r="W41" s="696"/>
      <c r="X41" s="696"/>
      <c r="Y41" s="696"/>
      <c r="Z41" s="696"/>
      <c r="AA41" s="696"/>
      <c r="AB41" s="696"/>
      <c r="AC41" s="696"/>
      <c r="AD41" s="696"/>
      <c r="AE41" s="696"/>
      <c r="AF41" s="696"/>
      <c r="AG41" s="697"/>
      <c r="AH41" s="373"/>
      <c r="AI41" s="373"/>
      <c r="AJ41" s="373"/>
      <c r="AK41" s="373"/>
      <c r="AM41" s="367" t="str">
        <f t="shared" si="0"/>
        <v>171963</v>
      </c>
      <c r="AN41" s="367" t="str">
        <f t="shared" si="1"/>
        <v>PB681E-N(8.1)</v>
      </c>
      <c r="AO41" s="367" t="str">
        <f t="shared" si="2"/>
        <v>2DG-GC2ADBA-CBAAAB</v>
      </c>
      <c r="AP41" s="367" t="str">
        <f t="shared" si="3"/>
        <v>大八清掃社</v>
      </c>
      <c r="AQ41" s="367" t="str">
        <f t="shared" si="4"/>
        <v>関西支店</v>
      </c>
      <c r="AR41" s="367" t="str">
        <f t="shared" si="5"/>
        <v>平井</v>
      </c>
    </row>
    <row r="42" spans="1:44" ht="23.25" customHeight="1" x14ac:dyDescent="0.25">
      <c r="A42" s="693"/>
      <c r="B42" s="694"/>
      <c r="C42" s="695"/>
      <c r="D42" s="696"/>
      <c r="E42" s="696"/>
      <c r="F42" s="696"/>
      <c r="G42" s="696"/>
      <c r="H42" s="696"/>
      <c r="I42" s="696"/>
      <c r="J42" s="696"/>
      <c r="K42" s="696"/>
      <c r="L42" s="696"/>
      <c r="M42" s="696"/>
      <c r="N42" s="696"/>
      <c r="O42" s="696"/>
      <c r="P42" s="696"/>
      <c r="Q42" s="696"/>
      <c r="R42" s="696"/>
      <c r="S42" s="696"/>
      <c r="T42" s="696"/>
      <c r="U42" s="696"/>
      <c r="V42" s="696"/>
      <c r="W42" s="696"/>
      <c r="X42" s="696"/>
      <c r="Y42" s="696"/>
      <c r="Z42" s="696"/>
      <c r="AA42" s="696"/>
      <c r="AB42" s="696"/>
      <c r="AC42" s="696"/>
      <c r="AD42" s="696"/>
      <c r="AE42" s="696"/>
      <c r="AF42" s="696"/>
      <c r="AG42" s="697"/>
      <c r="AH42" s="373"/>
      <c r="AI42" s="373"/>
      <c r="AJ42" s="373"/>
      <c r="AK42" s="373"/>
      <c r="AM42" s="367" t="str">
        <f t="shared" si="0"/>
        <v>171963</v>
      </c>
      <c r="AN42" s="367" t="str">
        <f t="shared" si="1"/>
        <v>PB681E-N(8.1)</v>
      </c>
      <c r="AO42" s="367" t="str">
        <f t="shared" si="2"/>
        <v>2DG-GC2ADBA-CBAAAB</v>
      </c>
      <c r="AP42" s="367" t="str">
        <f t="shared" si="3"/>
        <v>大八清掃社</v>
      </c>
      <c r="AQ42" s="367" t="str">
        <f t="shared" si="4"/>
        <v>関西支店</v>
      </c>
      <c r="AR42" s="367" t="str">
        <f t="shared" si="5"/>
        <v>平井</v>
      </c>
    </row>
    <row r="43" spans="1:44" ht="23.25" customHeight="1" x14ac:dyDescent="0.25">
      <c r="A43" s="693"/>
      <c r="B43" s="694"/>
      <c r="C43" s="695"/>
      <c r="D43" s="696"/>
      <c r="E43" s="696"/>
      <c r="F43" s="696"/>
      <c r="G43" s="696"/>
      <c r="H43" s="696"/>
      <c r="I43" s="696"/>
      <c r="J43" s="696"/>
      <c r="K43" s="696"/>
      <c r="L43" s="696"/>
      <c r="M43" s="696"/>
      <c r="N43" s="696"/>
      <c r="O43" s="696"/>
      <c r="P43" s="696"/>
      <c r="Q43" s="696"/>
      <c r="R43" s="696"/>
      <c r="S43" s="696"/>
      <c r="T43" s="696"/>
      <c r="U43" s="696"/>
      <c r="V43" s="696"/>
      <c r="W43" s="696"/>
      <c r="X43" s="696"/>
      <c r="Y43" s="696"/>
      <c r="Z43" s="696"/>
      <c r="AA43" s="696"/>
      <c r="AB43" s="696"/>
      <c r="AC43" s="696"/>
      <c r="AD43" s="696"/>
      <c r="AE43" s="696"/>
      <c r="AF43" s="696"/>
      <c r="AG43" s="697"/>
      <c r="AH43" s="373"/>
      <c r="AI43" s="373"/>
      <c r="AJ43" s="373"/>
      <c r="AK43" s="373"/>
      <c r="AM43" s="367" t="str">
        <f t="shared" si="0"/>
        <v>171963</v>
      </c>
      <c r="AN43" s="367" t="str">
        <f t="shared" si="1"/>
        <v>PB681E-N(8.1)</v>
      </c>
      <c r="AO43" s="367" t="str">
        <f t="shared" si="2"/>
        <v>2DG-GC2ADBA-CBAAAB</v>
      </c>
      <c r="AP43" s="367" t="str">
        <f t="shared" si="3"/>
        <v>大八清掃社</v>
      </c>
      <c r="AQ43" s="367" t="str">
        <f t="shared" si="4"/>
        <v>関西支店</v>
      </c>
      <c r="AR43" s="367" t="str">
        <f t="shared" si="5"/>
        <v>平井</v>
      </c>
    </row>
    <row r="44" spans="1:44" ht="23.25" customHeight="1" x14ac:dyDescent="0.25">
      <c r="A44" s="698"/>
      <c r="B44" s="699"/>
      <c r="C44" s="700"/>
      <c r="D44" s="701"/>
      <c r="E44" s="701"/>
      <c r="F44" s="701"/>
      <c r="G44" s="701"/>
      <c r="H44" s="701"/>
      <c r="I44" s="701"/>
      <c r="J44" s="701"/>
      <c r="K44" s="701"/>
      <c r="L44" s="701"/>
      <c r="M44" s="701"/>
      <c r="N44" s="701"/>
      <c r="O44" s="701"/>
      <c r="P44" s="701"/>
      <c r="Q44" s="701"/>
      <c r="R44" s="701"/>
      <c r="S44" s="701"/>
      <c r="T44" s="701"/>
      <c r="U44" s="701"/>
      <c r="V44" s="701"/>
      <c r="W44" s="701"/>
      <c r="X44" s="701"/>
      <c r="Y44" s="701"/>
      <c r="Z44" s="701"/>
      <c r="AA44" s="701"/>
      <c r="AB44" s="701"/>
      <c r="AC44" s="701"/>
      <c r="AD44" s="701"/>
      <c r="AE44" s="701"/>
      <c r="AF44" s="701"/>
      <c r="AG44" s="702"/>
      <c r="AH44" s="374"/>
      <c r="AI44" s="374"/>
      <c r="AJ44" s="374"/>
      <c r="AK44" s="374"/>
      <c r="AM44" s="367" t="str">
        <f t="shared" si="0"/>
        <v>171963</v>
      </c>
      <c r="AN44" s="367" t="str">
        <f t="shared" si="1"/>
        <v>PB681E-N(8.1)</v>
      </c>
      <c r="AO44" s="367" t="str">
        <f t="shared" si="2"/>
        <v>2DG-GC2ADBA-CBAAAB</v>
      </c>
      <c r="AP44" s="367" t="str">
        <f t="shared" si="3"/>
        <v>大八清掃社</v>
      </c>
      <c r="AQ44" s="367" t="str">
        <f t="shared" si="4"/>
        <v>関西支店</v>
      </c>
      <c r="AR44" s="367" t="str">
        <f t="shared" si="5"/>
        <v>平井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M15:AR18"/>
    <mergeCell ref="AJ17:AJ18"/>
    <mergeCell ref="AK17:AK18"/>
    <mergeCell ref="AH12:AH16"/>
    <mergeCell ref="AI12:AI16"/>
    <mergeCell ref="AJ12:AJ16"/>
    <mergeCell ref="AK12:AK16"/>
    <mergeCell ref="A29:B29"/>
    <mergeCell ref="C29:AG29"/>
    <mergeCell ref="A24:B24"/>
    <mergeCell ref="C24:AG24"/>
    <mergeCell ref="A22:B22"/>
    <mergeCell ref="C22:AG22"/>
    <mergeCell ref="A25:B25"/>
    <mergeCell ref="C25:AG25"/>
    <mergeCell ref="A28:B28"/>
    <mergeCell ref="C28:AG28"/>
    <mergeCell ref="A27:B27"/>
    <mergeCell ref="C27:AG27"/>
    <mergeCell ref="C19:AG19"/>
    <mergeCell ref="W13:Z14"/>
    <mergeCell ref="A20:B20"/>
    <mergeCell ref="C20:AG20"/>
    <mergeCell ref="A21:B21"/>
    <mergeCell ref="A30:B30"/>
    <mergeCell ref="C30:AG30"/>
    <mergeCell ref="A31:B31"/>
    <mergeCell ref="C31:AG31"/>
    <mergeCell ref="AH5:AK5"/>
    <mergeCell ref="AH6:AK6"/>
    <mergeCell ref="AH7:AK7"/>
    <mergeCell ref="AH10:AI11"/>
    <mergeCell ref="S7:U9"/>
    <mergeCell ref="V7:X9"/>
    <mergeCell ref="Y7:AA9"/>
    <mergeCell ref="AH8:AI8"/>
    <mergeCell ref="Z10:AD10"/>
    <mergeCell ref="AE10:AG10"/>
    <mergeCell ref="A17:K18"/>
    <mergeCell ref="L17:AG18"/>
    <mergeCell ref="AH17:AH18"/>
    <mergeCell ref="AI17:AI18"/>
    <mergeCell ref="Z16:AA16"/>
    <mergeCell ref="A15:D15"/>
    <mergeCell ref="AA15:AC15"/>
    <mergeCell ref="M15:Q15"/>
    <mergeCell ref="A23:B23"/>
    <mergeCell ref="C23:AG23"/>
    <mergeCell ref="C21:AG21"/>
    <mergeCell ref="F10:H10"/>
    <mergeCell ref="I10:Y10"/>
    <mergeCell ref="A11:D12"/>
    <mergeCell ref="E11:R12"/>
    <mergeCell ref="S11:V12"/>
    <mergeCell ref="W11:AG11"/>
    <mergeCell ref="T15:Z15"/>
    <mergeCell ref="A16:X16"/>
    <mergeCell ref="X4:AB4"/>
    <mergeCell ref="AC4:AG4"/>
    <mergeCell ref="A3:Q4"/>
    <mergeCell ref="R3:U4"/>
    <mergeCell ref="A1:C1"/>
    <mergeCell ref="E1:I1"/>
    <mergeCell ref="X3:AB3"/>
    <mergeCell ref="AC3:AG3"/>
    <mergeCell ref="W12:AG12"/>
    <mergeCell ref="A10:E10"/>
    <mergeCell ref="AB7:AG9"/>
    <mergeCell ref="A7:I9"/>
    <mergeCell ref="J7:L9"/>
    <mergeCell ref="M7:O9"/>
    <mergeCell ref="P7:R9"/>
    <mergeCell ref="A32:B32"/>
    <mergeCell ref="C32:AG32"/>
    <mergeCell ref="A33:B33"/>
    <mergeCell ref="C33:AG33"/>
    <mergeCell ref="A34:B34"/>
    <mergeCell ref="C34:AG34"/>
    <mergeCell ref="S6:AA6"/>
    <mergeCell ref="AB6:AG6"/>
    <mergeCell ref="A26:B26"/>
    <mergeCell ref="C26:AG26"/>
    <mergeCell ref="A6:I6"/>
    <mergeCell ref="J6:L6"/>
    <mergeCell ref="M6:O6"/>
    <mergeCell ref="P6:R6"/>
    <mergeCell ref="A13:D14"/>
    <mergeCell ref="L13:O14"/>
    <mergeCell ref="E13:K14"/>
    <mergeCell ref="P13:V14"/>
    <mergeCell ref="AA13:AG14"/>
    <mergeCell ref="AD15:AG15"/>
    <mergeCell ref="K15:L15"/>
    <mergeCell ref="E15:J15"/>
    <mergeCell ref="R15:S15"/>
    <mergeCell ref="A19:B19"/>
    <mergeCell ref="A35:B35"/>
    <mergeCell ref="C35:AG35"/>
    <mergeCell ref="A36:B36"/>
    <mergeCell ref="C36:AG36"/>
    <mergeCell ref="A39:B39"/>
    <mergeCell ref="C39:AG39"/>
    <mergeCell ref="A37:B37"/>
    <mergeCell ref="C37:AG37"/>
    <mergeCell ref="A38:B38"/>
    <mergeCell ref="C38:AG38"/>
    <mergeCell ref="A43:B43"/>
    <mergeCell ref="C43:AG43"/>
    <mergeCell ref="A44:B44"/>
    <mergeCell ref="C44:AG44"/>
    <mergeCell ref="A40:B40"/>
    <mergeCell ref="C40:AG40"/>
    <mergeCell ref="A41:B41"/>
    <mergeCell ref="C41:AG41"/>
    <mergeCell ref="A42:B42"/>
    <mergeCell ref="C42:AG42"/>
  </mergeCells>
  <phoneticPr fontId="2"/>
  <dataValidations count="1">
    <dataValidation type="list" allowBlank="1" showInputMessage="1" showErrorMessage="1" sqref="A20:B20 A21:B21 A22:B44" xr:uid="{00000000-0002-0000-03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写真の挿入">
                <anchor moveWithCells="1" sizeWithCells="1">
                  <from>
                    <xdr:col>33</xdr:col>
                    <xdr:colOff>133350</xdr:colOff>
                    <xdr:row>1</xdr:row>
                    <xdr:rowOff>19050</xdr:rowOff>
                  </from>
                  <to>
                    <xdr:col>36</xdr:col>
                    <xdr:colOff>1238250</xdr:colOff>
                    <xdr:row>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indexed="45"/>
  </sheetPr>
  <dimension ref="A1:AR84"/>
  <sheetViews>
    <sheetView showZeros="0" zoomScaleNormal="100" workbookViewId="0">
      <selection activeCell="AJ8" sqref="AJ8"/>
    </sheetView>
  </sheetViews>
  <sheetFormatPr defaultColWidth="2.59765625" defaultRowHeight="12.75" x14ac:dyDescent="0.25"/>
  <cols>
    <col min="1" max="33" width="2.86328125" style="176" customWidth="1"/>
    <col min="34" max="34" width="8.73046875" style="176" customWidth="1"/>
    <col min="35" max="35" width="8.1328125" style="176" customWidth="1"/>
    <col min="36" max="36" width="24.59765625" style="176" customWidth="1"/>
    <col min="37" max="37" width="36.59765625" style="176" customWidth="1"/>
    <col min="38" max="38" width="2.59765625" style="176" customWidth="1"/>
    <col min="39" max="44" width="8.59765625" style="176" customWidth="1"/>
    <col min="45" max="16384" width="2.59765625" style="176"/>
  </cols>
  <sheetData>
    <row r="1" spans="1:44" ht="18" customHeight="1" x14ac:dyDescent="0.25">
      <c r="A1" s="748"/>
      <c r="B1" s="748"/>
      <c r="C1" s="748"/>
      <c r="D1" s="171"/>
      <c r="E1" s="749"/>
      <c r="F1" s="749"/>
      <c r="G1" s="749"/>
      <c r="H1" s="749"/>
      <c r="I1" s="749"/>
      <c r="J1" s="171"/>
      <c r="K1" s="172"/>
      <c r="L1" s="173"/>
      <c r="M1" s="173"/>
      <c r="N1" s="173"/>
      <c r="O1" s="173"/>
      <c r="P1" s="173"/>
      <c r="Q1" s="173"/>
      <c r="R1" s="173"/>
      <c r="S1" s="173"/>
      <c r="T1" s="173"/>
      <c r="U1" s="173"/>
      <c r="V1" s="173"/>
      <c r="W1" s="173"/>
      <c r="X1" s="173"/>
      <c r="Y1" s="173"/>
      <c r="Z1" s="173"/>
      <c r="AA1" s="173"/>
      <c r="AB1" s="173"/>
      <c r="AC1" s="174" t="s">
        <v>53</v>
      </c>
      <c r="AD1" s="371"/>
      <c r="AE1" s="175" t="s">
        <v>811</v>
      </c>
      <c r="AF1" s="371"/>
      <c r="AG1" s="173" t="s">
        <v>54</v>
      </c>
    </row>
    <row r="2" spans="1:44" ht="3" customHeight="1" x14ac:dyDescent="0.25">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row>
    <row r="3" spans="1:44" ht="18" customHeight="1" x14ac:dyDescent="0.4">
      <c r="A3" s="742" t="s">
        <v>763</v>
      </c>
      <c r="B3" s="743"/>
      <c r="C3" s="743"/>
      <c r="D3" s="743"/>
      <c r="E3" s="743"/>
      <c r="F3" s="743"/>
      <c r="G3" s="743"/>
      <c r="H3" s="743"/>
      <c r="I3" s="743"/>
      <c r="J3" s="743"/>
      <c r="K3" s="743"/>
      <c r="L3" s="743"/>
      <c r="M3" s="743"/>
      <c r="N3" s="743"/>
      <c r="O3" s="743"/>
      <c r="P3" s="743"/>
      <c r="Q3" s="743"/>
      <c r="R3" s="746" t="str">
        <f>受注仕様書!C4</f>
        <v>Vol.2.5</v>
      </c>
      <c r="S3" s="746"/>
      <c r="T3" s="746"/>
      <c r="U3" s="746"/>
      <c r="V3" s="388"/>
      <c r="W3" s="388"/>
      <c r="X3" s="750" t="s">
        <v>764</v>
      </c>
      <c r="Y3" s="750"/>
      <c r="Z3" s="750"/>
      <c r="AA3" s="750"/>
      <c r="AB3" s="750"/>
      <c r="AC3" s="751"/>
      <c r="AD3" s="751"/>
      <c r="AE3" s="751"/>
      <c r="AF3" s="751"/>
      <c r="AG3" s="752"/>
    </row>
    <row r="4" spans="1:44" ht="18" customHeight="1" x14ac:dyDescent="0.4">
      <c r="A4" s="744"/>
      <c r="B4" s="745"/>
      <c r="C4" s="745"/>
      <c r="D4" s="745"/>
      <c r="E4" s="745"/>
      <c r="F4" s="745"/>
      <c r="G4" s="745"/>
      <c r="H4" s="745"/>
      <c r="I4" s="745"/>
      <c r="J4" s="745"/>
      <c r="K4" s="745"/>
      <c r="L4" s="745"/>
      <c r="M4" s="745"/>
      <c r="N4" s="745"/>
      <c r="O4" s="745"/>
      <c r="P4" s="745"/>
      <c r="Q4" s="745"/>
      <c r="R4" s="747"/>
      <c r="S4" s="747"/>
      <c r="T4" s="747"/>
      <c r="U4" s="747"/>
      <c r="V4" s="389"/>
      <c r="W4" s="389"/>
      <c r="X4" s="738" t="s">
        <v>765</v>
      </c>
      <c r="Y4" s="738"/>
      <c r="Z4" s="738"/>
      <c r="AA4" s="738"/>
      <c r="AB4" s="738"/>
      <c r="AC4" s="739">
        <v>43257</v>
      </c>
      <c r="AD4" s="740"/>
      <c r="AE4" s="740"/>
      <c r="AF4" s="740"/>
      <c r="AG4" s="741"/>
    </row>
    <row r="5" spans="1:44" ht="13.5" customHeight="1" x14ac:dyDescent="0.25">
      <c r="A5" s="178"/>
      <c r="B5" s="179"/>
      <c r="C5" s="180"/>
      <c r="D5" s="180"/>
      <c r="E5" s="180"/>
      <c r="F5" s="180"/>
      <c r="G5" s="180"/>
      <c r="H5" s="180"/>
      <c r="I5" s="180"/>
      <c r="J5" s="180"/>
      <c r="K5" s="180"/>
      <c r="L5" s="180"/>
      <c r="M5" s="390"/>
      <c r="N5" s="390"/>
      <c r="O5" s="390"/>
      <c r="P5" s="180"/>
      <c r="Q5" s="180"/>
      <c r="R5" s="180"/>
      <c r="S5" s="180"/>
      <c r="T5" s="180"/>
      <c r="U5" s="180"/>
      <c r="V5" s="179"/>
      <c r="W5" s="179"/>
      <c r="X5" s="179"/>
      <c r="Y5" s="179"/>
      <c r="Z5" s="179"/>
      <c r="AA5" s="179"/>
      <c r="AB5" s="179"/>
      <c r="AC5" s="179"/>
      <c r="AD5" s="179"/>
      <c r="AE5" s="179"/>
      <c r="AF5" s="179"/>
      <c r="AG5" s="181"/>
      <c r="AH5" s="783" t="s">
        <v>510</v>
      </c>
      <c r="AI5" s="784"/>
      <c r="AJ5" s="784"/>
      <c r="AK5" s="784"/>
    </row>
    <row r="6" spans="1:44" ht="18" customHeight="1" x14ac:dyDescent="0.25">
      <c r="A6" s="712" t="s">
        <v>766</v>
      </c>
      <c r="B6" s="713"/>
      <c r="C6" s="713"/>
      <c r="D6" s="713"/>
      <c r="E6" s="713"/>
      <c r="F6" s="713"/>
      <c r="G6" s="713"/>
      <c r="H6" s="713"/>
      <c r="I6" s="713"/>
      <c r="J6" s="713" t="s">
        <v>767</v>
      </c>
      <c r="K6" s="713"/>
      <c r="L6" s="713"/>
      <c r="M6" s="713" t="s">
        <v>768</v>
      </c>
      <c r="N6" s="713"/>
      <c r="O6" s="713"/>
      <c r="P6" s="713" t="s">
        <v>769</v>
      </c>
      <c r="Q6" s="713"/>
      <c r="R6" s="714"/>
      <c r="S6" s="706" t="s">
        <v>770</v>
      </c>
      <c r="T6" s="707"/>
      <c r="U6" s="707"/>
      <c r="V6" s="707"/>
      <c r="W6" s="707"/>
      <c r="X6" s="707"/>
      <c r="Y6" s="707"/>
      <c r="Z6" s="707"/>
      <c r="AA6" s="708"/>
      <c r="AB6" s="709" t="s">
        <v>636</v>
      </c>
      <c r="AC6" s="710"/>
      <c r="AD6" s="710"/>
      <c r="AE6" s="710"/>
      <c r="AF6" s="710"/>
      <c r="AG6" s="711"/>
      <c r="AH6" s="783" t="s">
        <v>511</v>
      </c>
      <c r="AI6" s="784"/>
      <c r="AJ6" s="784"/>
      <c r="AK6" s="784"/>
    </row>
    <row r="7" spans="1:44" ht="13.5" customHeight="1" x14ac:dyDescent="0.25">
      <c r="A7" s="763" t="str">
        <f>受注仕様書!L8</f>
        <v>関西支店</v>
      </c>
      <c r="B7" s="764"/>
      <c r="C7" s="764"/>
      <c r="D7" s="764"/>
      <c r="E7" s="764"/>
      <c r="F7" s="764"/>
      <c r="G7" s="764"/>
      <c r="H7" s="764"/>
      <c r="I7" s="764"/>
      <c r="J7" s="764" t="str">
        <f>受注仕様書!U6</f>
        <v>古林</v>
      </c>
      <c r="K7" s="764"/>
      <c r="L7" s="764"/>
      <c r="M7" s="764" t="str">
        <f>受注仕様書!Y6</f>
        <v>平井</v>
      </c>
      <c r="N7" s="764"/>
      <c r="O7" s="764"/>
      <c r="P7" s="764" t="str">
        <f>受注仕様書!AC6</f>
        <v>山北</v>
      </c>
      <c r="Q7" s="764"/>
      <c r="R7" s="767"/>
      <c r="S7" s="791"/>
      <c r="T7" s="792"/>
      <c r="U7" s="792"/>
      <c r="V7" s="792"/>
      <c r="W7" s="792"/>
      <c r="X7" s="792"/>
      <c r="Y7" s="792"/>
      <c r="Z7" s="792"/>
      <c r="AA7" s="795"/>
      <c r="AB7" s="757">
        <f>受注仕様書!L13</f>
        <v>0</v>
      </c>
      <c r="AC7" s="758"/>
      <c r="AD7" s="758"/>
      <c r="AE7" s="758"/>
      <c r="AF7" s="758"/>
      <c r="AG7" s="759"/>
      <c r="AH7" s="785" t="s">
        <v>512</v>
      </c>
      <c r="AI7" s="786"/>
      <c r="AJ7" s="786"/>
      <c r="AK7" s="786"/>
    </row>
    <row r="8" spans="1:44" ht="13.5" customHeight="1" x14ac:dyDescent="0.25">
      <c r="A8" s="763"/>
      <c r="B8" s="764"/>
      <c r="C8" s="764"/>
      <c r="D8" s="764"/>
      <c r="E8" s="764"/>
      <c r="F8" s="764"/>
      <c r="G8" s="764"/>
      <c r="H8" s="764"/>
      <c r="I8" s="764"/>
      <c r="J8" s="764"/>
      <c r="K8" s="764"/>
      <c r="L8" s="764"/>
      <c r="M8" s="764"/>
      <c r="N8" s="764"/>
      <c r="O8" s="764"/>
      <c r="P8" s="764"/>
      <c r="Q8" s="764"/>
      <c r="R8" s="767"/>
      <c r="S8" s="791"/>
      <c r="T8" s="792"/>
      <c r="U8" s="792"/>
      <c r="V8" s="792"/>
      <c r="W8" s="792"/>
      <c r="X8" s="792"/>
      <c r="Y8" s="792"/>
      <c r="Z8" s="792"/>
      <c r="AA8" s="795"/>
      <c r="AB8" s="757"/>
      <c r="AC8" s="758"/>
      <c r="AD8" s="758"/>
      <c r="AE8" s="758"/>
      <c r="AF8" s="758"/>
      <c r="AG8" s="759"/>
      <c r="AH8" s="797">
        <f>SUM(AH9:AI9)</f>
        <v>0</v>
      </c>
      <c r="AI8" s="797"/>
      <c r="AJ8" s="112"/>
      <c r="AK8" s="112"/>
    </row>
    <row r="9" spans="1:44" ht="13.5" customHeight="1" x14ac:dyDescent="0.25">
      <c r="A9" s="765"/>
      <c r="B9" s="766"/>
      <c r="C9" s="766"/>
      <c r="D9" s="766"/>
      <c r="E9" s="766"/>
      <c r="F9" s="766"/>
      <c r="G9" s="766"/>
      <c r="H9" s="766"/>
      <c r="I9" s="766"/>
      <c r="J9" s="766"/>
      <c r="K9" s="766"/>
      <c r="L9" s="766"/>
      <c r="M9" s="766"/>
      <c r="N9" s="766"/>
      <c r="O9" s="766"/>
      <c r="P9" s="766"/>
      <c r="Q9" s="766"/>
      <c r="R9" s="768"/>
      <c r="S9" s="793"/>
      <c r="T9" s="794"/>
      <c r="U9" s="794"/>
      <c r="V9" s="794"/>
      <c r="W9" s="794"/>
      <c r="X9" s="794"/>
      <c r="Y9" s="794"/>
      <c r="Z9" s="794"/>
      <c r="AA9" s="796"/>
      <c r="AB9" s="760"/>
      <c r="AC9" s="761"/>
      <c r="AD9" s="761"/>
      <c r="AE9" s="761"/>
      <c r="AF9" s="761"/>
      <c r="AG9" s="762"/>
      <c r="AH9" s="510">
        <f>SUM(AH20:AH44)</f>
        <v>0</v>
      </c>
      <c r="AI9" s="510">
        <f>SUM(AI20:AI44)</f>
        <v>0</v>
      </c>
      <c r="AJ9" s="112"/>
      <c r="AK9" s="112"/>
    </row>
    <row r="10" spans="1:44" ht="24.75" customHeight="1" x14ac:dyDescent="0.25">
      <c r="A10" s="755" t="s">
        <v>771</v>
      </c>
      <c r="B10" s="756"/>
      <c r="C10" s="756"/>
      <c r="D10" s="756"/>
      <c r="E10" s="756"/>
      <c r="F10" s="769" t="s">
        <v>772</v>
      </c>
      <c r="G10" s="770"/>
      <c r="H10" s="771"/>
      <c r="I10" s="772" t="str">
        <f>受注仕様書!AG8</f>
        <v>171963</v>
      </c>
      <c r="J10" s="773"/>
      <c r="K10" s="773"/>
      <c r="L10" s="773"/>
      <c r="M10" s="773"/>
      <c r="N10" s="773"/>
      <c r="O10" s="773"/>
      <c r="P10" s="773"/>
      <c r="Q10" s="773"/>
      <c r="R10" s="773"/>
      <c r="S10" s="773"/>
      <c r="T10" s="773"/>
      <c r="U10" s="773"/>
      <c r="V10" s="773"/>
      <c r="W10" s="773"/>
      <c r="X10" s="773"/>
      <c r="Y10" s="774"/>
      <c r="Z10" s="798" t="s">
        <v>773</v>
      </c>
      <c r="AA10" s="799"/>
      <c r="AB10" s="799"/>
      <c r="AC10" s="799"/>
      <c r="AD10" s="800"/>
      <c r="AE10" s="801" t="s">
        <v>1547</v>
      </c>
      <c r="AF10" s="802"/>
      <c r="AG10" s="803"/>
      <c r="AH10" s="787" t="s">
        <v>774</v>
      </c>
      <c r="AI10" s="788"/>
      <c r="AJ10" s="112"/>
      <c r="AK10" s="112"/>
    </row>
    <row r="11" spans="1:44" ht="10.5" customHeight="1" x14ac:dyDescent="0.25">
      <c r="A11" s="775" t="s">
        <v>775</v>
      </c>
      <c r="B11" s="776"/>
      <c r="C11" s="776"/>
      <c r="D11" s="776"/>
      <c r="E11" s="777" t="str">
        <f>受注仕様書!L9</f>
        <v>大阪日野自動車㈱</v>
      </c>
      <c r="F11" s="722"/>
      <c r="G11" s="722"/>
      <c r="H11" s="722"/>
      <c r="I11" s="722"/>
      <c r="J11" s="722"/>
      <c r="K11" s="722"/>
      <c r="L11" s="722"/>
      <c r="M11" s="722"/>
      <c r="N11" s="722"/>
      <c r="O11" s="722"/>
      <c r="P11" s="722"/>
      <c r="Q11" s="722"/>
      <c r="R11" s="723"/>
      <c r="S11" s="778" t="s">
        <v>813</v>
      </c>
      <c r="T11" s="716"/>
      <c r="U11" s="716"/>
      <c r="V11" s="716"/>
      <c r="W11" s="779" t="str">
        <f>受注仕様書!AG9</f>
        <v>ﾀﾞｲﾊﾁｾｲｿｳｼｬ</v>
      </c>
      <c r="X11" s="779"/>
      <c r="Y11" s="779"/>
      <c r="Z11" s="779"/>
      <c r="AA11" s="779"/>
      <c r="AB11" s="779"/>
      <c r="AC11" s="779"/>
      <c r="AD11" s="779"/>
      <c r="AE11" s="779"/>
      <c r="AF11" s="779"/>
      <c r="AG11" s="780"/>
      <c r="AH11" s="789"/>
      <c r="AI11" s="790"/>
      <c r="AJ11" s="112"/>
      <c r="AK11" s="112"/>
    </row>
    <row r="12" spans="1:44" ht="25.5" customHeight="1" x14ac:dyDescent="0.25">
      <c r="A12" s="775"/>
      <c r="B12" s="776"/>
      <c r="C12" s="776"/>
      <c r="D12" s="776"/>
      <c r="E12" s="724"/>
      <c r="F12" s="725"/>
      <c r="G12" s="725"/>
      <c r="H12" s="725"/>
      <c r="I12" s="725"/>
      <c r="J12" s="725"/>
      <c r="K12" s="725"/>
      <c r="L12" s="725"/>
      <c r="M12" s="725"/>
      <c r="N12" s="725"/>
      <c r="O12" s="725"/>
      <c r="P12" s="725"/>
      <c r="Q12" s="725"/>
      <c r="R12" s="726"/>
      <c r="S12" s="716"/>
      <c r="T12" s="716"/>
      <c r="U12" s="716"/>
      <c r="V12" s="716"/>
      <c r="W12" s="753" t="str">
        <f>受注仕様書!AG10</f>
        <v>大八清掃社</v>
      </c>
      <c r="X12" s="753"/>
      <c r="Y12" s="753"/>
      <c r="Z12" s="753"/>
      <c r="AA12" s="753"/>
      <c r="AB12" s="753"/>
      <c r="AC12" s="753"/>
      <c r="AD12" s="753"/>
      <c r="AE12" s="753"/>
      <c r="AF12" s="753"/>
      <c r="AG12" s="754"/>
      <c r="AH12" s="834" t="s">
        <v>795</v>
      </c>
      <c r="AI12" s="834" t="s">
        <v>796</v>
      </c>
      <c r="AJ12" s="834" t="s">
        <v>797</v>
      </c>
      <c r="AK12" s="834" t="s">
        <v>798</v>
      </c>
    </row>
    <row r="13" spans="1:44" ht="18" customHeight="1" x14ac:dyDescent="0.25">
      <c r="A13" s="715" t="s">
        <v>799</v>
      </c>
      <c r="B13" s="716"/>
      <c r="C13" s="716"/>
      <c r="D13" s="716"/>
      <c r="E13" s="721">
        <f>受注仕様書!AG17</f>
        <v>43320</v>
      </c>
      <c r="F13" s="722"/>
      <c r="G13" s="722"/>
      <c r="H13" s="722"/>
      <c r="I13" s="722"/>
      <c r="J13" s="722"/>
      <c r="K13" s="723"/>
      <c r="L13" s="719" t="s">
        <v>800</v>
      </c>
      <c r="M13" s="719"/>
      <c r="N13" s="719"/>
      <c r="O13" s="719"/>
      <c r="P13" s="721">
        <f>受注仕様書!L11</f>
        <v>43376</v>
      </c>
      <c r="Q13" s="722"/>
      <c r="R13" s="722"/>
      <c r="S13" s="722"/>
      <c r="T13" s="722"/>
      <c r="U13" s="722"/>
      <c r="V13" s="723"/>
      <c r="W13" s="840" t="s">
        <v>313</v>
      </c>
      <c r="X13" s="841"/>
      <c r="Y13" s="841"/>
      <c r="Z13" s="842"/>
      <c r="AA13" s="721">
        <f>受注仕様書!AG11</f>
        <v>43399</v>
      </c>
      <c r="AB13" s="722"/>
      <c r="AC13" s="722"/>
      <c r="AD13" s="722"/>
      <c r="AE13" s="722"/>
      <c r="AF13" s="722"/>
      <c r="AG13" s="727"/>
      <c r="AH13" s="835"/>
      <c r="AI13" s="835"/>
      <c r="AJ13" s="835"/>
      <c r="AK13" s="835"/>
    </row>
    <row r="14" spans="1:44" ht="17.25" customHeight="1" x14ac:dyDescent="0.25">
      <c r="A14" s="717"/>
      <c r="B14" s="718"/>
      <c r="C14" s="718"/>
      <c r="D14" s="718"/>
      <c r="E14" s="724"/>
      <c r="F14" s="725"/>
      <c r="G14" s="725"/>
      <c r="H14" s="725"/>
      <c r="I14" s="725"/>
      <c r="J14" s="725"/>
      <c r="K14" s="726"/>
      <c r="L14" s="720"/>
      <c r="M14" s="720"/>
      <c r="N14" s="720"/>
      <c r="O14" s="720"/>
      <c r="P14" s="724"/>
      <c r="Q14" s="725"/>
      <c r="R14" s="725"/>
      <c r="S14" s="725"/>
      <c r="T14" s="725"/>
      <c r="U14" s="725"/>
      <c r="V14" s="726"/>
      <c r="W14" s="843"/>
      <c r="X14" s="844"/>
      <c r="Y14" s="844"/>
      <c r="Z14" s="845"/>
      <c r="AA14" s="724"/>
      <c r="AB14" s="725"/>
      <c r="AC14" s="725"/>
      <c r="AD14" s="725"/>
      <c r="AE14" s="725"/>
      <c r="AF14" s="725"/>
      <c r="AG14" s="728"/>
      <c r="AH14" s="835"/>
      <c r="AI14" s="835"/>
      <c r="AJ14" s="835"/>
      <c r="AK14" s="835"/>
    </row>
    <row r="15" spans="1:44" ht="18" customHeight="1" x14ac:dyDescent="0.25">
      <c r="A15" s="817" t="s">
        <v>801</v>
      </c>
      <c r="B15" s="818"/>
      <c r="C15" s="818"/>
      <c r="D15" s="819"/>
      <c r="E15" s="732" t="str">
        <f>受注仕様書!L27</f>
        <v>PB681E-N(8.1)</v>
      </c>
      <c r="F15" s="733"/>
      <c r="G15" s="733"/>
      <c r="H15" s="733"/>
      <c r="I15" s="733"/>
      <c r="J15" s="734"/>
      <c r="K15" s="731" t="s">
        <v>802</v>
      </c>
      <c r="L15" s="731"/>
      <c r="M15" s="820" t="str">
        <f>受注仕様書!L16</f>
        <v>日野</v>
      </c>
      <c r="N15" s="820"/>
      <c r="O15" s="820"/>
      <c r="P15" s="820"/>
      <c r="Q15" s="820"/>
      <c r="R15" s="735" t="s">
        <v>803</v>
      </c>
      <c r="S15" s="735"/>
      <c r="T15" s="732" t="str">
        <f>受注仕様書!AG16</f>
        <v>2DG-GC2ADBA-CBAAAB</v>
      </c>
      <c r="U15" s="733"/>
      <c r="V15" s="733"/>
      <c r="W15" s="733"/>
      <c r="X15" s="733"/>
      <c r="Y15" s="733"/>
      <c r="Z15" s="734"/>
      <c r="AA15" s="731" t="s">
        <v>804</v>
      </c>
      <c r="AB15" s="731"/>
      <c r="AC15" s="731"/>
      <c r="AD15" s="729">
        <f>受注仕様書!L17</f>
        <v>0</v>
      </c>
      <c r="AE15" s="729"/>
      <c r="AF15" s="729"/>
      <c r="AG15" s="730"/>
      <c r="AH15" s="835"/>
      <c r="AI15" s="835"/>
      <c r="AJ15" s="835"/>
      <c r="AK15" s="835"/>
      <c r="AM15" s="821" t="s">
        <v>505</v>
      </c>
      <c r="AN15" s="822"/>
      <c r="AO15" s="822"/>
      <c r="AP15" s="822"/>
      <c r="AQ15" s="822"/>
      <c r="AR15" s="823"/>
    </row>
    <row r="16" spans="1:44" ht="18" customHeight="1" x14ac:dyDescent="0.25">
      <c r="A16" s="781" t="s">
        <v>807</v>
      </c>
      <c r="B16" s="782"/>
      <c r="C16" s="782"/>
      <c r="D16" s="782"/>
      <c r="E16" s="782"/>
      <c r="F16" s="782"/>
      <c r="G16" s="782"/>
      <c r="H16" s="782"/>
      <c r="I16" s="782"/>
      <c r="J16" s="782"/>
      <c r="K16" s="782"/>
      <c r="L16" s="782"/>
      <c r="M16" s="782"/>
      <c r="N16" s="782"/>
      <c r="O16" s="782"/>
      <c r="P16" s="782"/>
      <c r="Q16" s="782"/>
      <c r="R16" s="782"/>
      <c r="S16" s="782"/>
      <c r="T16" s="782"/>
      <c r="U16" s="782"/>
      <c r="V16" s="782"/>
      <c r="W16" s="782"/>
      <c r="X16" s="782"/>
      <c r="Y16" s="511" t="s">
        <v>53</v>
      </c>
      <c r="Z16" s="815">
        <f>受注仕様書!AL13</f>
        <v>0</v>
      </c>
      <c r="AA16" s="816"/>
      <c r="AB16" s="369" t="s">
        <v>815</v>
      </c>
      <c r="AC16" s="511"/>
      <c r="AD16" s="511"/>
      <c r="AE16" s="511"/>
      <c r="AF16" s="511"/>
      <c r="AG16" s="370" t="s">
        <v>54</v>
      </c>
      <c r="AH16" s="836"/>
      <c r="AI16" s="836"/>
      <c r="AJ16" s="836"/>
      <c r="AK16" s="836"/>
      <c r="AM16" s="824"/>
      <c r="AN16" s="825"/>
      <c r="AO16" s="825"/>
      <c r="AP16" s="825"/>
      <c r="AQ16" s="825"/>
      <c r="AR16" s="826"/>
    </row>
    <row r="17" spans="1:44" ht="18" customHeight="1" x14ac:dyDescent="0.25">
      <c r="A17" s="804" t="s">
        <v>590</v>
      </c>
      <c r="B17" s="804"/>
      <c r="C17" s="804"/>
      <c r="D17" s="804"/>
      <c r="E17" s="804"/>
      <c r="F17" s="804"/>
      <c r="G17" s="804"/>
      <c r="H17" s="804"/>
      <c r="I17" s="804"/>
      <c r="J17" s="804"/>
      <c r="K17" s="804"/>
      <c r="L17" s="805" t="str">
        <f>'仕様指示書－作成－'!K119</f>
        <v>3-4．5-12．7-14．10-3．</v>
      </c>
      <c r="M17" s="806"/>
      <c r="N17" s="806"/>
      <c r="O17" s="806"/>
      <c r="P17" s="806"/>
      <c r="Q17" s="806"/>
      <c r="R17" s="806"/>
      <c r="S17" s="806"/>
      <c r="T17" s="806"/>
      <c r="U17" s="806"/>
      <c r="V17" s="806"/>
      <c r="W17" s="806"/>
      <c r="X17" s="806"/>
      <c r="Y17" s="806"/>
      <c r="Z17" s="806"/>
      <c r="AA17" s="806"/>
      <c r="AB17" s="806"/>
      <c r="AC17" s="806"/>
      <c r="AD17" s="806"/>
      <c r="AE17" s="806"/>
      <c r="AF17" s="806"/>
      <c r="AG17" s="807"/>
      <c r="AH17" s="811">
        <v>1</v>
      </c>
      <c r="AI17" s="813"/>
      <c r="AJ17" s="830" t="s">
        <v>805</v>
      </c>
      <c r="AK17" s="832" t="s">
        <v>806</v>
      </c>
      <c r="AM17" s="824"/>
      <c r="AN17" s="825"/>
      <c r="AO17" s="825"/>
      <c r="AP17" s="825"/>
      <c r="AQ17" s="825"/>
      <c r="AR17" s="826"/>
    </row>
    <row r="18" spans="1:44" ht="18" customHeight="1" x14ac:dyDescent="0.25">
      <c r="A18" s="804"/>
      <c r="B18" s="804"/>
      <c r="C18" s="804"/>
      <c r="D18" s="804"/>
      <c r="E18" s="804"/>
      <c r="F18" s="804"/>
      <c r="G18" s="804"/>
      <c r="H18" s="804"/>
      <c r="I18" s="804"/>
      <c r="J18" s="804"/>
      <c r="K18" s="804"/>
      <c r="L18" s="808"/>
      <c r="M18" s="809"/>
      <c r="N18" s="809"/>
      <c r="O18" s="809"/>
      <c r="P18" s="809"/>
      <c r="Q18" s="809"/>
      <c r="R18" s="809"/>
      <c r="S18" s="809"/>
      <c r="T18" s="809"/>
      <c r="U18" s="809"/>
      <c r="V18" s="809"/>
      <c r="W18" s="809"/>
      <c r="X18" s="809"/>
      <c r="Y18" s="809"/>
      <c r="Z18" s="809"/>
      <c r="AA18" s="809"/>
      <c r="AB18" s="809"/>
      <c r="AC18" s="809"/>
      <c r="AD18" s="809"/>
      <c r="AE18" s="809"/>
      <c r="AF18" s="809"/>
      <c r="AG18" s="810"/>
      <c r="AH18" s="812"/>
      <c r="AI18" s="814"/>
      <c r="AJ18" s="831"/>
      <c r="AK18" s="833"/>
      <c r="AM18" s="827"/>
      <c r="AN18" s="828"/>
      <c r="AO18" s="828"/>
      <c r="AP18" s="828"/>
      <c r="AQ18" s="828"/>
      <c r="AR18" s="829"/>
    </row>
    <row r="19" spans="1:44" ht="26.1" customHeight="1" x14ac:dyDescent="0.25">
      <c r="A19" s="736" t="s">
        <v>327</v>
      </c>
      <c r="B19" s="737"/>
      <c r="C19" s="837" t="s">
        <v>808</v>
      </c>
      <c r="D19" s="838"/>
      <c r="E19" s="838"/>
      <c r="F19" s="838"/>
      <c r="G19" s="838"/>
      <c r="H19" s="838"/>
      <c r="I19" s="838"/>
      <c r="J19" s="838"/>
      <c r="K19" s="838"/>
      <c r="L19" s="838"/>
      <c r="M19" s="838"/>
      <c r="N19" s="838"/>
      <c r="O19" s="838"/>
      <c r="P19" s="838"/>
      <c r="Q19" s="838"/>
      <c r="R19" s="838"/>
      <c r="S19" s="838"/>
      <c r="T19" s="838"/>
      <c r="U19" s="838"/>
      <c r="V19" s="838"/>
      <c r="W19" s="838"/>
      <c r="X19" s="838"/>
      <c r="Y19" s="838"/>
      <c r="Z19" s="838"/>
      <c r="AA19" s="838"/>
      <c r="AB19" s="838"/>
      <c r="AC19" s="838"/>
      <c r="AD19" s="838"/>
      <c r="AE19" s="838"/>
      <c r="AF19" s="838"/>
      <c r="AG19" s="839"/>
      <c r="AH19" s="182"/>
      <c r="AI19" s="182">
        <v>1</v>
      </c>
      <c r="AJ19" s="183" t="s">
        <v>809</v>
      </c>
      <c r="AK19" s="184" t="s">
        <v>816</v>
      </c>
      <c r="AM19" s="365" t="s">
        <v>506</v>
      </c>
      <c r="AN19" s="365" t="s">
        <v>57</v>
      </c>
      <c r="AO19" s="365" t="s">
        <v>507</v>
      </c>
      <c r="AP19" s="365" t="s">
        <v>637</v>
      </c>
      <c r="AQ19" s="365" t="s">
        <v>508</v>
      </c>
      <c r="AR19" s="366" t="s">
        <v>509</v>
      </c>
    </row>
    <row r="20" spans="1:44" ht="23.25" customHeight="1" x14ac:dyDescent="0.25">
      <c r="A20" s="703" t="s">
        <v>390</v>
      </c>
      <c r="B20" s="704"/>
      <c r="C20" s="846" t="s">
        <v>1531</v>
      </c>
      <c r="D20" s="847"/>
      <c r="E20" s="847"/>
      <c r="F20" s="847"/>
      <c r="G20" s="847"/>
      <c r="H20" s="847"/>
      <c r="I20" s="847"/>
      <c r="J20" s="847"/>
      <c r="K20" s="847"/>
      <c r="L20" s="847"/>
      <c r="M20" s="847"/>
      <c r="N20" s="847"/>
      <c r="O20" s="847"/>
      <c r="P20" s="847"/>
      <c r="Q20" s="847"/>
      <c r="R20" s="847"/>
      <c r="S20" s="847"/>
      <c r="T20" s="847"/>
      <c r="U20" s="847"/>
      <c r="V20" s="847"/>
      <c r="W20" s="847"/>
      <c r="X20" s="847"/>
      <c r="Y20" s="847"/>
      <c r="Z20" s="847"/>
      <c r="AA20" s="847"/>
      <c r="AB20" s="847"/>
      <c r="AC20" s="847"/>
      <c r="AD20" s="847"/>
      <c r="AE20" s="847"/>
      <c r="AF20" s="847"/>
      <c r="AG20" s="848"/>
      <c r="AH20" s="372"/>
      <c r="AI20" s="372"/>
      <c r="AJ20" s="372"/>
      <c r="AK20" s="372"/>
      <c r="AM20" s="367" t="str">
        <f>$I$10</f>
        <v>171963</v>
      </c>
      <c r="AN20" s="367" t="str">
        <f>$E$15</f>
        <v>PB681E-N(8.1)</v>
      </c>
      <c r="AO20" s="367" t="str">
        <f>$T$15</f>
        <v>2DG-GC2ADBA-CBAAAB</v>
      </c>
      <c r="AP20" s="367" t="str">
        <f>$W$12</f>
        <v>大八清掃社</v>
      </c>
      <c r="AQ20" s="367" t="str">
        <f>$A$7</f>
        <v>関西支店</v>
      </c>
      <c r="AR20" s="367" t="str">
        <f>$M$7</f>
        <v>平井</v>
      </c>
    </row>
    <row r="21" spans="1:44" ht="23.25" customHeight="1" x14ac:dyDescent="0.25">
      <c r="A21" s="703"/>
      <c r="B21" s="704"/>
      <c r="C21" s="705" t="s">
        <v>1532</v>
      </c>
      <c r="D21" s="696"/>
      <c r="E21" s="696"/>
      <c r="F21" s="696"/>
      <c r="G21" s="696"/>
      <c r="H21" s="696"/>
      <c r="I21" s="696"/>
      <c r="J21" s="696"/>
      <c r="K21" s="696"/>
      <c r="L21" s="696"/>
      <c r="M21" s="696"/>
      <c r="N21" s="696"/>
      <c r="O21" s="696"/>
      <c r="P21" s="696"/>
      <c r="Q21" s="696"/>
      <c r="R21" s="696"/>
      <c r="S21" s="696"/>
      <c r="T21" s="696"/>
      <c r="U21" s="696"/>
      <c r="V21" s="696"/>
      <c r="W21" s="696"/>
      <c r="X21" s="696"/>
      <c r="Y21" s="696"/>
      <c r="Z21" s="696"/>
      <c r="AA21" s="696"/>
      <c r="AB21" s="696"/>
      <c r="AC21" s="696"/>
      <c r="AD21" s="696"/>
      <c r="AE21" s="696"/>
      <c r="AF21" s="696"/>
      <c r="AG21" s="697"/>
      <c r="AH21" s="373"/>
      <c r="AI21" s="373"/>
      <c r="AJ21" s="373"/>
      <c r="AK21" s="373"/>
      <c r="AM21" s="367" t="str">
        <f t="shared" ref="AM21:AM44" si="0">$I$10</f>
        <v>171963</v>
      </c>
      <c r="AN21" s="367" t="str">
        <f t="shared" ref="AN21:AN44" si="1">$E$15</f>
        <v>PB681E-N(8.1)</v>
      </c>
      <c r="AO21" s="367" t="str">
        <f t="shared" ref="AO21:AO44" si="2">$T$15</f>
        <v>2DG-GC2ADBA-CBAAAB</v>
      </c>
      <c r="AP21" s="367" t="str">
        <f t="shared" ref="AP21:AP44" si="3">$W$12</f>
        <v>大八清掃社</v>
      </c>
      <c r="AQ21" s="367" t="str">
        <f t="shared" ref="AQ21:AQ44" si="4">$A$7</f>
        <v>関西支店</v>
      </c>
      <c r="AR21" s="367" t="str">
        <f t="shared" ref="AR21:AR44" si="5">$M$7</f>
        <v>平井</v>
      </c>
    </row>
    <row r="22" spans="1:44" ht="23.25" customHeight="1" x14ac:dyDescent="0.25">
      <c r="A22" s="703"/>
      <c r="B22" s="704"/>
      <c r="C22" s="695"/>
      <c r="D22" s="696"/>
      <c r="E22" s="696"/>
      <c r="F22" s="696"/>
      <c r="G22" s="696"/>
      <c r="H22" s="696"/>
      <c r="I22" s="696"/>
      <c r="J22" s="696"/>
      <c r="K22" s="696"/>
      <c r="L22" s="696"/>
      <c r="M22" s="696"/>
      <c r="N22" s="696"/>
      <c r="O22" s="696"/>
      <c r="P22" s="696"/>
      <c r="Q22" s="696"/>
      <c r="R22" s="696"/>
      <c r="S22" s="696"/>
      <c r="T22" s="696"/>
      <c r="U22" s="696"/>
      <c r="V22" s="696"/>
      <c r="W22" s="696"/>
      <c r="X22" s="696"/>
      <c r="Y22" s="696"/>
      <c r="Z22" s="696"/>
      <c r="AA22" s="696"/>
      <c r="AB22" s="696"/>
      <c r="AC22" s="696"/>
      <c r="AD22" s="696"/>
      <c r="AE22" s="696"/>
      <c r="AF22" s="696"/>
      <c r="AG22" s="697"/>
      <c r="AH22" s="373"/>
      <c r="AI22" s="373"/>
      <c r="AJ22" s="373"/>
      <c r="AK22" s="373"/>
      <c r="AM22" s="367" t="str">
        <f t="shared" si="0"/>
        <v>171963</v>
      </c>
      <c r="AN22" s="367" t="str">
        <f t="shared" si="1"/>
        <v>PB681E-N(8.1)</v>
      </c>
      <c r="AO22" s="367" t="str">
        <f t="shared" si="2"/>
        <v>2DG-GC2ADBA-CBAAAB</v>
      </c>
      <c r="AP22" s="367" t="str">
        <f t="shared" si="3"/>
        <v>大八清掃社</v>
      </c>
      <c r="AQ22" s="367" t="str">
        <f t="shared" si="4"/>
        <v>関西支店</v>
      </c>
      <c r="AR22" s="367" t="str">
        <f t="shared" si="5"/>
        <v>平井</v>
      </c>
    </row>
    <row r="23" spans="1:44" ht="23.25" customHeight="1" x14ac:dyDescent="0.25">
      <c r="A23" s="703" t="s">
        <v>393</v>
      </c>
      <c r="B23" s="704"/>
      <c r="C23" s="705" t="s">
        <v>1533</v>
      </c>
      <c r="D23" s="696"/>
      <c r="E23" s="696"/>
      <c r="F23" s="696"/>
      <c r="G23" s="696"/>
      <c r="H23" s="696"/>
      <c r="I23" s="696"/>
      <c r="J23" s="696"/>
      <c r="K23" s="696"/>
      <c r="L23" s="696"/>
      <c r="M23" s="696"/>
      <c r="N23" s="696"/>
      <c r="O23" s="696"/>
      <c r="P23" s="696"/>
      <c r="Q23" s="696"/>
      <c r="R23" s="696"/>
      <c r="S23" s="696"/>
      <c r="T23" s="696"/>
      <c r="U23" s="696"/>
      <c r="V23" s="696"/>
      <c r="W23" s="696"/>
      <c r="X23" s="696"/>
      <c r="Y23" s="696"/>
      <c r="Z23" s="696"/>
      <c r="AA23" s="696"/>
      <c r="AB23" s="696"/>
      <c r="AC23" s="696"/>
      <c r="AD23" s="696"/>
      <c r="AE23" s="696"/>
      <c r="AF23" s="696"/>
      <c r="AG23" s="697"/>
      <c r="AH23" s="373"/>
      <c r="AI23" s="373"/>
      <c r="AJ23" s="373"/>
      <c r="AK23" s="373"/>
      <c r="AM23" s="367" t="str">
        <f t="shared" si="0"/>
        <v>171963</v>
      </c>
      <c r="AN23" s="367" t="str">
        <f t="shared" si="1"/>
        <v>PB681E-N(8.1)</v>
      </c>
      <c r="AO23" s="367" t="str">
        <f t="shared" si="2"/>
        <v>2DG-GC2ADBA-CBAAAB</v>
      </c>
      <c r="AP23" s="367" t="str">
        <f t="shared" si="3"/>
        <v>大八清掃社</v>
      </c>
      <c r="AQ23" s="367" t="str">
        <f t="shared" si="4"/>
        <v>関西支店</v>
      </c>
      <c r="AR23" s="367" t="str">
        <f t="shared" si="5"/>
        <v>平井</v>
      </c>
    </row>
    <row r="24" spans="1:44" ht="23.25" customHeight="1" x14ac:dyDescent="0.25">
      <c r="A24" s="703"/>
      <c r="B24" s="704"/>
      <c r="C24" s="695"/>
      <c r="D24" s="696"/>
      <c r="E24" s="696"/>
      <c r="F24" s="696"/>
      <c r="G24" s="696"/>
      <c r="H24" s="696"/>
      <c r="I24" s="696"/>
      <c r="J24" s="696"/>
      <c r="K24" s="696"/>
      <c r="L24" s="696"/>
      <c r="M24" s="696"/>
      <c r="N24" s="696"/>
      <c r="O24" s="696"/>
      <c r="P24" s="696"/>
      <c r="Q24" s="696"/>
      <c r="R24" s="696"/>
      <c r="S24" s="696"/>
      <c r="T24" s="696"/>
      <c r="U24" s="696"/>
      <c r="V24" s="696"/>
      <c r="W24" s="696"/>
      <c r="X24" s="696"/>
      <c r="Y24" s="696"/>
      <c r="Z24" s="696"/>
      <c r="AA24" s="696"/>
      <c r="AB24" s="696"/>
      <c r="AC24" s="696"/>
      <c r="AD24" s="696"/>
      <c r="AE24" s="696"/>
      <c r="AF24" s="696"/>
      <c r="AG24" s="697"/>
      <c r="AH24" s="373"/>
      <c r="AI24" s="373"/>
      <c r="AJ24" s="373"/>
      <c r="AK24" s="373"/>
      <c r="AM24" s="367" t="str">
        <f t="shared" si="0"/>
        <v>171963</v>
      </c>
      <c r="AN24" s="367" t="str">
        <f t="shared" si="1"/>
        <v>PB681E-N(8.1)</v>
      </c>
      <c r="AO24" s="367" t="str">
        <f t="shared" si="2"/>
        <v>2DG-GC2ADBA-CBAAAB</v>
      </c>
      <c r="AP24" s="367" t="str">
        <f t="shared" si="3"/>
        <v>大八清掃社</v>
      </c>
      <c r="AQ24" s="367" t="str">
        <f t="shared" si="4"/>
        <v>関西支店</v>
      </c>
      <c r="AR24" s="367" t="str">
        <f t="shared" si="5"/>
        <v>平井</v>
      </c>
    </row>
    <row r="25" spans="1:44" ht="23.25" customHeight="1" x14ac:dyDescent="0.25">
      <c r="A25" s="703" t="s">
        <v>420</v>
      </c>
      <c r="B25" s="704"/>
      <c r="C25" s="705" t="s">
        <v>1534</v>
      </c>
      <c r="D25" s="696"/>
      <c r="E25" s="696"/>
      <c r="F25" s="696"/>
      <c r="G25" s="696"/>
      <c r="H25" s="696"/>
      <c r="I25" s="696"/>
      <c r="J25" s="696"/>
      <c r="K25" s="696"/>
      <c r="L25" s="696"/>
      <c r="M25" s="696"/>
      <c r="N25" s="696"/>
      <c r="O25" s="696"/>
      <c r="P25" s="696"/>
      <c r="Q25" s="696"/>
      <c r="R25" s="696"/>
      <c r="S25" s="696"/>
      <c r="T25" s="696"/>
      <c r="U25" s="696"/>
      <c r="V25" s="696"/>
      <c r="W25" s="696"/>
      <c r="X25" s="696"/>
      <c r="Y25" s="696"/>
      <c r="Z25" s="696"/>
      <c r="AA25" s="696"/>
      <c r="AB25" s="696"/>
      <c r="AC25" s="696"/>
      <c r="AD25" s="696"/>
      <c r="AE25" s="696"/>
      <c r="AF25" s="696"/>
      <c r="AG25" s="697"/>
      <c r="AH25" s="373"/>
      <c r="AI25" s="373"/>
      <c r="AJ25" s="373"/>
      <c r="AK25" s="373"/>
      <c r="AM25" s="367" t="str">
        <f t="shared" si="0"/>
        <v>171963</v>
      </c>
      <c r="AN25" s="367" t="str">
        <f t="shared" si="1"/>
        <v>PB681E-N(8.1)</v>
      </c>
      <c r="AO25" s="367" t="str">
        <f t="shared" si="2"/>
        <v>2DG-GC2ADBA-CBAAAB</v>
      </c>
      <c r="AP25" s="367" t="str">
        <f t="shared" si="3"/>
        <v>大八清掃社</v>
      </c>
      <c r="AQ25" s="367" t="str">
        <f t="shared" si="4"/>
        <v>関西支店</v>
      </c>
      <c r="AR25" s="367" t="str">
        <f t="shared" si="5"/>
        <v>平井</v>
      </c>
    </row>
    <row r="26" spans="1:44" ht="23.25" customHeight="1" x14ac:dyDescent="0.25">
      <c r="A26" s="703"/>
      <c r="B26" s="704"/>
      <c r="C26" s="695"/>
      <c r="D26" s="696"/>
      <c r="E26" s="696"/>
      <c r="F26" s="696"/>
      <c r="G26" s="696"/>
      <c r="H26" s="696"/>
      <c r="I26" s="696"/>
      <c r="J26" s="696"/>
      <c r="K26" s="696"/>
      <c r="L26" s="696"/>
      <c r="M26" s="696"/>
      <c r="N26" s="696"/>
      <c r="O26" s="696"/>
      <c r="P26" s="696"/>
      <c r="Q26" s="696"/>
      <c r="R26" s="696"/>
      <c r="S26" s="696"/>
      <c r="T26" s="696"/>
      <c r="U26" s="696"/>
      <c r="V26" s="696"/>
      <c r="W26" s="696"/>
      <c r="X26" s="696"/>
      <c r="Y26" s="696"/>
      <c r="Z26" s="696"/>
      <c r="AA26" s="696"/>
      <c r="AB26" s="696"/>
      <c r="AC26" s="696"/>
      <c r="AD26" s="696"/>
      <c r="AE26" s="696"/>
      <c r="AF26" s="696"/>
      <c r="AG26" s="697"/>
      <c r="AH26" s="373"/>
      <c r="AI26" s="373"/>
      <c r="AJ26" s="373"/>
      <c r="AK26" s="373"/>
      <c r="AM26" s="367" t="str">
        <f t="shared" si="0"/>
        <v>171963</v>
      </c>
      <c r="AN26" s="367" t="str">
        <f t="shared" si="1"/>
        <v>PB681E-N(8.1)</v>
      </c>
      <c r="AO26" s="367" t="str">
        <f t="shared" si="2"/>
        <v>2DG-GC2ADBA-CBAAAB</v>
      </c>
      <c r="AP26" s="367" t="str">
        <f t="shared" si="3"/>
        <v>大八清掃社</v>
      </c>
      <c r="AQ26" s="367" t="str">
        <f t="shared" si="4"/>
        <v>関西支店</v>
      </c>
      <c r="AR26" s="367" t="str">
        <f t="shared" si="5"/>
        <v>平井</v>
      </c>
    </row>
    <row r="27" spans="1:44" ht="23.25" customHeight="1" x14ac:dyDescent="0.25">
      <c r="A27" s="703"/>
      <c r="B27" s="704"/>
      <c r="C27" s="695"/>
      <c r="D27" s="696"/>
      <c r="E27" s="696"/>
      <c r="F27" s="696"/>
      <c r="G27" s="696"/>
      <c r="H27" s="696"/>
      <c r="I27" s="696"/>
      <c r="J27" s="696"/>
      <c r="K27" s="696"/>
      <c r="L27" s="696"/>
      <c r="M27" s="696"/>
      <c r="N27" s="696"/>
      <c r="O27" s="696"/>
      <c r="P27" s="696"/>
      <c r="Q27" s="696"/>
      <c r="R27" s="696"/>
      <c r="S27" s="696"/>
      <c r="T27" s="696"/>
      <c r="U27" s="696"/>
      <c r="V27" s="696"/>
      <c r="W27" s="696"/>
      <c r="X27" s="696"/>
      <c r="Y27" s="696"/>
      <c r="Z27" s="696"/>
      <c r="AA27" s="696"/>
      <c r="AB27" s="696"/>
      <c r="AC27" s="696"/>
      <c r="AD27" s="696"/>
      <c r="AE27" s="696"/>
      <c r="AF27" s="696"/>
      <c r="AG27" s="697"/>
      <c r="AH27" s="373"/>
      <c r="AI27" s="373"/>
      <c r="AJ27" s="373"/>
      <c r="AK27" s="373"/>
      <c r="AM27" s="367" t="str">
        <f t="shared" si="0"/>
        <v>171963</v>
      </c>
      <c r="AN27" s="367" t="str">
        <f t="shared" si="1"/>
        <v>PB681E-N(8.1)</v>
      </c>
      <c r="AO27" s="367" t="str">
        <f t="shared" si="2"/>
        <v>2DG-GC2ADBA-CBAAAB</v>
      </c>
      <c r="AP27" s="367" t="str">
        <f t="shared" si="3"/>
        <v>大八清掃社</v>
      </c>
      <c r="AQ27" s="367" t="str">
        <f t="shared" si="4"/>
        <v>関西支店</v>
      </c>
      <c r="AR27" s="367" t="str">
        <f t="shared" si="5"/>
        <v>平井</v>
      </c>
    </row>
    <row r="28" spans="1:44" ht="23.25" customHeight="1" x14ac:dyDescent="0.25">
      <c r="A28" s="703"/>
      <c r="B28" s="704"/>
      <c r="C28" s="695"/>
      <c r="D28" s="696"/>
      <c r="E28" s="696"/>
      <c r="F28" s="696"/>
      <c r="G28" s="696"/>
      <c r="H28" s="696"/>
      <c r="I28" s="696"/>
      <c r="J28" s="696"/>
      <c r="K28" s="696"/>
      <c r="L28" s="696"/>
      <c r="M28" s="696"/>
      <c r="N28" s="696"/>
      <c r="O28" s="696"/>
      <c r="P28" s="696"/>
      <c r="Q28" s="696"/>
      <c r="R28" s="696"/>
      <c r="S28" s="696"/>
      <c r="T28" s="696"/>
      <c r="U28" s="696"/>
      <c r="V28" s="696"/>
      <c r="W28" s="696"/>
      <c r="X28" s="696"/>
      <c r="Y28" s="696"/>
      <c r="Z28" s="696"/>
      <c r="AA28" s="696"/>
      <c r="AB28" s="696"/>
      <c r="AC28" s="696"/>
      <c r="AD28" s="696"/>
      <c r="AE28" s="696"/>
      <c r="AF28" s="696"/>
      <c r="AG28" s="697"/>
      <c r="AH28" s="373"/>
      <c r="AI28" s="373"/>
      <c r="AJ28" s="373"/>
      <c r="AK28" s="373"/>
      <c r="AM28" s="367" t="str">
        <f t="shared" si="0"/>
        <v>171963</v>
      </c>
      <c r="AN28" s="367" t="str">
        <f t="shared" si="1"/>
        <v>PB681E-N(8.1)</v>
      </c>
      <c r="AO28" s="367" t="str">
        <f t="shared" si="2"/>
        <v>2DG-GC2ADBA-CBAAAB</v>
      </c>
      <c r="AP28" s="367" t="str">
        <f t="shared" si="3"/>
        <v>大八清掃社</v>
      </c>
      <c r="AQ28" s="367" t="str">
        <f t="shared" si="4"/>
        <v>関西支店</v>
      </c>
      <c r="AR28" s="367" t="str">
        <f t="shared" si="5"/>
        <v>平井</v>
      </c>
    </row>
    <row r="29" spans="1:44" ht="23.25" customHeight="1" x14ac:dyDescent="0.25">
      <c r="A29" s="703"/>
      <c r="B29" s="704"/>
      <c r="C29" s="695"/>
      <c r="D29" s="696"/>
      <c r="E29" s="696"/>
      <c r="F29" s="696"/>
      <c r="G29" s="696"/>
      <c r="H29" s="696"/>
      <c r="I29" s="696"/>
      <c r="J29" s="696"/>
      <c r="K29" s="696"/>
      <c r="L29" s="696"/>
      <c r="M29" s="696"/>
      <c r="N29" s="696"/>
      <c r="O29" s="696"/>
      <c r="P29" s="696"/>
      <c r="Q29" s="696"/>
      <c r="R29" s="696"/>
      <c r="S29" s="696"/>
      <c r="T29" s="696"/>
      <c r="U29" s="696"/>
      <c r="V29" s="696"/>
      <c r="W29" s="696"/>
      <c r="X29" s="696"/>
      <c r="Y29" s="696"/>
      <c r="Z29" s="696"/>
      <c r="AA29" s="696"/>
      <c r="AB29" s="696"/>
      <c r="AC29" s="696"/>
      <c r="AD29" s="696"/>
      <c r="AE29" s="696"/>
      <c r="AF29" s="696"/>
      <c r="AG29" s="697"/>
      <c r="AH29" s="373"/>
      <c r="AI29" s="373"/>
      <c r="AJ29" s="373"/>
      <c r="AK29" s="373"/>
      <c r="AM29" s="367" t="str">
        <f t="shared" si="0"/>
        <v>171963</v>
      </c>
      <c r="AN29" s="367" t="str">
        <f t="shared" si="1"/>
        <v>PB681E-N(8.1)</v>
      </c>
      <c r="AO29" s="367" t="str">
        <f t="shared" si="2"/>
        <v>2DG-GC2ADBA-CBAAAB</v>
      </c>
      <c r="AP29" s="367" t="str">
        <f t="shared" si="3"/>
        <v>大八清掃社</v>
      </c>
      <c r="AQ29" s="367" t="str">
        <f t="shared" si="4"/>
        <v>関西支店</v>
      </c>
      <c r="AR29" s="367" t="str">
        <f t="shared" si="5"/>
        <v>平井</v>
      </c>
    </row>
    <row r="30" spans="1:44" ht="23.25" customHeight="1" x14ac:dyDescent="0.25">
      <c r="A30" s="703"/>
      <c r="B30" s="704"/>
      <c r="C30" s="695"/>
      <c r="D30" s="696"/>
      <c r="E30" s="696"/>
      <c r="F30" s="696"/>
      <c r="G30" s="696"/>
      <c r="H30" s="696"/>
      <c r="I30" s="696"/>
      <c r="J30" s="696"/>
      <c r="K30" s="696"/>
      <c r="L30" s="696"/>
      <c r="M30" s="696"/>
      <c r="N30" s="696"/>
      <c r="O30" s="696"/>
      <c r="P30" s="696"/>
      <c r="Q30" s="696"/>
      <c r="R30" s="696"/>
      <c r="S30" s="696"/>
      <c r="T30" s="696"/>
      <c r="U30" s="696"/>
      <c r="V30" s="696"/>
      <c r="W30" s="696"/>
      <c r="X30" s="696"/>
      <c r="Y30" s="696"/>
      <c r="Z30" s="696"/>
      <c r="AA30" s="696"/>
      <c r="AB30" s="696"/>
      <c r="AC30" s="696"/>
      <c r="AD30" s="696"/>
      <c r="AE30" s="696"/>
      <c r="AF30" s="696"/>
      <c r="AG30" s="697"/>
      <c r="AH30" s="373"/>
      <c r="AI30" s="373"/>
      <c r="AJ30" s="373"/>
      <c r="AK30" s="373"/>
      <c r="AM30" s="367" t="str">
        <f t="shared" si="0"/>
        <v>171963</v>
      </c>
      <c r="AN30" s="367" t="str">
        <f t="shared" si="1"/>
        <v>PB681E-N(8.1)</v>
      </c>
      <c r="AO30" s="367" t="str">
        <f t="shared" si="2"/>
        <v>2DG-GC2ADBA-CBAAAB</v>
      </c>
      <c r="AP30" s="367" t="str">
        <f t="shared" si="3"/>
        <v>大八清掃社</v>
      </c>
      <c r="AQ30" s="367" t="str">
        <f t="shared" si="4"/>
        <v>関西支店</v>
      </c>
      <c r="AR30" s="367" t="str">
        <f t="shared" si="5"/>
        <v>平井</v>
      </c>
    </row>
    <row r="31" spans="1:44" ht="23.25" customHeight="1" x14ac:dyDescent="0.25">
      <c r="A31" s="703"/>
      <c r="B31" s="704"/>
      <c r="C31" s="695"/>
      <c r="D31" s="696"/>
      <c r="E31" s="696"/>
      <c r="F31" s="696"/>
      <c r="G31" s="696"/>
      <c r="H31" s="696"/>
      <c r="I31" s="696"/>
      <c r="J31" s="696"/>
      <c r="K31" s="696"/>
      <c r="L31" s="696"/>
      <c r="M31" s="696"/>
      <c r="N31" s="696"/>
      <c r="O31" s="696"/>
      <c r="P31" s="696"/>
      <c r="Q31" s="696"/>
      <c r="R31" s="696"/>
      <c r="S31" s="696"/>
      <c r="T31" s="696"/>
      <c r="U31" s="696"/>
      <c r="V31" s="696"/>
      <c r="W31" s="696"/>
      <c r="X31" s="696"/>
      <c r="Y31" s="696"/>
      <c r="Z31" s="696"/>
      <c r="AA31" s="696"/>
      <c r="AB31" s="696"/>
      <c r="AC31" s="696"/>
      <c r="AD31" s="696"/>
      <c r="AE31" s="696"/>
      <c r="AF31" s="696"/>
      <c r="AG31" s="697"/>
      <c r="AH31" s="373"/>
      <c r="AI31" s="373"/>
      <c r="AJ31" s="373"/>
      <c r="AK31" s="373"/>
      <c r="AM31" s="367" t="str">
        <f t="shared" si="0"/>
        <v>171963</v>
      </c>
      <c r="AN31" s="367" t="str">
        <f t="shared" si="1"/>
        <v>PB681E-N(8.1)</v>
      </c>
      <c r="AO31" s="367" t="str">
        <f t="shared" si="2"/>
        <v>2DG-GC2ADBA-CBAAAB</v>
      </c>
      <c r="AP31" s="367" t="str">
        <f t="shared" si="3"/>
        <v>大八清掃社</v>
      </c>
      <c r="AQ31" s="367" t="str">
        <f t="shared" si="4"/>
        <v>関西支店</v>
      </c>
      <c r="AR31" s="367" t="str">
        <f t="shared" si="5"/>
        <v>平井</v>
      </c>
    </row>
    <row r="32" spans="1:44" ht="23.25" customHeight="1" x14ac:dyDescent="0.25">
      <c r="A32" s="703"/>
      <c r="B32" s="704"/>
      <c r="C32" s="695"/>
      <c r="D32" s="696"/>
      <c r="E32" s="696"/>
      <c r="F32" s="696"/>
      <c r="G32" s="696"/>
      <c r="H32" s="696"/>
      <c r="I32" s="696"/>
      <c r="J32" s="696"/>
      <c r="K32" s="696"/>
      <c r="L32" s="696"/>
      <c r="M32" s="696"/>
      <c r="N32" s="696"/>
      <c r="O32" s="696"/>
      <c r="P32" s="696"/>
      <c r="Q32" s="696"/>
      <c r="R32" s="696"/>
      <c r="S32" s="696"/>
      <c r="T32" s="696"/>
      <c r="U32" s="696"/>
      <c r="V32" s="696"/>
      <c r="W32" s="696"/>
      <c r="X32" s="696"/>
      <c r="Y32" s="696"/>
      <c r="Z32" s="696"/>
      <c r="AA32" s="696"/>
      <c r="AB32" s="696"/>
      <c r="AC32" s="696"/>
      <c r="AD32" s="696"/>
      <c r="AE32" s="696"/>
      <c r="AF32" s="696"/>
      <c r="AG32" s="697"/>
      <c r="AH32" s="373"/>
      <c r="AI32" s="373"/>
      <c r="AJ32" s="373"/>
      <c r="AK32" s="373"/>
      <c r="AM32" s="367" t="str">
        <f t="shared" si="0"/>
        <v>171963</v>
      </c>
      <c r="AN32" s="367" t="str">
        <f t="shared" si="1"/>
        <v>PB681E-N(8.1)</v>
      </c>
      <c r="AO32" s="367" t="str">
        <f t="shared" si="2"/>
        <v>2DG-GC2ADBA-CBAAAB</v>
      </c>
      <c r="AP32" s="367" t="str">
        <f t="shared" si="3"/>
        <v>大八清掃社</v>
      </c>
      <c r="AQ32" s="367" t="str">
        <f t="shared" si="4"/>
        <v>関西支店</v>
      </c>
      <c r="AR32" s="367" t="str">
        <f t="shared" si="5"/>
        <v>平井</v>
      </c>
    </row>
    <row r="33" spans="1:44" ht="23.25" customHeight="1" x14ac:dyDescent="0.25">
      <c r="A33" s="693"/>
      <c r="B33" s="694"/>
      <c r="C33" s="705"/>
      <c r="D33" s="696"/>
      <c r="E33" s="696"/>
      <c r="F33" s="696"/>
      <c r="G33" s="696"/>
      <c r="H33" s="696"/>
      <c r="I33" s="696"/>
      <c r="J33" s="696"/>
      <c r="K33" s="696"/>
      <c r="L33" s="696"/>
      <c r="M33" s="696"/>
      <c r="N33" s="696"/>
      <c r="O33" s="696"/>
      <c r="P33" s="696"/>
      <c r="Q33" s="696"/>
      <c r="R33" s="696"/>
      <c r="S33" s="696"/>
      <c r="T33" s="696"/>
      <c r="U33" s="696"/>
      <c r="V33" s="696"/>
      <c r="W33" s="696"/>
      <c r="X33" s="696"/>
      <c r="Y33" s="696"/>
      <c r="Z33" s="696"/>
      <c r="AA33" s="696"/>
      <c r="AB33" s="696"/>
      <c r="AC33" s="696"/>
      <c r="AD33" s="696"/>
      <c r="AE33" s="696"/>
      <c r="AF33" s="696"/>
      <c r="AG33" s="697"/>
      <c r="AH33" s="373"/>
      <c r="AI33" s="373"/>
      <c r="AJ33" s="373"/>
      <c r="AK33" s="373"/>
      <c r="AM33" s="367" t="str">
        <f t="shared" si="0"/>
        <v>171963</v>
      </c>
      <c r="AN33" s="367" t="str">
        <f t="shared" si="1"/>
        <v>PB681E-N(8.1)</v>
      </c>
      <c r="AO33" s="367" t="str">
        <f t="shared" si="2"/>
        <v>2DG-GC2ADBA-CBAAAB</v>
      </c>
      <c r="AP33" s="367" t="str">
        <f t="shared" si="3"/>
        <v>大八清掃社</v>
      </c>
      <c r="AQ33" s="367" t="str">
        <f t="shared" si="4"/>
        <v>関西支店</v>
      </c>
      <c r="AR33" s="367" t="str">
        <f t="shared" si="5"/>
        <v>平井</v>
      </c>
    </row>
    <row r="34" spans="1:44" ht="23.25" customHeight="1" x14ac:dyDescent="0.25">
      <c r="A34" s="693"/>
      <c r="B34" s="694"/>
      <c r="C34" s="705"/>
      <c r="D34" s="696"/>
      <c r="E34" s="696"/>
      <c r="F34" s="696"/>
      <c r="G34" s="696"/>
      <c r="H34" s="696"/>
      <c r="I34" s="696"/>
      <c r="J34" s="696"/>
      <c r="K34" s="696"/>
      <c r="L34" s="696"/>
      <c r="M34" s="696"/>
      <c r="N34" s="696"/>
      <c r="O34" s="696"/>
      <c r="P34" s="696"/>
      <c r="Q34" s="696"/>
      <c r="R34" s="696"/>
      <c r="S34" s="696"/>
      <c r="T34" s="696"/>
      <c r="U34" s="696"/>
      <c r="V34" s="696"/>
      <c r="W34" s="696"/>
      <c r="X34" s="696"/>
      <c r="Y34" s="696"/>
      <c r="Z34" s="696"/>
      <c r="AA34" s="696"/>
      <c r="AB34" s="696"/>
      <c r="AC34" s="696"/>
      <c r="AD34" s="696"/>
      <c r="AE34" s="696"/>
      <c r="AF34" s="696"/>
      <c r="AG34" s="697"/>
      <c r="AH34" s="373"/>
      <c r="AI34" s="373"/>
      <c r="AJ34" s="373"/>
      <c r="AK34" s="373"/>
      <c r="AM34" s="367" t="str">
        <f t="shared" si="0"/>
        <v>171963</v>
      </c>
      <c r="AN34" s="367" t="str">
        <f t="shared" si="1"/>
        <v>PB681E-N(8.1)</v>
      </c>
      <c r="AO34" s="367" t="str">
        <f t="shared" si="2"/>
        <v>2DG-GC2ADBA-CBAAAB</v>
      </c>
      <c r="AP34" s="367" t="str">
        <f t="shared" si="3"/>
        <v>大八清掃社</v>
      </c>
      <c r="AQ34" s="367" t="str">
        <f t="shared" si="4"/>
        <v>関西支店</v>
      </c>
      <c r="AR34" s="367" t="str">
        <f t="shared" si="5"/>
        <v>平井</v>
      </c>
    </row>
    <row r="35" spans="1:44" ht="23.25" customHeight="1" x14ac:dyDescent="0.25">
      <c r="A35" s="693" t="s">
        <v>420</v>
      </c>
      <c r="B35" s="694"/>
      <c r="C35" s="849" t="s">
        <v>1536</v>
      </c>
      <c r="D35" s="850"/>
      <c r="E35" s="850"/>
      <c r="F35" s="850"/>
      <c r="G35" s="850"/>
      <c r="H35" s="850"/>
      <c r="I35" s="850"/>
      <c r="J35" s="850"/>
      <c r="K35" s="850"/>
      <c r="L35" s="850"/>
      <c r="M35" s="850"/>
      <c r="N35" s="850"/>
      <c r="O35" s="850"/>
      <c r="P35" s="850"/>
      <c r="Q35" s="850"/>
      <c r="R35" s="850"/>
      <c r="S35" s="850"/>
      <c r="T35" s="850"/>
      <c r="U35" s="850"/>
      <c r="V35" s="850"/>
      <c r="W35" s="850"/>
      <c r="X35" s="850"/>
      <c r="Y35" s="850"/>
      <c r="Z35" s="850"/>
      <c r="AA35" s="850"/>
      <c r="AB35" s="850"/>
      <c r="AC35" s="850"/>
      <c r="AD35" s="850"/>
      <c r="AE35" s="850"/>
      <c r="AF35" s="850"/>
      <c r="AG35" s="851"/>
      <c r="AH35" s="373"/>
      <c r="AI35" s="373"/>
      <c r="AJ35" s="373"/>
      <c r="AK35" s="373"/>
      <c r="AM35" s="367" t="str">
        <f t="shared" si="0"/>
        <v>171963</v>
      </c>
      <c r="AN35" s="367" t="str">
        <f t="shared" si="1"/>
        <v>PB681E-N(8.1)</v>
      </c>
      <c r="AO35" s="367" t="str">
        <f t="shared" si="2"/>
        <v>2DG-GC2ADBA-CBAAAB</v>
      </c>
      <c r="AP35" s="367" t="str">
        <f t="shared" si="3"/>
        <v>大八清掃社</v>
      </c>
      <c r="AQ35" s="367" t="str">
        <f t="shared" si="4"/>
        <v>関西支店</v>
      </c>
      <c r="AR35" s="367" t="str">
        <f t="shared" si="5"/>
        <v>平井</v>
      </c>
    </row>
    <row r="36" spans="1:44" ht="23.25" customHeight="1" x14ac:dyDescent="0.25">
      <c r="A36" s="693"/>
      <c r="B36" s="694"/>
      <c r="C36" s="705" t="s">
        <v>1535</v>
      </c>
      <c r="D36" s="696"/>
      <c r="E36" s="696"/>
      <c r="F36" s="696"/>
      <c r="G36" s="696"/>
      <c r="H36" s="696"/>
      <c r="I36" s="696"/>
      <c r="J36" s="696"/>
      <c r="K36" s="696"/>
      <c r="L36" s="696"/>
      <c r="M36" s="696"/>
      <c r="N36" s="696"/>
      <c r="O36" s="696"/>
      <c r="P36" s="696"/>
      <c r="Q36" s="696"/>
      <c r="R36" s="696"/>
      <c r="S36" s="696"/>
      <c r="T36" s="696"/>
      <c r="U36" s="696"/>
      <c r="V36" s="696"/>
      <c r="W36" s="696"/>
      <c r="X36" s="696"/>
      <c r="Y36" s="696"/>
      <c r="Z36" s="696"/>
      <c r="AA36" s="696"/>
      <c r="AB36" s="696"/>
      <c r="AC36" s="696"/>
      <c r="AD36" s="696"/>
      <c r="AE36" s="696"/>
      <c r="AF36" s="696"/>
      <c r="AG36" s="697"/>
      <c r="AH36" s="373"/>
      <c r="AI36" s="373"/>
      <c r="AJ36" s="373"/>
      <c r="AK36" s="373"/>
      <c r="AM36" s="367" t="str">
        <f t="shared" si="0"/>
        <v>171963</v>
      </c>
      <c r="AN36" s="367" t="str">
        <f t="shared" si="1"/>
        <v>PB681E-N(8.1)</v>
      </c>
      <c r="AO36" s="367" t="str">
        <f t="shared" si="2"/>
        <v>2DG-GC2ADBA-CBAAAB</v>
      </c>
      <c r="AP36" s="367" t="str">
        <f t="shared" si="3"/>
        <v>大八清掃社</v>
      </c>
      <c r="AQ36" s="367" t="str">
        <f t="shared" si="4"/>
        <v>関西支店</v>
      </c>
      <c r="AR36" s="367" t="str">
        <f t="shared" si="5"/>
        <v>平井</v>
      </c>
    </row>
    <row r="37" spans="1:44" ht="23.25" customHeight="1" x14ac:dyDescent="0.25">
      <c r="A37" s="693"/>
      <c r="B37" s="694"/>
      <c r="C37" s="695"/>
      <c r="D37" s="696"/>
      <c r="E37" s="696"/>
      <c r="F37" s="696"/>
      <c r="G37" s="696"/>
      <c r="H37" s="696"/>
      <c r="I37" s="696"/>
      <c r="J37" s="696"/>
      <c r="K37" s="696"/>
      <c r="L37" s="696"/>
      <c r="M37" s="696"/>
      <c r="N37" s="696"/>
      <c r="O37" s="696"/>
      <c r="P37" s="696"/>
      <c r="Q37" s="696"/>
      <c r="R37" s="696"/>
      <c r="S37" s="696"/>
      <c r="T37" s="696"/>
      <c r="U37" s="696"/>
      <c r="V37" s="696"/>
      <c r="W37" s="696"/>
      <c r="X37" s="696"/>
      <c r="Y37" s="696"/>
      <c r="Z37" s="696"/>
      <c r="AA37" s="696"/>
      <c r="AB37" s="696"/>
      <c r="AC37" s="696"/>
      <c r="AD37" s="696"/>
      <c r="AE37" s="696"/>
      <c r="AF37" s="696"/>
      <c r="AG37" s="697"/>
      <c r="AH37" s="373"/>
      <c r="AI37" s="373"/>
      <c r="AJ37" s="373"/>
      <c r="AK37" s="373"/>
      <c r="AM37" s="367" t="str">
        <f t="shared" si="0"/>
        <v>171963</v>
      </c>
      <c r="AN37" s="367" t="str">
        <f t="shared" si="1"/>
        <v>PB681E-N(8.1)</v>
      </c>
      <c r="AO37" s="367" t="str">
        <f t="shared" si="2"/>
        <v>2DG-GC2ADBA-CBAAAB</v>
      </c>
      <c r="AP37" s="367" t="str">
        <f t="shared" si="3"/>
        <v>大八清掃社</v>
      </c>
      <c r="AQ37" s="367" t="str">
        <f t="shared" si="4"/>
        <v>関西支店</v>
      </c>
      <c r="AR37" s="367" t="str">
        <f t="shared" si="5"/>
        <v>平井</v>
      </c>
    </row>
    <row r="38" spans="1:44" ht="23.25" customHeight="1" x14ac:dyDescent="0.25">
      <c r="A38" s="693"/>
      <c r="B38" s="694"/>
      <c r="C38" s="695"/>
      <c r="D38" s="696"/>
      <c r="E38" s="696"/>
      <c r="F38" s="696"/>
      <c r="G38" s="696"/>
      <c r="H38" s="696"/>
      <c r="I38" s="696"/>
      <c r="J38" s="696"/>
      <c r="K38" s="696"/>
      <c r="L38" s="696"/>
      <c r="M38" s="696"/>
      <c r="N38" s="696"/>
      <c r="O38" s="696"/>
      <c r="P38" s="696"/>
      <c r="Q38" s="696"/>
      <c r="R38" s="696"/>
      <c r="S38" s="696"/>
      <c r="T38" s="696"/>
      <c r="U38" s="696"/>
      <c r="V38" s="696"/>
      <c r="W38" s="696"/>
      <c r="X38" s="696"/>
      <c r="Y38" s="696"/>
      <c r="Z38" s="696"/>
      <c r="AA38" s="696"/>
      <c r="AB38" s="696"/>
      <c r="AC38" s="696"/>
      <c r="AD38" s="696"/>
      <c r="AE38" s="696"/>
      <c r="AF38" s="696"/>
      <c r="AG38" s="697"/>
      <c r="AH38" s="373"/>
      <c r="AI38" s="373"/>
      <c r="AJ38" s="373"/>
      <c r="AK38" s="373"/>
      <c r="AM38" s="367" t="str">
        <f t="shared" si="0"/>
        <v>171963</v>
      </c>
      <c r="AN38" s="367" t="str">
        <f t="shared" si="1"/>
        <v>PB681E-N(8.1)</v>
      </c>
      <c r="AO38" s="367" t="str">
        <f t="shared" si="2"/>
        <v>2DG-GC2ADBA-CBAAAB</v>
      </c>
      <c r="AP38" s="367" t="str">
        <f t="shared" si="3"/>
        <v>大八清掃社</v>
      </c>
      <c r="AQ38" s="367" t="str">
        <f t="shared" si="4"/>
        <v>関西支店</v>
      </c>
      <c r="AR38" s="367" t="str">
        <f t="shared" si="5"/>
        <v>平井</v>
      </c>
    </row>
    <row r="39" spans="1:44" ht="23.25" customHeight="1" x14ac:dyDescent="0.25">
      <c r="A39" s="693"/>
      <c r="B39" s="694"/>
      <c r="C39" s="695"/>
      <c r="D39" s="696"/>
      <c r="E39" s="696"/>
      <c r="F39" s="696"/>
      <c r="G39" s="696"/>
      <c r="H39" s="696"/>
      <c r="I39" s="696"/>
      <c r="J39" s="696"/>
      <c r="K39" s="696"/>
      <c r="L39" s="696"/>
      <c r="M39" s="696"/>
      <c r="N39" s="696"/>
      <c r="O39" s="696"/>
      <c r="P39" s="696"/>
      <c r="Q39" s="696"/>
      <c r="R39" s="696"/>
      <c r="S39" s="696"/>
      <c r="T39" s="696"/>
      <c r="U39" s="696"/>
      <c r="V39" s="696"/>
      <c r="W39" s="696"/>
      <c r="X39" s="696"/>
      <c r="Y39" s="696"/>
      <c r="Z39" s="696"/>
      <c r="AA39" s="696"/>
      <c r="AB39" s="696"/>
      <c r="AC39" s="696"/>
      <c r="AD39" s="696"/>
      <c r="AE39" s="696"/>
      <c r="AF39" s="696"/>
      <c r="AG39" s="697"/>
      <c r="AH39" s="373"/>
      <c r="AI39" s="373"/>
      <c r="AJ39" s="373"/>
      <c r="AK39" s="373"/>
      <c r="AM39" s="367" t="str">
        <f t="shared" si="0"/>
        <v>171963</v>
      </c>
      <c r="AN39" s="367" t="str">
        <f t="shared" si="1"/>
        <v>PB681E-N(8.1)</v>
      </c>
      <c r="AO39" s="367" t="str">
        <f t="shared" si="2"/>
        <v>2DG-GC2ADBA-CBAAAB</v>
      </c>
      <c r="AP39" s="367" t="str">
        <f t="shared" si="3"/>
        <v>大八清掃社</v>
      </c>
      <c r="AQ39" s="367" t="str">
        <f t="shared" si="4"/>
        <v>関西支店</v>
      </c>
      <c r="AR39" s="367" t="str">
        <f t="shared" si="5"/>
        <v>平井</v>
      </c>
    </row>
    <row r="40" spans="1:44" ht="23.25" customHeight="1" x14ac:dyDescent="0.25">
      <c r="A40" s="693"/>
      <c r="B40" s="694"/>
      <c r="C40" s="695"/>
      <c r="D40" s="696"/>
      <c r="E40" s="696"/>
      <c r="F40" s="696"/>
      <c r="G40" s="696"/>
      <c r="H40" s="696"/>
      <c r="I40" s="696"/>
      <c r="J40" s="696"/>
      <c r="K40" s="696"/>
      <c r="L40" s="696"/>
      <c r="M40" s="696"/>
      <c r="N40" s="696"/>
      <c r="O40" s="696"/>
      <c r="P40" s="696"/>
      <c r="Q40" s="696"/>
      <c r="R40" s="696"/>
      <c r="S40" s="696"/>
      <c r="T40" s="696"/>
      <c r="U40" s="696"/>
      <c r="V40" s="696"/>
      <c r="W40" s="696"/>
      <c r="X40" s="696"/>
      <c r="Y40" s="696"/>
      <c r="Z40" s="696"/>
      <c r="AA40" s="696"/>
      <c r="AB40" s="696"/>
      <c r="AC40" s="696"/>
      <c r="AD40" s="696"/>
      <c r="AE40" s="696"/>
      <c r="AF40" s="696"/>
      <c r="AG40" s="697"/>
      <c r="AH40" s="373"/>
      <c r="AI40" s="373"/>
      <c r="AJ40" s="373"/>
      <c r="AK40" s="373"/>
      <c r="AM40" s="367" t="str">
        <f t="shared" si="0"/>
        <v>171963</v>
      </c>
      <c r="AN40" s="367" t="str">
        <f t="shared" si="1"/>
        <v>PB681E-N(8.1)</v>
      </c>
      <c r="AO40" s="367" t="str">
        <f t="shared" si="2"/>
        <v>2DG-GC2ADBA-CBAAAB</v>
      </c>
      <c r="AP40" s="367" t="str">
        <f t="shared" si="3"/>
        <v>大八清掃社</v>
      </c>
      <c r="AQ40" s="367" t="str">
        <f t="shared" si="4"/>
        <v>関西支店</v>
      </c>
      <c r="AR40" s="367" t="str">
        <f t="shared" si="5"/>
        <v>平井</v>
      </c>
    </row>
    <row r="41" spans="1:44" ht="23.25" customHeight="1" x14ac:dyDescent="0.25">
      <c r="A41" s="693"/>
      <c r="B41" s="694"/>
      <c r="C41" s="695"/>
      <c r="D41" s="696"/>
      <c r="E41" s="696"/>
      <c r="F41" s="696"/>
      <c r="G41" s="696"/>
      <c r="H41" s="696"/>
      <c r="I41" s="696"/>
      <c r="J41" s="696"/>
      <c r="K41" s="696"/>
      <c r="L41" s="696"/>
      <c r="M41" s="696"/>
      <c r="N41" s="696"/>
      <c r="O41" s="696"/>
      <c r="P41" s="696"/>
      <c r="Q41" s="696"/>
      <c r="R41" s="696"/>
      <c r="S41" s="696"/>
      <c r="T41" s="696"/>
      <c r="U41" s="696"/>
      <c r="V41" s="696"/>
      <c r="W41" s="696"/>
      <c r="X41" s="696"/>
      <c r="Y41" s="696"/>
      <c r="Z41" s="696"/>
      <c r="AA41" s="696"/>
      <c r="AB41" s="696"/>
      <c r="AC41" s="696"/>
      <c r="AD41" s="696"/>
      <c r="AE41" s="696"/>
      <c r="AF41" s="696"/>
      <c r="AG41" s="697"/>
      <c r="AH41" s="373"/>
      <c r="AI41" s="373"/>
      <c r="AJ41" s="373"/>
      <c r="AK41" s="373"/>
      <c r="AM41" s="367" t="str">
        <f t="shared" si="0"/>
        <v>171963</v>
      </c>
      <c r="AN41" s="367" t="str">
        <f t="shared" si="1"/>
        <v>PB681E-N(8.1)</v>
      </c>
      <c r="AO41" s="367" t="str">
        <f t="shared" si="2"/>
        <v>2DG-GC2ADBA-CBAAAB</v>
      </c>
      <c r="AP41" s="367" t="str">
        <f t="shared" si="3"/>
        <v>大八清掃社</v>
      </c>
      <c r="AQ41" s="367" t="str">
        <f t="shared" si="4"/>
        <v>関西支店</v>
      </c>
      <c r="AR41" s="367" t="str">
        <f t="shared" si="5"/>
        <v>平井</v>
      </c>
    </row>
    <row r="42" spans="1:44" ht="23.25" customHeight="1" x14ac:dyDescent="0.25">
      <c r="A42" s="693"/>
      <c r="B42" s="694"/>
      <c r="C42" s="695"/>
      <c r="D42" s="696"/>
      <c r="E42" s="696"/>
      <c r="F42" s="696"/>
      <c r="G42" s="696"/>
      <c r="H42" s="696"/>
      <c r="I42" s="696"/>
      <c r="J42" s="696"/>
      <c r="K42" s="696"/>
      <c r="L42" s="696"/>
      <c r="M42" s="696"/>
      <c r="N42" s="696"/>
      <c r="O42" s="696"/>
      <c r="P42" s="696"/>
      <c r="Q42" s="696"/>
      <c r="R42" s="696"/>
      <c r="S42" s="696"/>
      <c r="T42" s="696"/>
      <c r="U42" s="696"/>
      <c r="V42" s="696"/>
      <c r="W42" s="696"/>
      <c r="X42" s="696"/>
      <c r="Y42" s="696"/>
      <c r="Z42" s="696"/>
      <c r="AA42" s="696"/>
      <c r="AB42" s="696"/>
      <c r="AC42" s="696"/>
      <c r="AD42" s="696"/>
      <c r="AE42" s="696"/>
      <c r="AF42" s="696"/>
      <c r="AG42" s="697"/>
      <c r="AH42" s="373"/>
      <c r="AI42" s="373"/>
      <c r="AJ42" s="373"/>
      <c r="AK42" s="373"/>
      <c r="AM42" s="367" t="str">
        <f t="shared" si="0"/>
        <v>171963</v>
      </c>
      <c r="AN42" s="367" t="str">
        <f t="shared" si="1"/>
        <v>PB681E-N(8.1)</v>
      </c>
      <c r="AO42" s="367" t="str">
        <f t="shared" si="2"/>
        <v>2DG-GC2ADBA-CBAAAB</v>
      </c>
      <c r="AP42" s="367" t="str">
        <f t="shared" si="3"/>
        <v>大八清掃社</v>
      </c>
      <c r="AQ42" s="367" t="str">
        <f t="shared" si="4"/>
        <v>関西支店</v>
      </c>
      <c r="AR42" s="367" t="str">
        <f t="shared" si="5"/>
        <v>平井</v>
      </c>
    </row>
    <row r="43" spans="1:44" ht="23.25" customHeight="1" x14ac:dyDescent="0.25">
      <c r="A43" s="693"/>
      <c r="B43" s="694"/>
      <c r="C43" s="695"/>
      <c r="D43" s="696"/>
      <c r="E43" s="696"/>
      <c r="F43" s="696"/>
      <c r="G43" s="696"/>
      <c r="H43" s="696"/>
      <c r="I43" s="696"/>
      <c r="J43" s="696"/>
      <c r="K43" s="696"/>
      <c r="L43" s="696"/>
      <c r="M43" s="696"/>
      <c r="N43" s="696"/>
      <c r="O43" s="696"/>
      <c r="P43" s="696"/>
      <c r="Q43" s="696"/>
      <c r="R43" s="696"/>
      <c r="S43" s="696"/>
      <c r="T43" s="696"/>
      <c r="U43" s="696"/>
      <c r="V43" s="696"/>
      <c r="W43" s="696"/>
      <c r="X43" s="696"/>
      <c r="Y43" s="696"/>
      <c r="Z43" s="696"/>
      <c r="AA43" s="696"/>
      <c r="AB43" s="696"/>
      <c r="AC43" s="696"/>
      <c r="AD43" s="696"/>
      <c r="AE43" s="696"/>
      <c r="AF43" s="696"/>
      <c r="AG43" s="697"/>
      <c r="AH43" s="373"/>
      <c r="AI43" s="373"/>
      <c r="AJ43" s="373"/>
      <c r="AK43" s="373"/>
      <c r="AM43" s="367" t="str">
        <f t="shared" si="0"/>
        <v>171963</v>
      </c>
      <c r="AN43" s="367" t="str">
        <f t="shared" si="1"/>
        <v>PB681E-N(8.1)</v>
      </c>
      <c r="AO43" s="367" t="str">
        <f t="shared" si="2"/>
        <v>2DG-GC2ADBA-CBAAAB</v>
      </c>
      <c r="AP43" s="367" t="str">
        <f t="shared" si="3"/>
        <v>大八清掃社</v>
      </c>
      <c r="AQ43" s="367" t="str">
        <f t="shared" si="4"/>
        <v>関西支店</v>
      </c>
      <c r="AR43" s="367" t="str">
        <f t="shared" si="5"/>
        <v>平井</v>
      </c>
    </row>
    <row r="44" spans="1:44" ht="23.25" customHeight="1" x14ac:dyDescent="0.25">
      <c r="A44" s="698"/>
      <c r="B44" s="699"/>
      <c r="C44" s="700"/>
      <c r="D44" s="701"/>
      <c r="E44" s="701"/>
      <c r="F44" s="701"/>
      <c r="G44" s="701"/>
      <c r="H44" s="701"/>
      <c r="I44" s="701"/>
      <c r="J44" s="701"/>
      <c r="K44" s="701"/>
      <c r="L44" s="701"/>
      <c r="M44" s="701"/>
      <c r="N44" s="701"/>
      <c r="O44" s="701"/>
      <c r="P44" s="701"/>
      <c r="Q44" s="701"/>
      <c r="R44" s="701"/>
      <c r="S44" s="701"/>
      <c r="T44" s="701"/>
      <c r="U44" s="701"/>
      <c r="V44" s="701"/>
      <c r="W44" s="701"/>
      <c r="X44" s="701"/>
      <c r="Y44" s="701"/>
      <c r="Z44" s="701"/>
      <c r="AA44" s="701"/>
      <c r="AB44" s="701"/>
      <c r="AC44" s="701"/>
      <c r="AD44" s="701"/>
      <c r="AE44" s="701"/>
      <c r="AF44" s="701"/>
      <c r="AG44" s="702"/>
      <c r="AH44" s="374"/>
      <c r="AI44" s="374"/>
      <c r="AJ44" s="374"/>
      <c r="AK44" s="374"/>
      <c r="AM44" s="367" t="str">
        <f t="shared" si="0"/>
        <v>171963</v>
      </c>
      <c r="AN44" s="367" t="str">
        <f t="shared" si="1"/>
        <v>PB681E-N(8.1)</v>
      </c>
      <c r="AO44" s="367" t="str">
        <f t="shared" si="2"/>
        <v>2DG-GC2ADBA-CBAAAB</v>
      </c>
      <c r="AP44" s="367" t="str">
        <f t="shared" si="3"/>
        <v>大八清掃社</v>
      </c>
      <c r="AQ44" s="367" t="str">
        <f t="shared" si="4"/>
        <v>関西支店</v>
      </c>
      <c r="AR44" s="367" t="str">
        <f t="shared" si="5"/>
        <v>平井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4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写真の挿入">
                <anchor moveWithCells="1" sizeWithCells="1">
                  <from>
                    <xdr:col>33</xdr:col>
                    <xdr:colOff>133350</xdr:colOff>
                    <xdr:row>1</xdr:row>
                    <xdr:rowOff>19050</xdr:rowOff>
                  </from>
                  <to>
                    <xdr:col>36</xdr:col>
                    <xdr:colOff>1238250</xdr:colOff>
                    <xdr:row>3</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indexed="45"/>
  </sheetPr>
  <dimension ref="A1:AR84"/>
  <sheetViews>
    <sheetView showZeros="0" zoomScaleNormal="100" workbookViewId="0">
      <selection activeCell="BF7" sqref="BF7"/>
    </sheetView>
  </sheetViews>
  <sheetFormatPr defaultColWidth="2.59765625" defaultRowHeight="12.75" x14ac:dyDescent="0.25"/>
  <cols>
    <col min="1" max="33" width="2.86328125" style="176" customWidth="1"/>
    <col min="34" max="34" width="8.73046875" style="176" customWidth="1"/>
    <col min="35" max="35" width="8.1328125" style="176" customWidth="1"/>
    <col min="36" max="36" width="24.59765625" style="176" customWidth="1"/>
    <col min="37" max="37" width="36.59765625" style="176" customWidth="1"/>
    <col min="38" max="38" width="2.59765625" style="176" customWidth="1"/>
    <col min="39" max="44" width="8.59765625" style="176" customWidth="1"/>
    <col min="45" max="16384" width="2.59765625" style="176"/>
  </cols>
  <sheetData>
    <row r="1" spans="1:44" ht="18" customHeight="1" x14ac:dyDescent="0.25">
      <c r="A1" s="748"/>
      <c r="B1" s="748"/>
      <c r="C1" s="748"/>
      <c r="D1" s="171"/>
      <c r="E1" s="749"/>
      <c r="F1" s="749"/>
      <c r="G1" s="749"/>
      <c r="H1" s="749"/>
      <c r="I1" s="749"/>
      <c r="J1" s="171"/>
      <c r="K1" s="172"/>
      <c r="L1" s="173"/>
      <c r="M1" s="173"/>
      <c r="N1" s="173"/>
      <c r="O1" s="173"/>
      <c r="P1" s="173"/>
      <c r="Q1" s="173"/>
      <c r="R1" s="173"/>
      <c r="S1" s="173"/>
      <c r="T1" s="173"/>
      <c r="U1" s="173"/>
      <c r="V1" s="173"/>
      <c r="W1" s="173"/>
      <c r="X1" s="173"/>
      <c r="Y1" s="173"/>
      <c r="Z1" s="173"/>
      <c r="AA1" s="173"/>
      <c r="AB1" s="173"/>
      <c r="AC1" s="174" t="s">
        <v>53</v>
      </c>
      <c r="AD1" s="371"/>
      <c r="AE1" s="175" t="s">
        <v>811</v>
      </c>
      <c r="AF1" s="371"/>
      <c r="AG1" s="173" t="s">
        <v>54</v>
      </c>
    </row>
    <row r="2" spans="1:44" ht="3" customHeight="1" x14ac:dyDescent="0.25">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row>
    <row r="3" spans="1:44" ht="18" customHeight="1" x14ac:dyDescent="0.4">
      <c r="A3" s="742" t="s">
        <v>763</v>
      </c>
      <c r="B3" s="743"/>
      <c r="C3" s="743"/>
      <c r="D3" s="743"/>
      <c r="E3" s="743"/>
      <c r="F3" s="743"/>
      <c r="G3" s="743"/>
      <c r="H3" s="743"/>
      <c r="I3" s="743"/>
      <c r="J3" s="743"/>
      <c r="K3" s="743"/>
      <c r="L3" s="743"/>
      <c r="M3" s="743"/>
      <c r="N3" s="743"/>
      <c r="O3" s="743"/>
      <c r="P3" s="743"/>
      <c r="Q3" s="743"/>
      <c r="R3" s="746" t="str">
        <f>受注仕様書!C4</f>
        <v>Vol.2.5</v>
      </c>
      <c r="S3" s="746"/>
      <c r="T3" s="746"/>
      <c r="U3" s="746"/>
      <c r="V3" s="388"/>
      <c r="W3" s="388"/>
      <c r="X3" s="750" t="s">
        <v>764</v>
      </c>
      <c r="Y3" s="750"/>
      <c r="Z3" s="750"/>
      <c r="AA3" s="750"/>
      <c r="AB3" s="750"/>
      <c r="AC3" s="751"/>
      <c r="AD3" s="751"/>
      <c r="AE3" s="751"/>
      <c r="AF3" s="751"/>
      <c r="AG3" s="752"/>
    </row>
    <row r="4" spans="1:44" ht="18" customHeight="1" x14ac:dyDescent="0.4">
      <c r="A4" s="744"/>
      <c r="B4" s="745"/>
      <c r="C4" s="745"/>
      <c r="D4" s="745"/>
      <c r="E4" s="745"/>
      <c r="F4" s="745"/>
      <c r="G4" s="745"/>
      <c r="H4" s="745"/>
      <c r="I4" s="745"/>
      <c r="J4" s="745"/>
      <c r="K4" s="745"/>
      <c r="L4" s="745"/>
      <c r="M4" s="745"/>
      <c r="N4" s="745"/>
      <c r="O4" s="745"/>
      <c r="P4" s="745"/>
      <c r="Q4" s="745"/>
      <c r="R4" s="747"/>
      <c r="S4" s="747"/>
      <c r="T4" s="747"/>
      <c r="U4" s="747"/>
      <c r="V4" s="389"/>
      <c r="W4" s="389"/>
      <c r="X4" s="738" t="s">
        <v>765</v>
      </c>
      <c r="Y4" s="738"/>
      <c r="Z4" s="738"/>
      <c r="AA4" s="738"/>
      <c r="AB4" s="738"/>
      <c r="AC4" s="739">
        <v>43257</v>
      </c>
      <c r="AD4" s="740"/>
      <c r="AE4" s="740"/>
      <c r="AF4" s="740"/>
      <c r="AG4" s="741"/>
    </row>
    <row r="5" spans="1:44" ht="13.5" customHeight="1" x14ac:dyDescent="0.25">
      <c r="A5" s="178"/>
      <c r="B5" s="179"/>
      <c r="C5" s="180"/>
      <c r="D5" s="180"/>
      <c r="E5" s="180"/>
      <c r="F5" s="180"/>
      <c r="G5" s="180"/>
      <c r="H5" s="180"/>
      <c r="I5" s="180"/>
      <c r="J5" s="180"/>
      <c r="K5" s="180"/>
      <c r="L5" s="180"/>
      <c r="M5" s="390"/>
      <c r="N5" s="390"/>
      <c r="O5" s="390"/>
      <c r="P5" s="180"/>
      <c r="Q5" s="180"/>
      <c r="R5" s="180"/>
      <c r="S5" s="180"/>
      <c r="T5" s="180"/>
      <c r="U5" s="180"/>
      <c r="V5" s="179"/>
      <c r="W5" s="179"/>
      <c r="X5" s="179"/>
      <c r="Y5" s="179"/>
      <c r="Z5" s="179"/>
      <c r="AA5" s="179"/>
      <c r="AB5" s="179"/>
      <c r="AC5" s="179"/>
      <c r="AD5" s="179"/>
      <c r="AE5" s="179"/>
      <c r="AF5" s="179"/>
      <c r="AG5" s="181"/>
      <c r="AH5" s="783" t="s">
        <v>510</v>
      </c>
      <c r="AI5" s="784"/>
      <c r="AJ5" s="784"/>
      <c r="AK5" s="784"/>
    </row>
    <row r="6" spans="1:44" ht="18" customHeight="1" x14ac:dyDescent="0.25">
      <c r="A6" s="712" t="s">
        <v>766</v>
      </c>
      <c r="B6" s="713"/>
      <c r="C6" s="713"/>
      <c r="D6" s="713"/>
      <c r="E6" s="713"/>
      <c r="F6" s="713"/>
      <c r="G6" s="713"/>
      <c r="H6" s="713"/>
      <c r="I6" s="713"/>
      <c r="J6" s="713" t="s">
        <v>767</v>
      </c>
      <c r="K6" s="713"/>
      <c r="L6" s="713"/>
      <c r="M6" s="713" t="s">
        <v>768</v>
      </c>
      <c r="N6" s="713"/>
      <c r="O6" s="713"/>
      <c r="P6" s="713" t="s">
        <v>769</v>
      </c>
      <c r="Q6" s="713"/>
      <c r="R6" s="714"/>
      <c r="S6" s="706" t="s">
        <v>770</v>
      </c>
      <c r="T6" s="707"/>
      <c r="U6" s="707"/>
      <c r="V6" s="707"/>
      <c r="W6" s="707"/>
      <c r="X6" s="707"/>
      <c r="Y6" s="707"/>
      <c r="Z6" s="707"/>
      <c r="AA6" s="708"/>
      <c r="AB6" s="709" t="s">
        <v>636</v>
      </c>
      <c r="AC6" s="710"/>
      <c r="AD6" s="710"/>
      <c r="AE6" s="710"/>
      <c r="AF6" s="710"/>
      <c r="AG6" s="711"/>
      <c r="AH6" s="783" t="s">
        <v>511</v>
      </c>
      <c r="AI6" s="784"/>
      <c r="AJ6" s="784"/>
      <c r="AK6" s="784"/>
    </row>
    <row r="7" spans="1:44" ht="13.5" customHeight="1" x14ac:dyDescent="0.25">
      <c r="A7" s="763" t="str">
        <f>受注仕様書!L8</f>
        <v>関西支店</v>
      </c>
      <c r="B7" s="764"/>
      <c r="C7" s="764"/>
      <c r="D7" s="764"/>
      <c r="E7" s="764"/>
      <c r="F7" s="764"/>
      <c r="G7" s="764"/>
      <c r="H7" s="764"/>
      <c r="I7" s="764"/>
      <c r="J7" s="764" t="str">
        <f>受注仕様書!U6</f>
        <v>古林</v>
      </c>
      <c r="K7" s="764"/>
      <c r="L7" s="764"/>
      <c r="M7" s="764" t="str">
        <f>受注仕様書!Y6</f>
        <v>平井</v>
      </c>
      <c r="N7" s="764"/>
      <c r="O7" s="764"/>
      <c r="P7" s="764" t="str">
        <f>受注仕様書!AC6</f>
        <v>山北</v>
      </c>
      <c r="Q7" s="764"/>
      <c r="R7" s="767"/>
      <c r="S7" s="791"/>
      <c r="T7" s="792"/>
      <c r="U7" s="792"/>
      <c r="V7" s="792"/>
      <c r="W7" s="792"/>
      <c r="X7" s="792"/>
      <c r="Y7" s="792"/>
      <c r="Z7" s="792"/>
      <c r="AA7" s="795"/>
      <c r="AB7" s="757">
        <f>受注仕様書!L13</f>
        <v>0</v>
      </c>
      <c r="AC7" s="758"/>
      <c r="AD7" s="758"/>
      <c r="AE7" s="758"/>
      <c r="AF7" s="758"/>
      <c r="AG7" s="759"/>
      <c r="AH7" s="785" t="s">
        <v>512</v>
      </c>
      <c r="AI7" s="786"/>
      <c r="AJ7" s="786"/>
      <c r="AK7" s="786"/>
    </row>
    <row r="8" spans="1:44" ht="13.5" customHeight="1" x14ac:dyDescent="0.25">
      <c r="A8" s="763"/>
      <c r="B8" s="764"/>
      <c r="C8" s="764"/>
      <c r="D8" s="764"/>
      <c r="E8" s="764"/>
      <c r="F8" s="764"/>
      <c r="G8" s="764"/>
      <c r="H8" s="764"/>
      <c r="I8" s="764"/>
      <c r="J8" s="764"/>
      <c r="K8" s="764"/>
      <c r="L8" s="764"/>
      <c r="M8" s="764"/>
      <c r="N8" s="764"/>
      <c r="O8" s="764"/>
      <c r="P8" s="764"/>
      <c r="Q8" s="764"/>
      <c r="R8" s="767"/>
      <c r="S8" s="791"/>
      <c r="T8" s="792"/>
      <c r="U8" s="792"/>
      <c r="V8" s="792"/>
      <c r="W8" s="792"/>
      <c r="X8" s="792"/>
      <c r="Y8" s="792"/>
      <c r="Z8" s="792"/>
      <c r="AA8" s="795"/>
      <c r="AB8" s="757"/>
      <c r="AC8" s="758"/>
      <c r="AD8" s="758"/>
      <c r="AE8" s="758"/>
      <c r="AF8" s="758"/>
      <c r="AG8" s="759"/>
      <c r="AH8" s="797">
        <f>SUM(AH9:AI9)</f>
        <v>0</v>
      </c>
      <c r="AI8" s="797"/>
      <c r="AJ8" s="112"/>
      <c r="AK8" s="112"/>
    </row>
    <row r="9" spans="1:44" ht="13.5" customHeight="1" x14ac:dyDescent="0.25">
      <c r="A9" s="765"/>
      <c r="B9" s="766"/>
      <c r="C9" s="766"/>
      <c r="D9" s="766"/>
      <c r="E9" s="766"/>
      <c r="F9" s="766"/>
      <c r="G9" s="766"/>
      <c r="H9" s="766"/>
      <c r="I9" s="766"/>
      <c r="J9" s="766"/>
      <c r="K9" s="766"/>
      <c r="L9" s="766"/>
      <c r="M9" s="766"/>
      <c r="N9" s="766"/>
      <c r="O9" s="766"/>
      <c r="P9" s="766"/>
      <c r="Q9" s="766"/>
      <c r="R9" s="768"/>
      <c r="S9" s="793"/>
      <c r="T9" s="794"/>
      <c r="U9" s="794"/>
      <c r="V9" s="794"/>
      <c r="W9" s="794"/>
      <c r="X9" s="794"/>
      <c r="Y9" s="794"/>
      <c r="Z9" s="794"/>
      <c r="AA9" s="796"/>
      <c r="AB9" s="760"/>
      <c r="AC9" s="761"/>
      <c r="AD9" s="761"/>
      <c r="AE9" s="761"/>
      <c r="AF9" s="761"/>
      <c r="AG9" s="762"/>
      <c r="AH9" s="510">
        <f>SUM(AH20:AH44)</f>
        <v>0</v>
      </c>
      <c r="AI9" s="510">
        <f>SUM(AI20:AI44)</f>
        <v>0</v>
      </c>
      <c r="AJ9" s="112"/>
      <c r="AK9" s="112"/>
    </row>
    <row r="10" spans="1:44" ht="24.75" customHeight="1" x14ac:dyDescent="0.25">
      <c r="A10" s="755" t="s">
        <v>771</v>
      </c>
      <c r="B10" s="756"/>
      <c r="C10" s="756"/>
      <c r="D10" s="756"/>
      <c r="E10" s="756"/>
      <c r="F10" s="769" t="s">
        <v>772</v>
      </c>
      <c r="G10" s="770"/>
      <c r="H10" s="771"/>
      <c r="I10" s="772" t="str">
        <f>受注仕様書!AG8</f>
        <v>171963</v>
      </c>
      <c r="J10" s="773"/>
      <c r="K10" s="773"/>
      <c r="L10" s="773"/>
      <c r="M10" s="773"/>
      <c r="N10" s="773"/>
      <c r="O10" s="773"/>
      <c r="P10" s="773"/>
      <c r="Q10" s="773"/>
      <c r="R10" s="773"/>
      <c r="S10" s="773"/>
      <c r="T10" s="773"/>
      <c r="U10" s="773"/>
      <c r="V10" s="773"/>
      <c r="W10" s="773"/>
      <c r="X10" s="773"/>
      <c r="Y10" s="774"/>
      <c r="Z10" s="798" t="s">
        <v>773</v>
      </c>
      <c r="AA10" s="799"/>
      <c r="AB10" s="799"/>
      <c r="AC10" s="799"/>
      <c r="AD10" s="800"/>
      <c r="AE10" s="801" t="s">
        <v>1546</v>
      </c>
      <c r="AF10" s="802"/>
      <c r="AG10" s="803"/>
      <c r="AH10" s="787" t="s">
        <v>774</v>
      </c>
      <c r="AI10" s="788"/>
      <c r="AJ10" s="112"/>
      <c r="AK10" s="112"/>
    </row>
    <row r="11" spans="1:44" ht="10.5" customHeight="1" x14ac:dyDescent="0.25">
      <c r="A11" s="775" t="s">
        <v>775</v>
      </c>
      <c r="B11" s="776"/>
      <c r="C11" s="776"/>
      <c r="D11" s="776"/>
      <c r="E11" s="777" t="str">
        <f>受注仕様書!L9</f>
        <v>大阪日野自動車㈱</v>
      </c>
      <c r="F11" s="722"/>
      <c r="G11" s="722"/>
      <c r="H11" s="722"/>
      <c r="I11" s="722"/>
      <c r="J11" s="722"/>
      <c r="K11" s="722"/>
      <c r="L11" s="722"/>
      <c r="M11" s="722"/>
      <c r="N11" s="722"/>
      <c r="O11" s="722"/>
      <c r="P11" s="722"/>
      <c r="Q11" s="722"/>
      <c r="R11" s="723"/>
      <c r="S11" s="778" t="s">
        <v>813</v>
      </c>
      <c r="T11" s="716"/>
      <c r="U11" s="716"/>
      <c r="V11" s="716"/>
      <c r="W11" s="779" t="str">
        <f>受注仕様書!AG9</f>
        <v>ﾀﾞｲﾊﾁｾｲｿｳｼｬ</v>
      </c>
      <c r="X11" s="779"/>
      <c r="Y11" s="779"/>
      <c r="Z11" s="779"/>
      <c r="AA11" s="779"/>
      <c r="AB11" s="779"/>
      <c r="AC11" s="779"/>
      <c r="AD11" s="779"/>
      <c r="AE11" s="779"/>
      <c r="AF11" s="779"/>
      <c r="AG11" s="780"/>
      <c r="AH11" s="789"/>
      <c r="AI11" s="790"/>
      <c r="AJ11" s="112"/>
      <c r="AK11" s="112"/>
    </row>
    <row r="12" spans="1:44" ht="25.5" customHeight="1" x14ac:dyDescent="0.25">
      <c r="A12" s="775"/>
      <c r="B12" s="776"/>
      <c r="C12" s="776"/>
      <c r="D12" s="776"/>
      <c r="E12" s="724"/>
      <c r="F12" s="725"/>
      <c r="G12" s="725"/>
      <c r="H12" s="725"/>
      <c r="I12" s="725"/>
      <c r="J12" s="725"/>
      <c r="K12" s="725"/>
      <c r="L12" s="725"/>
      <c r="M12" s="725"/>
      <c r="N12" s="725"/>
      <c r="O12" s="725"/>
      <c r="P12" s="725"/>
      <c r="Q12" s="725"/>
      <c r="R12" s="726"/>
      <c r="S12" s="716"/>
      <c r="T12" s="716"/>
      <c r="U12" s="716"/>
      <c r="V12" s="716"/>
      <c r="W12" s="753" t="str">
        <f>受注仕様書!AG10</f>
        <v>大八清掃社</v>
      </c>
      <c r="X12" s="753"/>
      <c r="Y12" s="753"/>
      <c r="Z12" s="753"/>
      <c r="AA12" s="753"/>
      <c r="AB12" s="753"/>
      <c r="AC12" s="753"/>
      <c r="AD12" s="753"/>
      <c r="AE12" s="753"/>
      <c r="AF12" s="753"/>
      <c r="AG12" s="754"/>
      <c r="AH12" s="834" t="s">
        <v>795</v>
      </c>
      <c r="AI12" s="834" t="s">
        <v>796</v>
      </c>
      <c r="AJ12" s="834" t="s">
        <v>797</v>
      </c>
      <c r="AK12" s="834" t="s">
        <v>798</v>
      </c>
    </row>
    <row r="13" spans="1:44" ht="18" customHeight="1" x14ac:dyDescent="0.25">
      <c r="A13" s="715" t="s">
        <v>799</v>
      </c>
      <c r="B13" s="716"/>
      <c r="C13" s="716"/>
      <c r="D13" s="716"/>
      <c r="E13" s="721">
        <f>受注仕様書!AG17</f>
        <v>43320</v>
      </c>
      <c r="F13" s="722"/>
      <c r="G13" s="722"/>
      <c r="H13" s="722"/>
      <c r="I13" s="722"/>
      <c r="J13" s="722"/>
      <c r="K13" s="723"/>
      <c r="L13" s="719" t="s">
        <v>800</v>
      </c>
      <c r="M13" s="719"/>
      <c r="N13" s="719"/>
      <c r="O13" s="719"/>
      <c r="P13" s="721">
        <f>受注仕様書!L11</f>
        <v>43376</v>
      </c>
      <c r="Q13" s="722"/>
      <c r="R13" s="722"/>
      <c r="S13" s="722"/>
      <c r="T13" s="722"/>
      <c r="U13" s="722"/>
      <c r="V13" s="723"/>
      <c r="W13" s="840" t="s">
        <v>313</v>
      </c>
      <c r="X13" s="841"/>
      <c r="Y13" s="841"/>
      <c r="Z13" s="842"/>
      <c r="AA13" s="721">
        <f>受注仕様書!AG11</f>
        <v>43399</v>
      </c>
      <c r="AB13" s="722"/>
      <c r="AC13" s="722"/>
      <c r="AD13" s="722"/>
      <c r="AE13" s="722"/>
      <c r="AF13" s="722"/>
      <c r="AG13" s="727"/>
      <c r="AH13" s="835"/>
      <c r="AI13" s="835"/>
      <c r="AJ13" s="835"/>
      <c r="AK13" s="835"/>
    </row>
    <row r="14" spans="1:44" ht="17.25" customHeight="1" x14ac:dyDescent="0.25">
      <c r="A14" s="717"/>
      <c r="B14" s="718"/>
      <c r="C14" s="718"/>
      <c r="D14" s="718"/>
      <c r="E14" s="724"/>
      <c r="F14" s="725"/>
      <c r="G14" s="725"/>
      <c r="H14" s="725"/>
      <c r="I14" s="725"/>
      <c r="J14" s="725"/>
      <c r="K14" s="726"/>
      <c r="L14" s="720"/>
      <c r="M14" s="720"/>
      <c r="N14" s="720"/>
      <c r="O14" s="720"/>
      <c r="P14" s="724"/>
      <c r="Q14" s="725"/>
      <c r="R14" s="725"/>
      <c r="S14" s="725"/>
      <c r="T14" s="725"/>
      <c r="U14" s="725"/>
      <c r="V14" s="726"/>
      <c r="W14" s="843"/>
      <c r="X14" s="844"/>
      <c r="Y14" s="844"/>
      <c r="Z14" s="845"/>
      <c r="AA14" s="724"/>
      <c r="AB14" s="725"/>
      <c r="AC14" s="725"/>
      <c r="AD14" s="725"/>
      <c r="AE14" s="725"/>
      <c r="AF14" s="725"/>
      <c r="AG14" s="728"/>
      <c r="AH14" s="835"/>
      <c r="AI14" s="835"/>
      <c r="AJ14" s="835"/>
      <c r="AK14" s="835"/>
    </row>
    <row r="15" spans="1:44" ht="18" customHeight="1" x14ac:dyDescent="0.25">
      <c r="A15" s="817" t="s">
        <v>801</v>
      </c>
      <c r="B15" s="818"/>
      <c r="C15" s="818"/>
      <c r="D15" s="819"/>
      <c r="E15" s="732" t="str">
        <f>受注仕様書!L27</f>
        <v>PB681E-N(8.1)</v>
      </c>
      <c r="F15" s="733"/>
      <c r="G15" s="733"/>
      <c r="H15" s="733"/>
      <c r="I15" s="733"/>
      <c r="J15" s="734"/>
      <c r="K15" s="731" t="s">
        <v>802</v>
      </c>
      <c r="L15" s="731"/>
      <c r="M15" s="820" t="str">
        <f>受注仕様書!L16</f>
        <v>日野</v>
      </c>
      <c r="N15" s="820"/>
      <c r="O15" s="820"/>
      <c r="P15" s="820"/>
      <c r="Q15" s="820"/>
      <c r="R15" s="735" t="s">
        <v>803</v>
      </c>
      <c r="S15" s="735"/>
      <c r="T15" s="732" t="str">
        <f>受注仕様書!AG16</f>
        <v>2DG-GC2ADBA-CBAAAB</v>
      </c>
      <c r="U15" s="733"/>
      <c r="V15" s="733"/>
      <c r="W15" s="733"/>
      <c r="X15" s="733"/>
      <c r="Y15" s="733"/>
      <c r="Z15" s="734"/>
      <c r="AA15" s="731" t="s">
        <v>804</v>
      </c>
      <c r="AB15" s="731"/>
      <c r="AC15" s="731"/>
      <c r="AD15" s="729">
        <f>受注仕様書!L17</f>
        <v>0</v>
      </c>
      <c r="AE15" s="729"/>
      <c r="AF15" s="729"/>
      <c r="AG15" s="730"/>
      <c r="AH15" s="835"/>
      <c r="AI15" s="835"/>
      <c r="AJ15" s="835"/>
      <c r="AK15" s="835"/>
      <c r="AM15" s="821" t="s">
        <v>505</v>
      </c>
      <c r="AN15" s="822"/>
      <c r="AO15" s="822"/>
      <c r="AP15" s="822"/>
      <c r="AQ15" s="822"/>
      <c r="AR15" s="823"/>
    </row>
    <row r="16" spans="1:44" ht="18" customHeight="1" x14ac:dyDescent="0.25">
      <c r="A16" s="781" t="s">
        <v>807</v>
      </c>
      <c r="B16" s="782"/>
      <c r="C16" s="782"/>
      <c r="D16" s="782"/>
      <c r="E16" s="782"/>
      <c r="F16" s="782"/>
      <c r="G16" s="782"/>
      <c r="H16" s="782"/>
      <c r="I16" s="782"/>
      <c r="J16" s="782"/>
      <c r="K16" s="782"/>
      <c r="L16" s="782"/>
      <c r="M16" s="782"/>
      <c r="N16" s="782"/>
      <c r="O16" s="782"/>
      <c r="P16" s="782"/>
      <c r="Q16" s="782"/>
      <c r="R16" s="782"/>
      <c r="S16" s="782"/>
      <c r="T16" s="782"/>
      <c r="U16" s="782"/>
      <c r="V16" s="782"/>
      <c r="W16" s="782"/>
      <c r="X16" s="782"/>
      <c r="Y16" s="511" t="s">
        <v>53</v>
      </c>
      <c r="Z16" s="815">
        <f>受注仕様書!AL13</f>
        <v>0</v>
      </c>
      <c r="AA16" s="816"/>
      <c r="AB16" s="369" t="s">
        <v>815</v>
      </c>
      <c r="AC16" s="511"/>
      <c r="AD16" s="511"/>
      <c r="AE16" s="511"/>
      <c r="AF16" s="511"/>
      <c r="AG16" s="370" t="s">
        <v>54</v>
      </c>
      <c r="AH16" s="836"/>
      <c r="AI16" s="836"/>
      <c r="AJ16" s="836"/>
      <c r="AK16" s="836"/>
      <c r="AM16" s="824"/>
      <c r="AN16" s="825"/>
      <c r="AO16" s="825"/>
      <c r="AP16" s="825"/>
      <c r="AQ16" s="825"/>
      <c r="AR16" s="826"/>
    </row>
    <row r="17" spans="1:44" ht="18" customHeight="1" x14ac:dyDescent="0.25">
      <c r="A17" s="804" t="s">
        <v>590</v>
      </c>
      <c r="B17" s="804"/>
      <c r="C17" s="804"/>
      <c r="D17" s="804"/>
      <c r="E17" s="804"/>
      <c r="F17" s="804"/>
      <c r="G17" s="804"/>
      <c r="H17" s="804"/>
      <c r="I17" s="804"/>
      <c r="J17" s="804"/>
      <c r="K17" s="804"/>
      <c r="L17" s="805" t="str">
        <f>'仕様指示書－作成－'!K119</f>
        <v>3-4．5-12．7-14．10-3．</v>
      </c>
      <c r="M17" s="806"/>
      <c r="N17" s="806"/>
      <c r="O17" s="806"/>
      <c r="P17" s="806"/>
      <c r="Q17" s="806"/>
      <c r="R17" s="806"/>
      <c r="S17" s="806"/>
      <c r="T17" s="806"/>
      <c r="U17" s="806"/>
      <c r="V17" s="806"/>
      <c r="W17" s="806"/>
      <c r="X17" s="806"/>
      <c r="Y17" s="806"/>
      <c r="Z17" s="806"/>
      <c r="AA17" s="806"/>
      <c r="AB17" s="806"/>
      <c r="AC17" s="806"/>
      <c r="AD17" s="806"/>
      <c r="AE17" s="806"/>
      <c r="AF17" s="806"/>
      <c r="AG17" s="807"/>
      <c r="AH17" s="811">
        <v>1</v>
      </c>
      <c r="AI17" s="813"/>
      <c r="AJ17" s="830" t="s">
        <v>805</v>
      </c>
      <c r="AK17" s="832" t="s">
        <v>806</v>
      </c>
      <c r="AM17" s="824"/>
      <c r="AN17" s="825"/>
      <c r="AO17" s="825"/>
      <c r="AP17" s="825"/>
      <c r="AQ17" s="825"/>
      <c r="AR17" s="826"/>
    </row>
    <row r="18" spans="1:44" ht="18" customHeight="1" x14ac:dyDescent="0.25">
      <c r="A18" s="804"/>
      <c r="B18" s="804"/>
      <c r="C18" s="804"/>
      <c r="D18" s="804"/>
      <c r="E18" s="804"/>
      <c r="F18" s="804"/>
      <c r="G18" s="804"/>
      <c r="H18" s="804"/>
      <c r="I18" s="804"/>
      <c r="J18" s="804"/>
      <c r="K18" s="804"/>
      <c r="L18" s="808"/>
      <c r="M18" s="809"/>
      <c r="N18" s="809"/>
      <c r="O18" s="809"/>
      <c r="P18" s="809"/>
      <c r="Q18" s="809"/>
      <c r="R18" s="809"/>
      <c r="S18" s="809"/>
      <c r="T18" s="809"/>
      <c r="U18" s="809"/>
      <c r="V18" s="809"/>
      <c r="W18" s="809"/>
      <c r="X18" s="809"/>
      <c r="Y18" s="809"/>
      <c r="Z18" s="809"/>
      <c r="AA18" s="809"/>
      <c r="AB18" s="809"/>
      <c r="AC18" s="809"/>
      <c r="AD18" s="809"/>
      <c r="AE18" s="809"/>
      <c r="AF18" s="809"/>
      <c r="AG18" s="810"/>
      <c r="AH18" s="812"/>
      <c r="AI18" s="814"/>
      <c r="AJ18" s="831"/>
      <c r="AK18" s="833"/>
      <c r="AM18" s="827"/>
      <c r="AN18" s="828"/>
      <c r="AO18" s="828"/>
      <c r="AP18" s="828"/>
      <c r="AQ18" s="828"/>
      <c r="AR18" s="829"/>
    </row>
    <row r="19" spans="1:44" ht="26.1" customHeight="1" x14ac:dyDescent="0.25">
      <c r="A19" s="736" t="s">
        <v>327</v>
      </c>
      <c r="B19" s="737"/>
      <c r="C19" s="837" t="s">
        <v>808</v>
      </c>
      <c r="D19" s="838"/>
      <c r="E19" s="838"/>
      <c r="F19" s="838"/>
      <c r="G19" s="838"/>
      <c r="H19" s="838"/>
      <c r="I19" s="838"/>
      <c r="J19" s="838"/>
      <c r="K19" s="838"/>
      <c r="L19" s="838"/>
      <c r="M19" s="838"/>
      <c r="N19" s="838"/>
      <c r="O19" s="838"/>
      <c r="P19" s="838"/>
      <c r="Q19" s="838"/>
      <c r="R19" s="838"/>
      <c r="S19" s="838"/>
      <c r="T19" s="838"/>
      <c r="U19" s="838"/>
      <c r="V19" s="838"/>
      <c r="W19" s="838"/>
      <c r="X19" s="838"/>
      <c r="Y19" s="838"/>
      <c r="Z19" s="838"/>
      <c r="AA19" s="838"/>
      <c r="AB19" s="838"/>
      <c r="AC19" s="838"/>
      <c r="AD19" s="838"/>
      <c r="AE19" s="838"/>
      <c r="AF19" s="838"/>
      <c r="AG19" s="839"/>
      <c r="AH19" s="182"/>
      <c r="AI19" s="182">
        <v>1</v>
      </c>
      <c r="AJ19" s="183" t="s">
        <v>809</v>
      </c>
      <c r="AK19" s="184" t="s">
        <v>816</v>
      </c>
      <c r="AM19" s="365" t="s">
        <v>506</v>
      </c>
      <c r="AN19" s="365" t="s">
        <v>57</v>
      </c>
      <c r="AO19" s="365" t="s">
        <v>507</v>
      </c>
      <c r="AP19" s="365" t="s">
        <v>637</v>
      </c>
      <c r="AQ19" s="365" t="s">
        <v>508</v>
      </c>
      <c r="AR19" s="366" t="s">
        <v>509</v>
      </c>
    </row>
    <row r="20" spans="1:44" ht="23.25" customHeight="1" x14ac:dyDescent="0.25">
      <c r="A20" s="703" t="s">
        <v>420</v>
      </c>
      <c r="B20" s="704"/>
      <c r="C20" s="846" t="s">
        <v>1537</v>
      </c>
      <c r="D20" s="847"/>
      <c r="E20" s="847"/>
      <c r="F20" s="847"/>
      <c r="G20" s="847"/>
      <c r="H20" s="847"/>
      <c r="I20" s="847"/>
      <c r="J20" s="847"/>
      <c r="K20" s="847"/>
      <c r="L20" s="847"/>
      <c r="M20" s="847"/>
      <c r="N20" s="847"/>
      <c r="O20" s="847"/>
      <c r="P20" s="847"/>
      <c r="Q20" s="847"/>
      <c r="R20" s="847"/>
      <c r="S20" s="847"/>
      <c r="T20" s="847"/>
      <c r="U20" s="847"/>
      <c r="V20" s="847"/>
      <c r="W20" s="847"/>
      <c r="X20" s="847"/>
      <c r="Y20" s="847"/>
      <c r="Z20" s="847"/>
      <c r="AA20" s="847"/>
      <c r="AB20" s="847"/>
      <c r="AC20" s="847"/>
      <c r="AD20" s="847"/>
      <c r="AE20" s="847"/>
      <c r="AF20" s="847"/>
      <c r="AG20" s="848"/>
      <c r="AH20" s="372"/>
      <c r="AI20" s="372"/>
      <c r="AJ20" s="372"/>
      <c r="AK20" s="372"/>
      <c r="AM20" s="367" t="str">
        <f>$I$10</f>
        <v>171963</v>
      </c>
      <c r="AN20" s="367" t="str">
        <f>$E$15</f>
        <v>PB681E-N(8.1)</v>
      </c>
      <c r="AO20" s="367" t="str">
        <f>$T$15</f>
        <v>2DG-GC2ADBA-CBAAAB</v>
      </c>
      <c r="AP20" s="367" t="str">
        <f>$W$12</f>
        <v>大八清掃社</v>
      </c>
      <c r="AQ20" s="367" t="str">
        <f>$A$7</f>
        <v>関西支店</v>
      </c>
      <c r="AR20" s="367" t="str">
        <f>$M$7</f>
        <v>平井</v>
      </c>
    </row>
    <row r="21" spans="1:44" ht="23.25" customHeight="1" x14ac:dyDescent="0.25">
      <c r="A21" s="703"/>
      <c r="B21" s="704"/>
      <c r="C21" s="705" t="s">
        <v>1538</v>
      </c>
      <c r="D21" s="696"/>
      <c r="E21" s="696"/>
      <c r="F21" s="696"/>
      <c r="G21" s="696"/>
      <c r="H21" s="696"/>
      <c r="I21" s="696"/>
      <c r="J21" s="696"/>
      <c r="K21" s="696"/>
      <c r="L21" s="696"/>
      <c r="M21" s="696"/>
      <c r="N21" s="696"/>
      <c r="O21" s="696"/>
      <c r="P21" s="696"/>
      <c r="Q21" s="696"/>
      <c r="R21" s="696"/>
      <c r="S21" s="696"/>
      <c r="T21" s="696"/>
      <c r="U21" s="696"/>
      <c r="V21" s="696"/>
      <c r="W21" s="696"/>
      <c r="X21" s="696"/>
      <c r="Y21" s="696"/>
      <c r="Z21" s="696"/>
      <c r="AA21" s="696"/>
      <c r="AB21" s="696"/>
      <c r="AC21" s="696"/>
      <c r="AD21" s="696"/>
      <c r="AE21" s="696"/>
      <c r="AF21" s="696"/>
      <c r="AG21" s="697"/>
      <c r="AH21" s="373"/>
      <c r="AI21" s="373"/>
      <c r="AJ21" s="373"/>
      <c r="AK21" s="373"/>
      <c r="AM21" s="367" t="str">
        <f t="shared" ref="AM21:AM44" si="0">$I$10</f>
        <v>171963</v>
      </c>
      <c r="AN21" s="367" t="str">
        <f t="shared" ref="AN21:AN44" si="1">$E$15</f>
        <v>PB681E-N(8.1)</v>
      </c>
      <c r="AO21" s="367" t="str">
        <f t="shared" ref="AO21:AO44" si="2">$T$15</f>
        <v>2DG-GC2ADBA-CBAAAB</v>
      </c>
      <c r="AP21" s="367" t="str">
        <f t="shared" ref="AP21:AP44" si="3">$W$12</f>
        <v>大八清掃社</v>
      </c>
      <c r="AQ21" s="367" t="str">
        <f t="shared" ref="AQ21:AQ44" si="4">$A$7</f>
        <v>関西支店</v>
      </c>
      <c r="AR21" s="367" t="str">
        <f t="shared" ref="AR21:AR44" si="5">$M$7</f>
        <v>平井</v>
      </c>
    </row>
    <row r="22" spans="1:44" ht="23.25" customHeight="1" x14ac:dyDescent="0.25">
      <c r="A22" s="703"/>
      <c r="B22" s="704"/>
      <c r="C22" s="695"/>
      <c r="D22" s="696"/>
      <c r="E22" s="696"/>
      <c r="F22" s="696"/>
      <c r="G22" s="696"/>
      <c r="H22" s="696"/>
      <c r="I22" s="696"/>
      <c r="J22" s="696"/>
      <c r="K22" s="696"/>
      <c r="L22" s="696"/>
      <c r="M22" s="696"/>
      <c r="N22" s="696"/>
      <c r="O22" s="696"/>
      <c r="P22" s="696"/>
      <c r="Q22" s="696"/>
      <c r="R22" s="696"/>
      <c r="S22" s="696"/>
      <c r="T22" s="696"/>
      <c r="U22" s="696"/>
      <c r="V22" s="696"/>
      <c r="W22" s="696"/>
      <c r="X22" s="696"/>
      <c r="Y22" s="696"/>
      <c r="Z22" s="696"/>
      <c r="AA22" s="696"/>
      <c r="AB22" s="696"/>
      <c r="AC22" s="696"/>
      <c r="AD22" s="696"/>
      <c r="AE22" s="696"/>
      <c r="AF22" s="696"/>
      <c r="AG22" s="697"/>
      <c r="AH22" s="373"/>
      <c r="AI22" s="373"/>
      <c r="AJ22" s="373"/>
      <c r="AK22" s="373"/>
      <c r="AM22" s="367" t="str">
        <f t="shared" si="0"/>
        <v>171963</v>
      </c>
      <c r="AN22" s="367" t="str">
        <f t="shared" si="1"/>
        <v>PB681E-N(8.1)</v>
      </c>
      <c r="AO22" s="367" t="str">
        <f t="shared" si="2"/>
        <v>2DG-GC2ADBA-CBAAAB</v>
      </c>
      <c r="AP22" s="367" t="str">
        <f t="shared" si="3"/>
        <v>大八清掃社</v>
      </c>
      <c r="AQ22" s="367" t="str">
        <f t="shared" si="4"/>
        <v>関西支店</v>
      </c>
      <c r="AR22" s="367" t="str">
        <f t="shared" si="5"/>
        <v>平井</v>
      </c>
    </row>
    <row r="23" spans="1:44" ht="23.25" customHeight="1" x14ac:dyDescent="0.25">
      <c r="A23" s="703"/>
      <c r="B23" s="704"/>
      <c r="C23" s="695"/>
      <c r="D23" s="696"/>
      <c r="E23" s="696"/>
      <c r="F23" s="696"/>
      <c r="G23" s="696"/>
      <c r="H23" s="696"/>
      <c r="I23" s="696"/>
      <c r="J23" s="696"/>
      <c r="K23" s="696"/>
      <c r="L23" s="696"/>
      <c r="M23" s="696"/>
      <c r="N23" s="696"/>
      <c r="O23" s="696"/>
      <c r="P23" s="696"/>
      <c r="Q23" s="696"/>
      <c r="R23" s="696"/>
      <c r="S23" s="696"/>
      <c r="T23" s="696"/>
      <c r="U23" s="696"/>
      <c r="V23" s="696"/>
      <c r="W23" s="696"/>
      <c r="X23" s="696"/>
      <c r="Y23" s="696"/>
      <c r="Z23" s="696"/>
      <c r="AA23" s="696"/>
      <c r="AB23" s="696"/>
      <c r="AC23" s="696"/>
      <c r="AD23" s="696"/>
      <c r="AE23" s="696"/>
      <c r="AF23" s="696"/>
      <c r="AG23" s="697"/>
      <c r="AH23" s="373"/>
      <c r="AI23" s="373"/>
      <c r="AJ23" s="373"/>
      <c r="AK23" s="373"/>
      <c r="AM23" s="367" t="str">
        <f t="shared" si="0"/>
        <v>171963</v>
      </c>
      <c r="AN23" s="367" t="str">
        <f t="shared" si="1"/>
        <v>PB681E-N(8.1)</v>
      </c>
      <c r="AO23" s="367" t="str">
        <f t="shared" si="2"/>
        <v>2DG-GC2ADBA-CBAAAB</v>
      </c>
      <c r="AP23" s="367" t="str">
        <f t="shared" si="3"/>
        <v>大八清掃社</v>
      </c>
      <c r="AQ23" s="367" t="str">
        <f t="shared" si="4"/>
        <v>関西支店</v>
      </c>
      <c r="AR23" s="367" t="str">
        <f t="shared" si="5"/>
        <v>平井</v>
      </c>
    </row>
    <row r="24" spans="1:44" ht="23.25" customHeight="1" x14ac:dyDescent="0.25">
      <c r="A24" s="703"/>
      <c r="B24" s="704"/>
      <c r="C24" s="705" t="s">
        <v>1539</v>
      </c>
      <c r="D24" s="696"/>
      <c r="E24" s="696"/>
      <c r="F24" s="696"/>
      <c r="G24" s="696"/>
      <c r="H24" s="696"/>
      <c r="I24" s="696"/>
      <c r="J24" s="696"/>
      <c r="K24" s="696"/>
      <c r="L24" s="696"/>
      <c r="M24" s="696"/>
      <c r="N24" s="696"/>
      <c r="O24" s="696"/>
      <c r="P24" s="696"/>
      <c r="Q24" s="696"/>
      <c r="R24" s="696"/>
      <c r="S24" s="696"/>
      <c r="T24" s="696"/>
      <c r="U24" s="696"/>
      <c r="V24" s="696"/>
      <c r="W24" s="696"/>
      <c r="X24" s="696"/>
      <c r="Y24" s="696"/>
      <c r="Z24" s="696"/>
      <c r="AA24" s="696"/>
      <c r="AB24" s="696"/>
      <c r="AC24" s="696"/>
      <c r="AD24" s="696"/>
      <c r="AE24" s="696"/>
      <c r="AF24" s="696"/>
      <c r="AG24" s="697"/>
      <c r="AH24" s="373"/>
      <c r="AI24" s="373"/>
      <c r="AJ24" s="373"/>
      <c r="AK24" s="373"/>
      <c r="AM24" s="367" t="str">
        <f t="shared" si="0"/>
        <v>171963</v>
      </c>
      <c r="AN24" s="367" t="str">
        <f t="shared" si="1"/>
        <v>PB681E-N(8.1)</v>
      </c>
      <c r="AO24" s="367" t="str">
        <f t="shared" si="2"/>
        <v>2DG-GC2ADBA-CBAAAB</v>
      </c>
      <c r="AP24" s="367" t="str">
        <f t="shared" si="3"/>
        <v>大八清掃社</v>
      </c>
      <c r="AQ24" s="367" t="str">
        <f t="shared" si="4"/>
        <v>関西支店</v>
      </c>
      <c r="AR24" s="367" t="str">
        <f t="shared" si="5"/>
        <v>平井</v>
      </c>
    </row>
    <row r="25" spans="1:44" ht="23.25" customHeight="1" x14ac:dyDescent="0.25">
      <c r="A25" s="703"/>
      <c r="B25" s="704"/>
      <c r="C25" s="695"/>
      <c r="D25" s="696"/>
      <c r="E25" s="696"/>
      <c r="F25" s="696"/>
      <c r="G25" s="696"/>
      <c r="H25" s="696"/>
      <c r="I25" s="696"/>
      <c r="J25" s="696"/>
      <c r="K25" s="696"/>
      <c r="L25" s="696"/>
      <c r="M25" s="696"/>
      <c r="N25" s="696"/>
      <c r="O25" s="696"/>
      <c r="P25" s="696"/>
      <c r="Q25" s="696"/>
      <c r="R25" s="696"/>
      <c r="S25" s="696"/>
      <c r="T25" s="696"/>
      <c r="U25" s="696"/>
      <c r="V25" s="696"/>
      <c r="W25" s="696"/>
      <c r="X25" s="696"/>
      <c r="Y25" s="696"/>
      <c r="Z25" s="696"/>
      <c r="AA25" s="696"/>
      <c r="AB25" s="696"/>
      <c r="AC25" s="696"/>
      <c r="AD25" s="696"/>
      <c r="AE25" s="696"/>
      <c r="AF25" s="696"/>
      <c r="AG25" s="697"/>
      <c r="AH25" s="373"/>
      <c r="AI25" s="373"/>
      <c r="AJ25" s="373"/>
      <c r="AK25" s="373"/>
      <c r="AM25" s="367" t="str">
        <f t="shared" si="0"/>
        <v>171963</v>
      </c>
      <c r="AN25" s="367" t="str">
        <f t="shared" si="1"/>
        <v>PB681E-N(8.1)</v>
      </c>
      <c r="AO25" s="367" t="str">
        <f t="shared" si="2"/>
        <v>2DG-GC2ADBA-CBAAAB</v>
      </c>
      <c r="AP25" s="367" t="str">
        <f t="shared" si="3"/>
        <v>大八清掃社</v>
      </c>
      <c r="AQ25" s="367" t="str">
        <f t="shared" si="4"/>
        <v>関西支店</v>
      </c>
      <c r="AR25" s="367" t="str">
        <f t="shared" si="5"/>
        <v>平井</v>
      </c>
    </row>
    <row r="26" spans="1:44" ht="23.25" customHeight="1" x14ac:dyDescent="0.25">
      <c r="A26" s="703"/>
      <c r="B26" s="704"/>
      <c r="C26" s="695"/>
      <c r="D26" s="696"/>
      <c r="E26" s="696"/>
      <c r="F26" s="696"/>
      <c r="G26" s="696"/>
      <c r="H26" s="696"/>
      <c r="I26" s="696"/>
      <c r="J26" s="696"/>
      <c r="K26" s="696"/>
      <c r="L26" s="696"/>
      <c r="M26" s="696"/>
      <c r="N26" s="696"/>
      <c r="O26" s="696"/>
      <c r="P26" s="696"/>
      <c r="Q26" s="696"/>
      <c r="R26" s="696"/>
      <c r="S26" s="696"/>
      <c r="T26" s="696"/>
      <c r="U26" s="696"/>
      <c r="V26" s="696"/>
      <c r="W26" s="696"/>
      <c r="X26" s="696"/>
      <c r="Y26" s="696"/>
      <c r="Z26" s="696"/>
      <c r="AA26" s="696"/>
      <c r="AB26" s="696"/>
      <c r="AC26" s="696"/>
      <c r="AD26" s="696"/>
      <c r="AE26" s="696"/>
      <c r="AF26" s="696"/>
      <c r="AG26" s="697"/>
      <c r="AH26" s="373"/>
      <c r="AI26" s="373"/>
      <c r="AJ26" s="373"/>
      <c r="AK26" s="373"/>
      <c r="AM26" s="367" t="str">
        <f t="shared" si="0"/>
        <v>171963</v>
      </c>
      <c r="AN26" s="367" t="str">
        <f t="shared" si="1"/>
        <v>PB681E-N(8.1)</v>
      </c>
      <c r="AO26" s="367" t="str">
        <f t="shared" si="2"/>
        <v>2DG-GC2ADBA-CBAAAB</v>
      </c>
      <c r="AP26" s="367" t="str">
        <f t="shared" si="3"/>
        <v>大八清掃社</v>
      </c>
      <c r="AQ26" s="367" t="str">
        <f t="shared" si="4"/>
        <v>関西支店</v>
      </c>
      <c r="AR26" s="367" t="str">
        <f t="shared" si="5"/>
        <v>平井</v>
      </c>
    </row>
    <row r="27" spans="1:44" ht="23.25" customHeight="1" x14ac:dyDescent="0.25">
      <c r="A27" s="703"/>
      <c r="B27" s="704"/>
      <c r="C27" s="695"/>
      <c r="D27" s="696"/>
      <c r="E27" s="696"/>
      <c r="F27" s="696"/>
      <c r="G27" s="696"/>
      <c r="H27" s="696"/>
      <c r="I27" s="696"/>
      <c r="J27" s="696"/>
      <c r="K27" s="696"/>
      <c r="L27" s="696"/>
      <c r="M27" s="696"/>
      <c r="N27" s="696"/>
      <c r="O27" s="696"/>
      <c r="P27" s="696"/>
      <c r="Q27" s="696"/>
      <c r="R27" s="696"/>
      <c r="S27" s="696"/>
      <c r="T27" s="696"/>
      <c r="U27" s="696"/>
      <c r="V27" s="696"/>
      <c r="W27" s="696"/>
      <c r="X27" s="696"/>
      <c r="Y27" s="696"/>
      <c r="Z27" s="696"/>
      <c r="AA27" s="696"/>
      <c r="AB27" s="696"/>
      <c r="AC27" s="696"/>
      <c r="AD27" s="696"/>
      <c r="AE27" s="696"/>
      <c r="AF27" s="696"/>
      <c r="AG27" s="697"/>
      <c r="AH27" s="373"/>
      <c r="AI27" s="373"/>
      <c r="AJ27" s="373"/>
      <c r="AK27" s="373"/>
      <c r="AM27" s="367" t="str">
        <f t="shared" si="0"/>
        <v>171963</v>
      </c>
      <c r="AN27" s="367" t="str">
        <f t="shared" si="1"/>
        <v>PB681E-N(8.1)</v>
      </c>
      <c r="AO27" s="367" t="str">
        <f t="shared" si="2"/>
        <v>2DG-GC2ADBA-CBAAAB</v>
      </c>
      <c r="AP27" s="367" t="str">
        <f t="shared" si="3"/>
        <v>大八清掃社</v>
      </c>
      <c r="AQ27" s="367" t="str">
        <f t="shared" si="4"/>
        <v>関西支店</v>
      </c>
      <c r="AR27" s="367" t="str">
        <f t="shared" si="5"/>
        <v>平井</v>
      </c>
    </row>
    <row r="28" spans="1:44" ht="23.25" customHeight="1" x14ac:dyDescent="0.25">
      <c r="A28" s="703"/>
      <c r="B28" s="704"/>
      <c r="C28" s="695"/>
      <c r="D28" s="696"/>
      <c r="E28" s="696"/>
      <c r="F28" s="696"/>
      <c r="G28" s="696"/>
      <c r="H28" s="696"/>
      <c r="I28" s="696"/>
      <c r="J28" s="696"/>
      <c r="K28" s="696"/>
      <c r="L28" s="696"/>
      <c r="M28" s="696"/>
      <c r="N28" s="696"/>
      <c r="O28" s="696"/>
      <c r="P28" s="696"/>
      <c r="Q28" s="696"/>
      <c r="R28" s="696"/>
      <c r="S28" s="696"/>
      <c r="T28" s="696"/>
      <c r="U28" s="696"/>
      <c r="V28" s="696"/>
      <c r="W28" s="696"/>
      <c r="X28" s="696"/>
      <c r="Y28" s="696"/>
      <c r="Z28" s="696"/>
      <c r="AA28" s="696"/>
      <c r="AB28" s="696"/>
      <c r="AC28" s="696"/>
      <c r="AD28" s="696"/>
      <c r="AE28" s="696"/>
      <c r="AF28" s="696"/>
      <c r="AG28" s="697"/>
      <c r="AH28" s="373"/>
      <c r="AI28" s="373"/>
      <c r="AJ28" s="373"/>
      <c r="AK28" s="373"/>
      <c r="AM28" s="367" t="str">
        <f t="shared" si="0"/>
        <v>171963</v>
      </c>
      <c r="AN28" s="367" t="str">
        <f t="shared" si="1"/>
        <v>PB681E-N(8.1)</v>
      </c>
      <c r="AO28" s="367" t="str">
        <f t="shared" si="2"/>
        <v>2DG-GC2ADBA-CBAAAB</v>
      </c>
      <c r="AP28" s="367" t="str">
        <f t="shared" si="3"/>
        <v>大八清掃社</v>
      </c>
      <c r="AQ28" s="367" t="str">
        <f t="shared" si="4"/>
        <v>関西支店</v>
      </c>
      <c r="AR28" s="367" t="str">
        <f t="shared" si="5"/>
        <v>平井</v>
      </c>
    </row>
    <row r="29" spans="1:44" ht="23.25" customHeight="1" x14ac:dyDescent="0.25">
      <c r="A29" s="703"/>
      <c r="B29" s="704"/>
      <c r="C29" s="695"/>
      <c r="D29" s="696"/>
      <c r="E29" s="696"/>
      <c r="F29" s="696"/>
      <c r="G29" s="696"/>
      <c r="H29" s="696"/>
      <c r="I29" s="696"/>
      <c r="J29" s="696"/>
      <c r="K29" s="696"/>
      <c r="L29" s="696"/>
      <c r="M29" s="696"/>
      <c r="N29" s="696"/>
      <c r="O29" s="696"/>
      <c r="P29" s="696"/>
      <c r="Q29" s="696"/>
      <c r="R29" s="696"/>
      <c r="S29" s="696"/>
      <c r="T29" s="696"/>
      <c r="U29" s="696"/>
      <c r="V29" s="696"/>
      <c r="W29" s="696"/>
      <c r="X29" s="696"/>
      <c r="Y29" s="696"/>
      <c r="Z29" s="696"/>
      <c r="AA29" s="696"/>
      <c r="AB29" s="696"/>
      <c r="AC29" s="696"/>
      <c r="AD29" s="696"/>
      <c r="AE29" s="696"/>
      <c r="AF29" s="696"/>
      <c r="AG29" s="697"/>
      <c r="AH29" s="373"/>
      <c r="AI29" s="373"/>
      <c r="AJ29" s="373"/>
      <c r="AK29" s="373"/>
      <c r="AM29" s="367" t="str">
        <f t="shared" si="0"/>
        <v>171963</v>
      </c>
      <c r="AN29" s="367" t="str">
        <f t="shared" si="1"/>
        <v>PB681E-N(8.1)</v>
      </c>
      <c r="AO29" s="367" t="str">
        <f t="shared" si="2"/>
        <v>2DG-GC2ADBA-CBAAAB</v>
      </c>
      <c r="AP29" s="367" t="str">
        <f t="shared" si="3"/>
        <v>大八清掃社</v>
      </c>
      <c r="AQ29" s="367" t="str">
        <f t="shared" si="4"/>
        <v>関西支店</v>
      </c>
      <c r="AR29" s="367" t="str">
        <f t="shared" si="5"/>
        <v>平井</v>
      </c>
    </row>
    <row r="30" spans="1:44" ht="23.25" customHeight="1" x14ac:dyDescent="0.25">
      <c r="A30" s="703"/>
      <c r="B30" s="704"/>
      <c r="C30" s="695"/>
      <c r="D30" s="696"/>
      <c r="E30" s="696"/>
      <c r="F30" s="696"/>
      <c r="G30" s="696"/>
      <c r="H30" s="696"/>
      <c r="I30" s="696"/>
      <c r="J30" s="696"/>
      <c r="K30" s="696"/>
      <c r="L30" s="696"/>
      <c r="M30" s="696"/>
      <c r="N30" s="696"/>
      <c r="O30" s="696"/>
      <c r="P30" s="696"/>
      <c r="Q30" s="696"/>
      <c r="R30" s="696"/>
      <c r="S30" s="696"/>
      <c r="T30" s="696"/>
      <c r="U30" s="696"/>
      <c r="V30" s="696"/>
      <c r="W30" s="696"/>
      <c r="X30" s="696"/>
      <c r="Y30" s="696"/>
      <c r="Z30" s="696"/>
      <c r="AA30" s="696"/>
      <c r="AB30" s="696"/>
      <c r="AC30" s="696"/>
      <c r="AD30" s="696"/>
      <c r="AE30" s="696"/>
      <c r="AF30" s="696"/>
      <c r="AG30" s="697"/>
      <c r="AH30" s="373"/>
      <c r="AI30" s="373"/>
      <c r="AJ30" s="373"/>
      <c r="AK30" s="373"/>
      <c r="AM30" s="367" t="str">
        <f t="shared" si="0"/>
        <v>171963</v>
      </c>
      <c r="AN30" s="367" t="str">
        <f t="shared" si="1"/>
        <v>PB681E-N(8.1)</v>
      </c>
      <c r="AO30" s="367" t="str">
        <f t="shared" si="2"/>
        <v>2DG-GC2ADBA-CBAAAB</v>
      </c>
      <c r="AP30" s="367" t="str">
        <f t="shared" si="3"/>
        <v>大八清掃社</v>
      </c>
      <c r="AQ30" s="367" t="str">
        <f t="shared" si="4"/>
        <v>関西支店</v>
      </c>
      <c r="AR30" s="367" t="str">
        <f t="shared" si="5"/>
        <v>平井</v>
      </c>
    </row>
    <row r="31" spans="1:44" ht="23.25" customHeight="1" x14ac:dyDescent="0.25">
      <c r="A31" s="703"/>
      <c r="B31" s="704"/>
      <c r="C31" s="695"/>
      <c r="D31" s="696"/>
      <c r="E31" s="696"/>
      <c r="F31" s="696"/>
      <c r="G31" s="696"/>
      <c r="H31" s="696"/>
      <c r="I31" s="696"/>
      <c r="J31" s="696"/>
      <c r="K31" s="696"/>
      <c r="L31" s="696"/>
      <c r="M31" s="696"/>
      <c r="N31" s="696"/>
      <c r="O31" s="696"/>
      <c r="P31" s="696"/>
      <c r="Q31" s="696"/>
      <c r="R31" s="696"/>
      <c r="S31" s="696"/>
      <c r="T31" s="696"/>
      <c r="U31" s="696"/>
      <c r="V31" s="696"/>
      <c r="W31" s="696"/>
      <c r="X31" s="696"/>
      <c r="Y31" s="696"/>
      <c r="Z31" s="696"/>
      <c r="AA31" s="696"/>
      <c r="AB31" s="696"/>
      <c r="AC31" s="696"/>
      <c r="AD31" s="696"/>
      <c r="AE31" s="696"/>
      <c r="AF31" s="696"/>
      <c r="AG31" s="697"/>
      <c r="AH31" s="373"/>
      <c r="AI31" s="373"/>
      <c r="AJ31" s="373"/>
      <c r="AK31" s="373"/>
      <c r="AM31" s="367" t="str">
        <f t="shared" si="0"/>
        <v>171963</v>
      </c>
      <c r="AN31" s="367" t="str">
        <f t="shared" si="1"/>
        <v>PB681E-N(8.1)</v>
      </c>
      <c r="AO31" s="367" t="str">
        <f t="shared" si="2"/>
        <v>2DG-GC2ADBA-CBAAAB</v>
      </c>
      <c r="AP31" s="367" t="str">
        <f t="shared" si="3"/>
        <v>大八清掃社</v>
      </c>
      <c r="AQ31" s="367" t="str">
        <f t="shared" si="4"/>
        <v>関西支店</v>
      </c>
      <c r="AR31" s="367" t="str">
        <f t="shared" si="5"/>
        <v>平井</v>
      </c>
    </row>
    <row r="32" spans="1:44" ht="23.25" customHeight="1" x14ac:dyDescent="0.25">
      <c r="A32" s="703"/>
      <c r="B32" s="704"/>
      <c r="C32" s="695"/>
      <c r="D32" s="696"/>
      <c r="E32" s="696"/>
      <c r="F32" s="696"/>
      <c r="G32" s="696"/>
      <c r="H32" s="696"/>
      <c r="I32" s="696"/>
      <c r="J32" s="696"/>
      <c r="K32" s="696"/>
      <c r="L32" s="696"/>
      <c r="M32" s="696"/>
      <c r="N32" s="696"/>
      <c r="O32" s="696"/>
      <c r="P32" s="696"/>
      <c r="Q32" s="696"/>
      <c r="R32" s="696"/>
      <c r="S32" s="696"/>
      <c r="T32" s="696"/>
      <c r="U32" s="696"/>
      <c r="V32" s="696"/>
      <c r="W32" s="696"/>
      <c r="X32" s="696"/>
      <c r="Y32" s="696"/>
      <c r="Z32" s="696"/>
      <c r="AA32" s="696"/>
      <c r="AB32" s="696"/>
      <c r="AC32" s="696"/>
      <c r="AD32" s="696"/>
      <c r="AE32" s="696"/>
      <c r="AF32" s="696"/>
      <c r="AG32" s="697"/>
      <c r="AH32" s="373"/>
      <c r="AI32" s="373"/>
      <c r="AJ32" s="373"/>
      <c r="AK32" s="373"/>
      <c r="AM32" s="367" t="str">
        <f t="shared" si="0"/>
        <v>171963</v>
      </c>
      <c r="AN32" s="367" t="str">
        <f t="shared" si="1"/>
        <v>PB681E-N(8.1)</v>
      </c>
      <c r="AO32" s="367" t="str">
        <f t="shared" si="2"/>
        <v>2DG-GC2ADBA-CBAAAB</v>
      </c>
      <c r="AP32" s="367" t="str">
        <f t="shared" si="3"/>
        <v>大八清掃社</v>
      </c>
      <c r="AQ32" s="367" t="str">
        <f t="shared" si="4"/>
        <v>関西支店</v>
      </c>
      <c r="AR32" s="367" t="str">
        <f t="shared" si="5"/>
        <v>平井</v>
      </c>
    </row>
    <row r="33" spans="1:44" ht="23.25" customHeight="1" x14ac:dyDescent="0.25">
      <c r="A33" s="693"/>
      <c r="B33" s="694"/>
      <c r="C33" s="705"/>
      <c r="D33" s="696"/>
      <c r="E33" s="696"/>
      <c r="F33" s="696"/>
      <c r="G33" s="696"/>
      <c r="H33" s="696"/>
      <c r="I33" s="696"/>
      <c r="J33" s="696"/>
      <c r="K33" s="696"/>
      <c r="L33" s="696"/>
      <c r="M33" s="696"/>
      <c r="N33" s="696"/>
      <c r="O33" s="696"/>
      <c r="P33" s="696"/>
      <c r="Q33" s="696"/>
      <c r="R33" s="696"/>
      <c r="S33" s="696"/>
      <c r="T33" s="696"/>
      <c r="U33" s="696"/>
      <c r="V33" s="696"/>
      <c r="W33" s="696"/>
      <c r="X33" s="696"/>
      <c r="Y33" s="696"/>
      <c r="Z33" s="696"/>
      <c r="AA33" s="696"/>
      <c r="AB33" s="696"/>
      <c r="AC33" s="696"/>
      <c r="AD33" s="696"/>
      <c r="AE33" s="696"/>
      <c r="AF33" s="696"/>
      <c r="AG33" s="697"/>
      <c r="AH33" s="373"/>
      <c r="AI33" s="373"/>
      <c r="AJ33" s="373"/>
      <c r="AK33" s="373"/>
      <c r="AM33" s="367" t="str">
        <f t="shared" si="0"/>
        <v>171963</v>
      </c>
      <c r="AN33" s="367" t="str">
        <f t="shared" si="1"/>
        <v>PB681E-N(8.1)</v>
      </c>
      <c r="AO33" s="367" t="str">
        <f t="shared" si="2"/>
        <v>2DG-GC2ADBA-CBAAAB</v>
      </c>
      <c r="AP33" s="367" t="str">
        <f t="shared" si="3"/>
        <v>大八清掃社</v>
      </c>
      <c r="AQ33" s="367" t="str">
        <f t="shared" si="4"/>
        <v>関西支店</v>
      </c>
      <c r="AR33" s="367" t="str">
        <f t="shared" si="5"/>
        <v>平井</v>
      </c>
    </row>
    <row r="34" spans="1:44" ht="23.25" customHeight="1" x14ac:dyDescent="0.25">
      <c r="A34" s="693"/>
      <c r="B34" s="694"/>
      <c r="C34" s="705"/>
      <c r="D34" s="696"/>
      <c r="E34" s="696"/>
      <c r="F34" s="696"/>
      <c r="G34" s="696"/>
      <c r="H34" s="696"/>
      <c r="I34" s="696"/>
      <c r="J34" s="696"/>
      <c r="K34" s="696"/>
      <c r="L34" s="696"/>
      <c r="M34" s="696"/>
      <c r="N34" s="696"/>
      <c r="O34" s="696"/>
      <c r="P34" s="696"/>
      <c r="Q34" s="696"/>
      <c r="R34" s="696"/>
      <c r="S34" s="696"/>
      <c r="T34" s="696"/>
      <c r="U34" s="696"/>
      <c r="V34" s="696"/>
      <c r="W34" s="696"/>
      <c r="X34" s="696"/>
      <c r="Y34" s="696"/>
      <c r="Z34" s="696"/>
      <c r="AA34" s="696"/>
      <c r="AB34" s="696"/>
      <c r="AC34" s="696"/>
      <c r="AD34" s="696"/>
      <c r="AE34" s="696"/>
      <c r="AF34" s="696"/>
      <c r="AG34" s="697"/>
      <c r="AH34" s="373"/>
      <c r="AI34" s="373"/>
      <c r="AJ34" s="373"/>
      <c r="AK34" s="373"/>
      <c r="AM34" s="367" t="str">
        <f t="shared" si="0"/>
        <v>171963</v>
      </c>
      <c r="AN34" s="367" t="str">
        <f t="shared" si="1"/>
        <v>PB681E-N(8.1)</v>
      </c>
      <c r="AO34" s="367" t="str">
        <f t="shared" si="2"/>
        <v>2DG-GC2ADBA-CBAAAB</v>
      </c>
      <c r="AP34" s="367" t="str">
        <f t="shared" si="3"/>
        <v>大八清掃社</v>
      </c>
      <c r="AQ34" s="367" t="str">
        <f t="shared" si="4"/>
        <v>関西支店</v>
      </c>
      <c r="AR34" s="367" t="str">
        <f t="shared" si="5"/>
        <v>平井</v>
      </c>
    </row>
    <row r="35" spans="1:44" ht="23.25" customHeight="1" x14ac:dyDescent="0.25">
      <c r="A35" s="693"/>
      <c r="B35" s="694"/>
      <c r="C35" s="695"/>
      <c r="D35" s="696"/>
      <c r="E35" s="696"/>
      <c r="F35" s="696"/>
      <c r="G35" s="696"/>
      <c r="H35" s="696"/>
      <c r="I35" s="696"/>
      <c r="J35" s="696"/>
      <c r="K35" s="696"/>
      <c r="L35" s="696"/>
      <c r="M35" s="696"/>
      <c r="N35" s="696"/>
      <c r="O35" s="696"/>
      <c r="P35" s="696"/>
      <c r="Q35" s="696"/>
      <c r="R35" s="696"/>
      <c r="S35" s="696"/>
      <c r="T35" s="696"/>
      <c r="U35" s="696"/>
      <c r="V35" s="696"/>
      <c r="W35" s="696"/>
      <c r="X35" s="696"/>
      <c r="Y35" s="696"/>
      <c r="Z35" s="696"/>
      <c r="AA35" s="696"/>
      <c r="AB35" s="696"/>
      <c r="AC35" s="696"/>
      <c r="AD35" s="696"/>
      <c r="AE35" s="696"/>
      <c r="AF35" s="696"/>
      <c r="AG35" s="697"/>
      <c r="AH35" s="373"/>
      <c r="AI35" s="373"/>
      <c r="AJ35" s="373"/>
      <c r="AK35" s="373"/>
      <c r="AM35" s="367" t="str">
        <f t="shared" si="0"/>
        <v>171963</v>
      </c>
      <c r="AN35" s="367" t="str">
        <f t="shared" si="1"/>
        <v>PB681E-N(8.1)</v>
      </c>
      <c r="AO35" s="367" t="str">
        <f t="shared" si="2"/>
        <v>2DG-GC2ADBA-CBAAAB</v>
      </c>
      <c r="AP35" s="367" t="str">
        <f t="shared" si="3"/>
        <v>大八清掃社</v>
      </c>
      <c r="AQ35" s="367" t="str">
        <f t="shared" si="4"/>
        <v>関西支店</v>
      </c>
      <c r="AR35" s="367" t="str">
        <f t="shared" si="5"/>
        <v>平井</v>
      </c>
    </row>
    <row r="36" spans="1:44" ht="23.25" customHeight="1" x14ac:dyDescent="0.25">
      <c r="A36" s="693"/>
      <c r="B36" s="694"/>
      <c r="C36" s="695"/>
      <c r="D36" s="696"/>
      <c r="E36" s="696"/>
      <c r="F36" s="696"/>
      <c r="G36" s="696"/>
      <c r="H36" s="696"/>
      <c r="I36" s="696"/>
      <c r="J36" s="696"/>
      <c r="K36" s="696"/>
      <c r="L36" s="696"/>
      <c r="M36" s="696"/>
      <c r="N36" s="696"/>
      <c r="O36" s="696"/>
      <c r="P36" s="696"/>
      <c r="Q36" s="696"/>
      <c r="R36" s="696"/>
      <c r="S36" s="696"/>
      <c r="T36" s="696"/>
      <c r="U36" s="696"/>
      <c r="V36" s="696"/>
      <c r="W36" s="696"/>
      <c r="X36" s="696"/>
      <c r="Y36" s="696"/>
      <c r="Z36" s="696"/>
      <c r="AA36" s="696"/>
      <c r="AB36" s="696"/>
      <c r="AC36" s="696"/>
      <c r="AD36" s="696"/>
      <c r="AE36" s="696"/>
      <c r="AF36" s="696"/>
      <c r="AG36" s="697"/>
      <c r="AH36" s="373"/>
      <c r="AI36" s="373"/>
      <c r="AJ36" s="373"/>
      <c r="AK36" s="373"/>
      <c r="AM36" s="367" t="str">
        <f t="shared" si="0"/>
        <v>171963</v>
      </c>
      <c r="AN36" s="367" t="str">
        <f t="shared" si="1"/>
        <v>PB681E-N(8.1)</v>
      </c>
      <c r="AO36" s="367" t="str">
        <f t="shared" si="2"/>
        <v>2DG-GC2ADBA-CBAAAB</v>
      </c>
      <c r="AP36" s="367" t="str">
        <f t="shared" si="3"/>
        <v>大八清掃社</v>
      </c>
      <c r="AQ36" s="367" t="str">
        <f t="shared" si="4"/>
        <v>関西支店</v>
      </c>
      <c r="AR36" s="367" t="str">
        <f t="shared" si="5"/>
        <v>平井</v>
      </c>
    </row>
    <row r="37" spans="1:44" ht="23.25" customHeight="1" x14ac:dyDescent="0.25">
      <c r="A37" s="693"/>
      <c r="B37" s="694"/>
      <c r="C37" s="695"/>
      <c r="D37" s="696"/>
      <c r="E37" s="696"/>
      <c r="F37" s="696"/>
      <c r="G37" s="696"/>
      <c r="H37" s="696"/>
      <c r="I37" s="696"/>
      <c r="J37" s="696"/>
      <c r="K37" s="696"/>
      <c r="L37" s="696"/>
      <c r="M37" s="696"/>
      <c r="N37" s="696"/>
      <c r="O37" s="696"/>
      <c r="P37" s="696"/>
      <c r="Q37" s="696"/>
      <c r="R37" s="696"/>
      <c r="S37" s="696"/>
      <c r="T37" s="696"/>
      <c r="U37" s="696"/>
      <c r="V37" s="696"/>
      <c r="W37" s="696"/>
      <c r="X37" s="696"/>
      <c r="Y37" s="696"/>
      <c r="Z37" s="696"/>
      <c r="AA37" s="696"/>
      <c r="AB37" s="696"/>
      <c r="AC37" s="696"/>
      <c r="AD37" s="696"/>
      <c r="AE37" s="696"/>
      <c r="AF37" s="696"/>
      <c r="AG37" s="697"/>
      <c r="AH37" s="373"/>
      <c r="AI37" s="373"/>
      <c r="AJ37" s="373"/>
      <c r="AK37" s="373"/>
      <c r="AM37" s="367" t="str">
        <f t="shared" si="0"/>
        <v>171963</v>
      </c>
      <c r="AN37" s="367" t="str">
        <f t="shared" si="1"/>
        <v>PB681E-N(8.1)</v>
      </c>
      <c r="AO37" s="367" t="str">
        <f t="shared" si="2"/>
        <v>2DG-GC2ADBA-CBAAAB</v>
      </c>
      <c r="AP37" s="367" t="str">
        <f t="shared" si="3"/>
        <v>大八清掃社</v>
      </c>
      <c r="AQ37" s="367" t="str">
        <f t="shared" si="4"/>
        <v>関西支店</v>
      </c>
      <c r="AR37" s="367" t="str">
        <f t="shared" si="5"/>
        <v>平井</v>
      </c>
    </row>
    <row r="38" spans="1:44" ht="23.25" customHeight="1" x14ac:dyDescent="0.25">
      <c r="A38" s="693"/>
      <c r="B38" s="694"/>
      <c r="C38" s="695"/>
      <c r="D38" s="696"/>
      <c r="E38" s="696"/>
      <c r="F38" s="696"/>
      <c r="G38" s="696"/>
      <c r="H38" s="696"/>
      <c r="I38" s="696"/>
      <c r="J38" s="696"/>
      <c r="K38" s="696"/>
      <c r="L38" s="696"/>
      <c r="M38" s="696"/>
      <c r="N38" s="696"/>
      <c r="O38" s="696"/>
      <c r="P38" s="696"/>
      <c r="Q38" s="696"/>
      <c r="R38" s="696"/>
      <c r="S38" s="696"/>
      <c r="T38" s="696"/>
      <c r="U38" s="696"/>
      <c r="V38" s="696"/>
      <c r="W38" s="696"/>
      <c r="X38" s="696"/>
      <c r="Y38" s="696"/>
      <c r="Z38" s="696"/>
      <c r="AA38" s="696"/>
      <c r="AB38" s="696"/>
      <c r="AC38" s="696"/>
      <c r="AD38" s="696"/>
      <c r="AE38" s="696"/>
      <c r="AF38" s="696"/>
      <c r="AG38" s="697"/>
      <c r="AH38" s="373"/>
      <c r="AI38" s="373"/>
      <c r="AJ38" s="373"/>
      <c r="AK38" s="373"/>
      <c r="AM38" s="367" t="str">
        <f t="shared" si="0"/>
        <v>171963</v>
      </c>
      <c r="AN38" s="367" t="str">
        <f t="shared" si="1"/>
        <v>PB681E-N(8.1)</v>
      </c>
      <c r="AO38" s="367" t="str">
        <f t="shared" si="2"/>
        <v>2DG-GC2ADBA-CBAAAB</v>
      </c>
      <c r="AP38" s="367" t="str">
        <f t="shared" si="3"/>
        <v>大八清掃社</v>
      </c>
      <c r="AQ38" s="367" t="str">
        <f t="shared" si="4"/>
        <v>関西支店</v>
      </c>
      <c r="AR38" s="367" t="str">
        <f t="shared" si="5"/>
        <v>平井</v>
      </c>
    </row>
    <row r="39" spans="1:44" ht="23.25" customHeight="1" x14ac:dyDescent="0.25">
      <c r="A39" s="693"/>
      <c r="B39" s="694"/>
      <c r="C39" s="695"/>
      <c r="D39" s="696"/>
      <c r="E39" s="696"/>
      <c r="F39" s="696"/>
      <c r="G39" s="696"/>
      <c r="H39" s="696"/>
      <c r="I39" s="696"/>
      <c r="J39" s="696"/>
      <c r="K39" s="696"/>
      <c r="L39" s="696"/>
      <c r="M39" s="696"/>
      <c r="N39" s="696"/>
      <c r="O39" s="696"/>
      <c r="P39" s="696"/>
      <c r="Q39" s="696"/>
      <c r="R39" s="696"/>
      <c r="S39" s="696"/>
      <c r="T39" s="696"/>
      <c r="U39" s="696"/>
      <c r="V39" s="696"/>
      <c r="W39" s="696"/>
      <c r="X39" s="696"/>
      <c r="Y39" s="696"/>
      <c r="Z39" s="696"/>
      <c r="AA39" s="696"/>
      <c r="AB39" s="696"/>
      <c r="AC39" s="696"/>
      <c r="AD39" s="696"/>
      <c r="AE39" s="696"/>
      <c r="AF39" s="696"/>
      <c r="AG39" s="697"/>
      <c r="AH39" s="373"/>
      <c r="AI39" s="373"/>
      <c r="AJ39" s="373"/>
      <c r="AK39" s="373"/>
      <c r="AM39" s="367" t="str">
        <f t="shared" si="0"/>
        <v>171963</v>
      </c>
      <c r="AN39" s="367" t="str">
        <f t="shared" si="1"/>
        <v>PB681E-N(8.1)</v>
      </c>
      <c r="AO39" s="367" t="str">
        <f t="shared" si="2"/>
        <v>2DG-GC2ADBA-CBAAAB</v>
      </c>
      <c r="AP39" s="367" t="str">
        <f t="shared" si="3"/>
        <v>大八清掃社</v>
      </c>
      <c r="AQ39" s="367" t="str">
        <f t="shared" si="4"/>
        <v>関西支店</v>
      </c>
      <c r="AR39" s="367" t="str">
        <f t="shared" si="5"/>
        <v>平井</v>
      </c>
    </row>
    <row r="40" spans="1:44" ht="23.25" customHeight="1" x14ac:dyDescent="0.25">
      <c r="A40" s="693"/>
      <c r="B40" s="694"/>
      <c r="C40" s="695"/>
      <c r="D40" s="696"/>
      <c r="E40" s="696"/>
      <c r="F40" s="696"/>
      <c r="G40" s="696"/>
      <c r="H40" s="696"/>
      <c r="I40" s="696"/>
      <c r="J40" s="696"/>
      <c r="K40" s="696"/>
      <c r="L40" s="696"/>
      <c r="M40" s="696"/>
      <c r="N40" s="696"/>
      <c r="O40" s="696"/>
      <c r="P40" s="696"/>
      <c r="Q40" s="696"/>
      <c r="R40" s="696"/>
      <c r="S40" s="696"/>
      <c r="T40" s="696"/>
      <c r="U40" s="696"/>
      <c r="V40" s="696"/>
      <c r="W40" s="696"/>
      <c r="X40" s="696"/>
      <c r="Y40" s="696"/>
      <c r="Z40" s="696"/>
      <c r="AA40" s="696"/>
      <c r="AB40" s="696"/>
      <c r="AC40" s="696"/>
      <c r="AD40" s="696"/>
      <c r="AE40" s="696"/>
      <c r="AF40" s="696"/>
      <c r="AG40" s="697"/>
      <c r="AH40" s="373"/>
      <c r="AI40" s="373"/>
      <c r="AJ40" s="373"/>
      <c r="AK40" s="373"/>
      <c r="AM40" s="367" t="str">
        <f t="shared" si="0"/>
        <v>171963</v>
      </c>
      <c r="AN40" s="367" t="str">
        <f t="shared" si="1"/>
        <v>PB681E-N(8.1)</v>
      </c>
      <c r="AO40" s="367" t="str">
        <f t="shared" si="2"/>
        <v>2DG-GC2ADBA-CBAAAB</v>
      </c>
      <c r="AP40" s="367" t="str">
        <f t="shared" si="3"/>
        <v>大八清掃社</v>
      </c>
      <c r="AQ40" s="367" t="str">
        <f t="shared" si="4"/>
        <v>関西支店</v>
      </c>
      <c r="AR40" s="367" t="str">
        <f t="shared" si="5"/>
        <v>平井</v>
      </c>
    </row>
    <row r="41" spans="1:44" ht="23.25" customHeight="1" x14ac:dyDescent="0.25">
      <c r="A41" s="693"/>
      <c r="B41" s="694"/>
      <c r="C41" s="695"/>
      <c r="D41" s="696"/>
      <c r="E41" s="696"/>
      <c r="F41" s="696"/>
      <c r="G41" s="696"/>
      <c r="H41" s="696"/>
      <c r="I41" s="696"/>
      <c r="J41" s="696"/>
      <c r="K41" s="696"/>
      <c r="L41" s="696"/>
      <c r="M41" s="696"/>
      <c r="N41" s="696"/>
      <c r="O41" s="696"/>
      <c r="P41" s="696"/>
      <c r="Q41" s="696"/>
      <c r="R41" s="696"/>
      <c r="S41" s="696"/>
      <c r="T41" s="696"/>
      <c r="U41" s="696"/>
      <c r="V41" s="696"/>
      <c r="W41" s="696"/>
      <c r="X41" s="696"/>
      <c r="Y41" s="696"/>
      <c r="Z41" s="696"/>
      <c r="AA41" s="696"/>
      <c r="AB41" s="696"/>
      <c r="AC41" s="696"/>
      <c r="AD41" s="696"/>
      <c r="AE41" s="696"/>
      <c r="AF41" s="696"/>
      <c r="AG41" s="697"/>
      <c r="AH41" s="373"/>
      <c r="AI41" s="373"/>
      <c r="AJ41" s="373"/>
      <c r="AK41" s="373"/>
      <c r="AM41" s="367" t="str">
        <f t="shared" si="0"/>
        <v>171963</v>
      </c>
      <c r="AN41" s="367" t="str">
        <f t="shared" si="1"/>
        <v>PB681E-N(8.1)</v>
      </c>
      <c r="AO41" s="367" t="str">
        <f t="shared" si="2"/>
        <v>2DG-GC2ADBA-CBAAAB</v>
      </c>
      <c r="AP41" s="367" t="str">
        <f t="shared" si="3"/>
        <v>大八清掃社</v>
      </c>
      <c r="AQ41" s="367" t="str">
        <f t="shared" si="4"/>
        <v>関西支店</v>
      </c>
      <c r="AR41" s="367" t="str">
        <f t="shared" si="5"/>
        <v>平井</v>
      </c>
    </row>
    <row r="42" spans="1:44" ht="23.25" customHeight="1" x14ac:dyDescent="0.25">
      <c r="A42" s="693"/>
      <c r="B42" s="694"/>
      <c r="C42" s="695"/>
      <c r="D42" s="696"/>
      <c r="E42" s="696"/>
      <c r="F42" s="696"/>
      <c r="G42" s="696"/>
      <c r="H42" s="696"/>
      <c r="I42" s="696"/>
      <c r="J42" s="696"/>
      <c r="K42" s="696"/>
      <c r="L42" s="696"/>
      <c r="M42" s="696"/>
      <c r="N42" s="696"/>
      <c r="O42" s="696"/>
      <c r="P42" s="696"/>
      <c r="Q42" s="696"/>
      <c r="R42" s="696"/>
      <c r="S42" s="696"/>
      <c r="T42" s="696"/>
      <c r="U42" s="696"/>
      <c r="V42" s="696"/>
      <c r="W42" s="696"/>
      <c r="X42" s="696"/>
      <c r="Y42" s="696"/>
      <c r="Z42" s="696"/>
      <c r="AA42" s="696"/>
      <c r="AB42" s="696"/>
      <c r="AC42" s="696"/>
      <c r="AD42" s="696"/>
      <c r="AE42" s="696"/>
      <c r="AF42" s="696"/>
      <c r="AG42" s="697"/>
      <c r="AH42" s="373"/>
      <c r="AI42" s="373"/>
      <c r="AJ42" s="373"/>
      <c r="AK42" s="373"/>
      <c r="AM42" s="367" t="str">
        <f t="shared" si="0"/>
        <v>171963</v>
      </c>
      <c r="AN42" s="367" t="str">
        <f t="shared" si="1"/>
        <v>PB681E-N(8.1)</v>
      </c>
      <c r="AO42" s="367" t="str">
        <f t="shared" si="2"/>
        <v>2DG-GC2ADBA-CBAAAB</v>
      </c>
      <c r="AP42" s="367" t="str">
        <f t="shared" si="3"/>
        <v>大八清掃社</v>
      </c>
      <c r="AQ42" s="367" t="str">
        <f t="shared" si="4"/>
        <v>関西支店</v>
      </c>
      <c r="AR42" s="367" t="str">
        <f t="shared" si="5"/>
        <v>平井</v>
      </c>
    </row>
    <row r="43" spans="1:44" ht="23.25" customHeight="1" x14ac:dyDescent="0.25">
      <c r="A43" s="693"/>
      <c r="B43" s="694"/>
      <c r="C43" s="695"/>
      <c r="D43" s="696"/>
      <c r="E43" s="696"/>
      <c r="F43" s="696"/>
      <c r="G43" s="696"/>
      <c r="H43" s="696"/>
      <c r="I43" s="696"/>
      <c r="J43" s="696"/>
      <c r="K43" s="696"/>
      <c r="L43" s="696"/>
      <c r="M43" s="696"/>
      <c r="N43" s="696"/>
      <c r="O43" s="696"/>
      <c r="P43" s="696"/>
      <c r="Q43" s="696"/>
      <c r="R43" s="696"/>
      <c r="S43" s="696"/>
      <c r="T43" s="696"/>
      <c r="U43" s="696"/>
      <c r="V43" s="696"/>
      <c r="W43" s="696"/>
      <c r="X43" s="696"/>
      <c r="Y43" s="696"/>
      <c r="Z43" s="696"/>
      <c r="AA43" s="696"/>
      <c r="AB43" s="696"/>
      <c r="AC43" s="696"/>
      <c r="AD43" s="696"/>
      <c r="AE43" s="696"/>
      <c r="AF43" s="696"/>
      <c r="AG43" s="697"/>
      <c r="AH43" s="373"/>
      <c r="AI43" s="373"/>
      <c r="AJ43" s="373"/>
      <c r="AK43" s="373"/>
      <c r="AM43" s="367" t="str">
        <f t="shared" si="0"/>
        <v>171963</v>
      </c>
      <c r="AN43" s="367" t="str">
        <f t="shared" si="1"/>
        <v>PB681E-N(8.1)</v>
      </c>
      <c r="AO43" s="367" t="str">
        <f t="shared" si="2"/>
        <v>2DG-GC2ADBA-CBAAAB</v>
      </c>
      <c r="AP43" s="367" t="str">
        <f t="shared" si="3"/>
        <v>大八清掃社</v>
      </c>
      <c r="AQ43" s="367" t="str">
        <f t="shared" si="4"/>
        <v>関西支店</v>
      </c>
      <c r="AR43" s="367" t="str">
        <f t="shared" si="5"/>
        <v>平井</v>
      </c>
    </row>
    <row r="44" spans="1:44" ht="23.25" customHeight="1" x14ac:dyDescent="0.25">
      <c r="A44" s="698"/>
      <c r="B44" s="699"/>
      <c r="C44" s="700"/>
      <c r="D44" s="701"/>
      <c r="E44" s="701"/>
      <c r="F44" s="701"/>
      <c r="G44" s="701"/>
      <c r="H44" s="701"/>
      <c r="I44" s="701"/>
      <c r="J44" s="701"/>
      <c r="K44" s="701"/>
      <c r="L44" s="701"/>
      <c r="M44" s="701"/>
      <c r="N44" s="701"/>
      <c r="O44" s="701"/>
      <c r="P44" s="701"/>
      <c r="Q44" s="701"/>
      <c r="R44" s="701"/>
      <c r="S44" s="701"/>
      <c r="T44" s="701"/>
      <c r="U44" s="701"/>
      <c r="V44" s="701"/>
      <c r="W44" s="701"/>
      <c r="X44" s="701"/>
      <c r="Y44" s="701"/>
      <c r="Z44" s="701"/>
      <c r="AA44" s="701"/>
      <c r="AB44" s="701"/>
      <c r="AC44" s="701"/>
      <c r="AD44" s="701"/>
      <c r="AE44" s="701"/>
      <c r="AF44" s="701"/>
      <c r="AG44" s="702"/>
      <c r="AH44" s="374"/>
      <c r="AI44" s="374"/>
      <c r="AJ44" s="374"/>
      <c r="AK44" s="374"/>
      <c r="AM44" s="367" t="str">
        <f t="shared" si="0"/>
        <v>171963</v>
      </c>
      <c r="AN44" s="367" t="str">
        <f t="shared" si="1"/>
        <v>PB681E-N(8.1)</v>
      </c>
      <c r="AO44" s="367" t="str">
        <f t="shared" si="2"/>
        <v>2DG-GC2ADBA-CBAAAB</v>
      </c>
      <c r="AP44" s="367" t="str">
        <f t="shared" si="3"/>
        <v>大八清掃社</v>
      </c>
      <c r="AQ44" s="367" t="str">
        <f t="shared" si="4"/>
        <v>関西支店</v>
      </c>
      <c r="AR44" s="367" t="str">
        <f t="shared" si="5"/>
        <v>平井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5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写真の挿入">
                <anchor moveWithCells="1" sizeWithCells="1">
                  <from>
                    <xdr:col>30</xdr:col>
                    <xdr:colOff>180975</xdr:colOff>
                    <xdr:row>0</xdr:row>
                    <xdr:rowOff>228600</xdr:rowOff>
                  </from>
                  <to>
                    <xdr:col>36</xdr:col>
                    <xdr:colOff>285750</xdr:colOff>
                    <xdr:row>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indexed="43"/>
  </sheetPr>
  <dimension ref="A1:BN160"/>
  <sheetViews>
    <sheetView view="pageBreakPreview" zoomScaleNormal="100" workbookViewId="0">
      <selection activeCell="BF7" sqref="BF7"/>
    </sheetView>
  </sheetViews>
  <sheetFormatPr defaultRowHeight="12.75" x14ac:dyDescent="0.25"/>
  <cols>
    <col min="1" max="1" width="3.59765625" customWidth="1"/>
    <col min="2" max="20" width="2.59765625" customWidth="1"/>
    <col min="21" max="21" width="3.59765625" customWidth="1"/>
    <col min="22" max="38" width="2.59765625" customWidth="1"/>
    <col min="39" max="39" width="3.59765625" customWidth="1"/>
    <col min="40" max="79" width="2.59765625" customWidth="1"/>
  </cols>
  <sheetData>
    <row r="1" spans="1:66" ht="27" customHeight="1" x14ac:dyDescent="0.4">
      <c r="B1" s="376" t="s">
        <v>37</v>
      </c>
      <c r="C1" s="377"/>
      <c r="D1" s="377"/>
      <c r="E1" s="377"/>
      <c r="F1" s="377"/>
      <c r="G1" s="377"/>
      <c r="H1" s="377"/>
      <c r="I1" s="377"/>
      <c r="J1" s="377"/>
      <c r="K1" s="377"/>
      <c r="L1" s="377"/>
      <c r="M1" s="377"/>
      <c r="N1" s="377"/>
      <c r="O1" s="377"/>
      <c r="P1" s="377"/>
      <c r="Q1" s="377"/>
      <c r="R1" s="377"/>
      <c r="S1" s="377"/>
      <c r="T1" s="377"/>
      <c r="U1" s="377"/>
      <c r="V1" s="377"/>
      <c r="W1" s="377"/>
      <c r="X1" s="377"/>
      <c r="Y1" s="377"/>
      <c r="Z1" s="377"/>
      <c r="AA1" s="377"/>
      <c r="AB1" s="377"/>
      <c r="AC1" s="377"/>
      <c r="AD1" s="377"/>
      <c r="AE1" s="377"/>
      <c r="AF1" s="377"/>
      <c r="AH1" s="377"/>
      <c r="AI1" s="377"/>
      <c r="AJ1" s="378" t="str">
        <f>受注仕様書!C4</f>
        <v>Vol.2.5</v>
      </c>
      <c r="AK1" s="38"/>
      <c r="AO1" s="39"/>
      <c r="AP1" s="40"/>
      <c r="AQ1" s="41" t="s">
        <v>38</v>
      </c>
      <c r="AR1" s="888">
        <f>受注仕様書!AM2</f>
        <v>43257</v>
      </c>
      <c r="AS1" s="889"/>
      <c r="AT1" s="889"/>
      <c r="AU1" s="889"/>
      <c r="AV1" s="889"/>
      <c r="AW1" s="889"/>
      <c r="AX1" s="889"/>
      <c r="AY1" s="889"/>
      <c r="AZ1" s="889"/>
      <c r="BA1" s="889"/>
      <c r="BB1" s="889"/>
      <c r="BC1" s="39"/>
      <c r="BD1" s="38"/>
      <c r="BE1" s="38"/>
      <c r="BF1" s="38"/>
      <c r="BG1" s="38"/>
      <c r="BH1" s="38"/>
      <c r="BI1" s="38"/>
      <c r="BJ1" s="38"/>
      <c r="BK1" s="38"/>
      <c r="BL1" s="38"/>
      <c r="BM1" s="38"/>
      <c r="BN1" s="38"/>
    </row>
    <row r="2" spans="1:66" ht="21" customHeight="1" x14ac:dyDescent="0.25">
      <c r="B2" s="379"/>
      <c r="C2" s="379"/>
      <c r="D2" s="380"/>
      <c r="E2" s="380"/>
      <c r="F2" s="380"/>
      <c r="G2" s="380"/>
      <c r="H2" s="380"/>
      <c r="I2" s="380"/>
      <c r="J2" s="380"/>
      <c r="K2" s="380"/>
      <c r="L2" s="380"/>
      <c r="M2" s="380"/>
      <c r="N2" s="380"/>
      <c r="O2" s="380"/>
      <c r="P2" s="380"/>
      <c r="Q2" s="380"/>
      <c r="R2" s="380"/>
      <c r="S2" s="380"/>
      <c r="T2" s="380"/>
      <c r="U2" s="380"/>
      <c r="V2" s="380"/>
      <c r="W2" s="380"/>
      <c r="X2" s="380"/>
      <c r="Y2" s="380"/>
      <c r="Z2" s="380"/>
      <c r="AA2" s="380"/>
      <c r="AB2" s="380"/>
      <c r="AC2" s="380"/>
      <c r="AD2" s="380"/>
      <c r="AE2" s="380"/>
      <c r="AF2" s="380"/>
      <c r="AG2" s="380"/>
      <c r="AH2" s="380"/>
      <c r="AI2" s="380"/>
      <c r="AJ2" s="380"/>
      <c r="AK2" s="380"/>
      <c r="AL2" s="380"/>
      <c r="AM2" s="380"/>
      <c r="AN2" s="43"/>
      <c r="AO2" s="43"/>
      <c r="AP2" s="43"/>
      <c r="AQ2" s="43"/>
      <c r="AR2" s="43"/>
      <c r="AS2" s="43"/>
      <c r="AT2" s="44" t="s">
        <v>39</v>
      </c>
      <c r="AU2" s="43"/>
      <c r="AV2" s="43"/>
      <c r="AW2" s="43"/>
      <c r="AX2" s="43"/>
      <c r="AY2" s="43"/>
      <c r="AZ2" s="43"/>
      <c r="BA2" s="43"/>
      <c r="BB2" s="43"/>
      <c r="BC2" s="43"/>
      <c r="BD2" s="43"/>
      <c r="BE2" s="43"/>
      <c r="BF2" s="43"/>
      <c r="BG2" s="43"/>
      <c r="BH2" s="43"/>
      <c r="BI2" s="43"/>
    </row>
    <row r="3" spans="1:66" ht="17.25" customHeight="1" thickBot="1" x14ac:dyDescent="0.3">
      <c r="A3" s="45" t="s">
        <v>40</v>
      </c>
      <c r="B3" t="s">
        <v>41</v>
      </c>
    </row>
    <row r="4" spans="1:66" ht="17.25" customHeight="1" thickBot="1" x14ac:dyDescent="0.3">
      <c r="A4" s="41" t="s">
        <v>42</v>
      </c>
      <c r="B4" s="46" t="s">
        <v>43</v>
      </c>
      <c r="AV4" s="968" t="s">
        <v>656</v>
      </c>
      <c r="AW4" s="969"/>
      <c r="AX4" s="969"/>
      <c r="AY4" s="969"/>
      <c r="AZ4" s="969"/>
      <c r="BA4" s="970" t="s">
        <v>1548</v>
      </c>
      <c r="BB4" s="970"/>
      <c r="BC4" s="971"/>
    </row>
    <row r="5" spans="1:66" ht="18" customHeight="1" thickBot="1" x14ac:dyDescent="0.3">
      <c r="A5" s="861" t="s">
        <v>44</v>
      </c>
      <c r="B5" s="862"/>
      <c r="C5" s="862"/>
      <c r="D5" s="862"/>
      <c r="E5" s="862"/>
      <c r="F5" s="862"/>
      <c r="G5" s="862"/>
      <c r="H5" s="862"/>
      <c r="I5" s="862"/>
      <c r="J5" s="862"/>
      <c r="K5" s="862"/>
      <c r="L5" s="862"/>
      <c r="M5" s="862"/>
      <c r="N5" s="862"/>
      <c r="O5" s="862"/>
      <c r="P5" s="862"/>
      <c r="Q5" s="862"/>
      <c r="R5" s="862"/>
      <c r="S5" s="862"/>
      <c r="T5" s="862"/>
      <c r="U5" s="862"/>
      <c r="V5" s="862"/>
      <c r="W5" s="862"/>
      <c r="X5" s="862"/>
      <c r="Y5" s="862"/>
      <c r="Z5" s="862"/>
      <c r="AA5" s="862"/>
      <c r="AB5" s="862"/>
      <c r="AC5" s="862"/>
      <c r="AD5" s="862"/>
      <c r="AE5" s="862"/>
      <c r="AF5" s="862"/>
      <c r="AG5" s="862"/>
      <c r="AH5" s="862"/>
      <c r="AI5" s="862"/>
      <c r="AJ5" s="862"/>
      <c r="AK5" s="862"/>
      <c r="AL5" s="862"/>
      <c r="AM5" s="862"/>
      <c r="AN5" s="862"/>
      <c r="AO5" s="862"/>
      <c r="AP5" s="862"/>
      <c r="AQ5" s="862"/>
      <c r="AR5" s="862"/>
      <c r="AS5" s="862"/>
      <c r="AT5" s="862"/>
      <c r="AU5" s="862"/>
      <c r="AV5" s="862"/>
      <c r="AW5" s="862"/>
      <c r="AX5" s="862"/>
      <c r="AY5" s="862"/>
      <c r="AZ5" s="862"/>
      <c r="BA5" s="862"/>
      <c r="BB5" s="862"/>
      <c r="BC5" s="863"/>
    </row>
    <row r="6" spans="1:66" ht="18" customHeight="1" x14ac:dyDescent="0.25">
      <c r="A6" s="867" t="s">
        <v>45</v>
      </c>
      <c r="B6" s="873" t="s">
        <v>305</v>
      </c>
      <c r="C6" s="873"/>
      <c r="D6" s="873"/>
      <c r="E6" s="873"/>
      <c r="F6" s="873"/>
      <c r="G6" s="873"/>
      <c r="H6" s="870"/>
      <c r="I6" s="852" t="str">
        <f>受注仕様書!AG8</f>
        <v>171963</v>
      </c>
      <c r="J6" s="853"/>
      <c r="K6" s="853"/>
      <c r="L6" s="853"/>
      <c r="M6" s="853"/>
      <c r="N6" s="853"/>
      <c r="O6" s="853"/>
      <c r="P6" s="853"/>
      <c r="Q6" s="853"/>
      <c r="R6" s="853"/>
      <c r="S6" s="853"/>
      <c r="T6" s="854"/>
      <c r="U6" s="917" t="s">
        <v>46</v>
      </c>
      <c r="V6" s="47"/>
      <c r="W6" s="48" t="s">
        <v>166</v>
      </c>
      <c r="X6" s="48"/>
      <c r="Y6" s="48"/>
      <c r="Z6" s="49" t="s">
        <v>47</v>
      </c>
      <c r="AA6" s="50"/>
      <c r="AB6" s="48"/>
      <c r="AC6" s="48"/>
      <c r="AD6" s="979" t="s">
        <v>48</v>
      </c>
      <c r="AE6" s="979"/>
      <c r="AF6" s="979"/>
      <c r="AG6" s="51"/>
      <c r="AH6" s="48" t="str">
        <f>IF(OR(AD6="（ シール",AD6="（ 塗 装"),"幅","")</f>
        <v/>
      </c>
      <c r="AI6" s="936"/>
      <c r="AJ6" s="936"/>
      <c r="AK6" s="48" t="str">
        <f>IF(OR(AD6="（ シール",AD6="（ 塗 装"),"mm）","")</f>
        <v/>
      </c>
      <c r="AL6" s="52"/>
      <c r="AM6" s="874" t="s">
        <v>49</v>
      </c>
      <c r="AN6" s="47"/>
      <c r="AO6" s="48" t="s">
        <v>166</v>
      </c>
      <c r="AP6" s="48"/>
      <c r="AQ6" s="48"/>
      <c r="AR6" s="49" t="s">
        <v>47</v>
      </c>
      <c r="AS6" s="50"/>
      <c r="AT6" s="48"/>
      <c r="AU6" s="48"/>
      <c r="AV6" s="961" t="s">
        <v>48</v>
      </c>
      <c r="AW6" s="961"/>
      <c r="AX6" s="961"/>
      <c r="AY6" s="961"/>
      <c r="AZ6" s="48"/>
      <c r="BA6" s="53"/>
      <c r="BB6" s="53"/>
      <c r="BC6" s="52"/>
    </row>
    <row r="7" spans="1:66" ht="18" customHeight="1" x14ac:dyDescent="0.25">
      <c r="A7" s="868"/>
      <c r="B7" s="797" t="s">
        <v>50</v>
      </c>
      <c r="C7" s="797"/>
      <c r="D7" s="797"/>
      <c r="E7" s="797"/>
      <c r="F7" s="797"/>
      <c r="G7" s="797"/>
      <c r="H7" s="866"/>
      <c r="I7" s="950" t="str">
        <f>受注仕様書!AG10</f>
        <v>大八清掃社</v>
      </c>
      <c r="J7" s="938"/>
      <c r="K7" s="938"/>
      <c r="L7" s="938"/>
      <c r="M7" s="938"/>
      <c r="N7" s="938"/>
      <c r="O7" s="938"/>
      <c r="P7" s="938"/>
      <c r="Q7" s="938"/>
      <c r="R7" s="938"/>
      <c r="S7" s="938"/>
      <c r="T7" s="54" t="s">
        <v>308</v>
      </c>
      <c r="U7" s="918"/>
      <c r="V7" s="72"/>
      <c r="W7" s="55" t="s">
        <v>51</v>
      </c>
      <c r="X7" s="72"/>
      <c r="Y7" s="56"/>
      <c r="Z7" s="890" t="s">
        <v>48</v>
      </c>
      <c r="AA7" s="890"/>
      <c r="AB7" s="890"/>
      <c r="AC7" s="56"/>
      <c r="AD7" s="57" t="str">
        <f>IF(OR(Z7="（ シール",Z7="（ 塗 装"),"幅","")</f>
        <v/>
      </c>
      <c r="AE7" s="978"/>
      <c r="AF7" s="978"/>
      <c r="AG7" s="57" t="str">
        <f>IF(OR(Z7="（ シール",Z7="（ 塗 装"),"mm）","")</f>
        <v/>
      </c>
      <c r="AH7" s="56"/>
      <c r="AI7" s="56"/>
      <c r="AJ7" s="72"/>
      <c r="AK7" s="72"/>
      <c r="AL7" s="72"/>
      <c r="AM7" s="875"/>
      <c r="AN7" s="58"/>
      <c r="AO7" s="59" t="s">
        <v>51</v>
      </c>
      <c r="AP7" s="57"/>
      <c r="AQ7" s="977" t="s">
        <v>1542</v>
      </c>
      <c r="AR7" s="977"/>
      <c r="AS7" s="977"/>
      <c r="AT7" s="977"/>
      <c r="AU7" s="56"/>
      <c r="AV7" s="977" t="s">
        <v>86</v>
      </c>
      <c r="AW7" s="977"/>
      <c r="AX7" s="977"/>
      <c r="AY7" s="977"/>
      <c r="AZ7" s="57"/>
      <c r="BA7" s="60"/>
      <c r="BB7" s="57"/>
      <c r="BC7" s="61"/>
      <c r="BF7" s="62"/>
      <c r="BG7" s="62"/>
    </row>
    <row r="8" spans="1:66" ht="18" customHeight="1" x14ac:dyDescent="0.25">
      <c r="A8" s="868"/>
      <c r="B8" s="886" t="s">
        <v>52</v>
      </c>
      <c r="C8" s="886"/>
      <c r="D8" s="886"/>
      <c r="E8" s="886"/>
      <c r="F8" s="886"/>
      <c r="G8" s="886"/>
      <c r="H8" s="887"/>
      <c r="I8" s="950" t="str">
        <f>受注仕様書!L16</f>
        <v>日野</v>
      </c>
      <c r="J8" s="938"/>
      <c r="K8" s="938"/>
      <c r="L8" s="938"/>
      <c r="M8" s="938"/>
      <c r="N8" s="63" t="s">
        <v>53</v>
      </c>
      <c r="O8" s="938">
        <f>受注仕様書!L17</f>
        <v>0</v>
      </c>
      <c r="P8" s="938"/>
      <c r="Q8" s="938"/>
      <c r="R8" s="938"/>
      <c r="S8" s="938"/>
      <c r="T8" s="54" t="s">
        <v>54</v>
      </c>
      <c r="U8" s="918"/>
      <c r="V8" s="64" t="s">
        <v>55</v>
      </c>
      <c r="W8" s="65"/>
      <c r="X8" s="65"/>
      <c r="Y8" s="66"/>
      <c r="Z8" s="65"/>
      <c r="AA8" s="65"/>
      <c r="AB8" s="65"/>
      <c r="AC8" s="65"/>
      <c r="AD8" s="65"/>
      <c r="AE8" s="67" t="s">
        <v>56</v>
      </c>
      <c r="AF8" s="65"/>
      <c r="AG8" s="68"/>
      <c r="AH8" s="65" t="s">
        <v>156</v>
      </c>
      <c r="AI8" s="65"/>
      <c r="AJ8" s="65"/>
      <c r="AK8" s="65" t="s">
        <v>166</v>
      </c>
      <c r="AL8" s="69"/>
      <c r="AM8" s="875"/>
      <c r="AN8" s="64" t="s">
        <v>157</v>
      </c>
      <c r="AO8" s="65"/>
      <c r="AP8" s="65"/>
      <c r="AQ8" s="66"/>
      <c r="AR8" s="65"/>
      <c r="AS8" s="65"/>
      <c r="AT8" s="65"/>
      <c r="AU8" s="65"/>
      <c r="AV8" s="67" t="s">
        <v>56</v>
      </c>
      <c r="AW8" s="65"/>
      <c r="AX8" s="68">
        <v>1</v>
      </c>
      <c r="AY8" s="65" t="s">
        <v>156</v>
      </c>
      <c r="AZ8" s="65"/>
      <c r="BA8" s="65"/>
      <c r="BB8" s="65" t="s">
        <v>166</v>
      </c>
      <c r="BC8" s="69"/>
      <c r="BF8" s="62"/>
      <c r="BG8" s="62"/>
    </row>
    <row r="9" spans="1:66" ht="18" customHeight="1" thickBot="1" x14ac:dyDescent="0.3">
      <c r="A9" s="927"/>
      <c r="B9" s="951" t="s">
        <v>57</v>
      </c>
      <c r="C9" s="951"/>
      <c r="D9" s="951"/>
      <c r="E9" s="951"/>
      <c r="F9" s="951"/>
      <c r="G9" s="951"/>
      <c r="H9" s="944"/>
      <c r="I9" s="952" t="str">
        <f>受注仕様書!L27</f>
        <v>PB681E-N(8.1)</v>
      </c>
      <c r="J9" s="953"/>
      <c r="K9" s="953"/>
      <c r="L9" s="953"/>
      <c r="M9" s="953"/>
      <c r="N9" s="953"/>
      <c r="O9" s="953"/>
      <c r="P9" s="953"/>
      <c r="Q9" s="953"/>
      <c r="R9" s="953"/>
      <c r="S9" s="953"/>
      <c r="T9" s="954"/>
      <c r="U9" s="918"/>
      <c r="V9" s="920" t="s">
        <v>58</v>
      </c>
      <c r="W9" s="70" t="s">
        <v>214</v>
      </c>
      <c r="X9" s="67" t="s">
        <v>59</v>
      </c>
      <c r="Y9" s="65"/>
      <c r="Z9" s="65"/>
      <c r="AA9" s="65"/>
      <c r="AB9" s="65"/>
      <c r="AC9" s="65"/>
      <c r="AD9" s="914"/>
      <c r="AE9" s="914"/>
      <c r="AF9" s="914"/>
      <c r="AG9" s="914"/>
      <c r="AH9" s="914"/>
      <c r="AI9" s="914"/>
      <c r="AJ9" s="914"/>
      <c r="AK9" s="914"/>
      <c r="AL9" s="69" t="s">
        <v>60</v>
      </c>
      <c r="AM9" s="875"/>
      <c r="AN9" s="921" t="s">
        <v>61</v>
      </c>
      <c r="AO9" s="71"/>
      <c r="AP9" s="72" t="s">
        <v>62</v>
      </c>
      <c r="AQ9" s="72"/>
      <c r="AR9" s="72"/>
      <c r="AS9" s="72"/>
      <c r="AT9" s="72"/>
      <c r="AU9" s="72"/>
      <c r="AV9" s="72"/>
      <c r="AW9" s="72"/>
      <c r="AX9" s="72"/>
      <c r="AY9" s="72"/>
      <c r="AZ9" s="72"/>
      <c r="BA9" s="72"/>
      <c r="BB9" s="72"/>
      <c r="BC9" s="73"/>
      <c r="BF9" s="62"/>
    </row>
    <row r="10" spans="1:66" ht="18" customHeight="1" x14ac:dyDescent="0.25">
      <c r="A10" s="874" t="s">
        <v>63</v>
      </c>
      <c r="B10" s="870" t="s">
        <v>64</v>
      </c>
      <c r="C10" s="871"/>
      <c r="D10" s="877"/>
      <c r="E10" s="74"/>
      <c r="F10" s="75" t="s">
        <v>65</v>
      </c>
      <c r="G10" s="75"/>
      <c r="H10" s="75"/>
      <c r="I10" s="75"/>
      <c r="J10" s="75" t="s">
        <v>66</v>
      </c>
      <c r="K10" s="76"/>
      <c r="L10" s="77"/>
      <c r="M10" s="78"/>
      <c r="N10" s="78"/>
      <c r="O10" s="75"/>
      <c r="P10" s="75"/>
      <c r="Q10" s="75"/>
      <c r="R10" s="75"/>
      <c r="S10" s="75"/>
      <c r="T10" s="79"/>
      <c r="U10" s="918"/>
      <c r="V10" s="921"/>
      <c r="W10" s="80" t="s">
        <v>214</v>
      </c>
      <c r="X10" s="55" t="s">
        <v>67</v>
      </c>
      <c r="Y10" s="72"/>
      <c r="Z10" s="72"/>
      <c r="AA10" s="72"/>
      <c r="AB10" s="72"/>
      <c r="AC10" s="913"/>
      <c r="AD10" s="913"/>
      <c r="AE10" s="913"/>
      <c r="AF10" s="913"/>
      <c r="AG10" s="913"/>
      <c r="AH10" s="913"/>
      <c r="AI10" s="913"/>
      <c r="AJ10" s="913"/>
      <c r="AK10" s="913"/>
      <c r="AL10" s="73" t="s">
        <v>68</v>
      </c>
      <c r="AM10" s="875"/>
      <c r="AN10" s="921"/>
      <c r="AO10" s="71" t="s">
        <v>150</v>
      </c>
      <c r="AP10" s="72"/>
      <c r="AQ10" s="72"/>
      <c r="AR10" s="72"/>
      <c r="AS10" s="72"/>
      <c r="AT10" s="72"/>
      <c r="AU10" s="72"/>
      <c r="AV10" s="72"/>
      <c r="AW10" s="72"/>
      <c r="AX10" s="72"/>
      <c r="AY10" s="72"/>
      <c r="AZ10" s="72"/>
      <c r="BA10" s="72"/>
      <c r="BB10" s="72"/>
      <c r="BC10" s="73"/>
    </row>
    <row r="11" spans="1:66" ht="18" customHeight="1" x14ac:dyDescent="0.25">
      <c r="A11" s="875"/>
      <c r="B11" s="878" t="s">
        <v>69</v>
      </c>
      <c r="C11" s="879"/>
      <c r="D11" s="880"/>
      <c r="E11" s="64"/>
      <c r="F11" s="65" t="s">
        <v>70</v>
      </c>
      <c r="G11" s="65"/>
      <c r="H11" s="65"/>
      <c r="I11" s="65"/>
      <c r="J11" s="65"/>
      <c r="K11" s="65"/>
      <c r="L11" s="65"/>
      <c r="M11" s="65"/>
      <c r="N11" s="65"/>
      <c r="O11" s="65"/>
      <c r="P11" s="65"/>
      <c r="Q11" s="65"/>
      <c r="R11" s="65"/>
      <c r="S11" s="65"/>
      <c r="T11" s="69"/>
      <c r="U11" s="918"/>
      <c r="V11" s="921"/>
      <c r="W11" s="80" t="s">
        <v>214</v>
      </c>
      <c r="X11" s="72" t="s">
        <v>71</v>
      </c>
      <c r="Y11" s="72"/>
      <c r="Z11" s="72"/>
      <c r="AA11" s="72"/>
      <c r="AB11" s="72"/>
      <c r="AC11" s="72"/>
      <c r="AD11" s="72"/>
      <c r="AE11" s="72"/>
      <c r="AF11" s="913"/>
      <c r="AG11" s="913"/>
      <c r="AH11" s="913"/>
      <c r="AI11" s="913"/>
      <c r="AJ11" s="913"/>
      <c r="AK11" s="913"/>
      <c r="AL11" s="73" t="s">
        <v>68</v>
      </c>
      <c r="AM11" s="875"/>
      <c r="AN11" s="921"/>
      <c r="AO11" s="81" t="s">
        <v>72</v>
      </c>
      <c r="AP11" s="72"/>
      <c r="AQ11" s="72"/>
      <c r="AR11" s="72"/>
      <c r="AS11" s="72"/>
      <c r="AT11" s="72"/>
      <c r="AU11" s="72"/>
      <c r="AV11" s="72"/>
      <c r="AW11" s="72"/>
      <c r="AX11" s="72"/>
      <c r="AY11" s="72"/>
      <c r="AZ11" s="72"/>
      <c r="BA11" s="72"/>
      <c r="BB11" s="72"/>
      <c r="BC11" s="73"/>
    </row>
    <row r="12" spans="1:66" ht="18" customHeight="1" x14ac:dyDescent="0.25">
      <c r="A12" s="875"/>
      <c r="B12" s="884"/>
      <c r="C12" s="859"/>
      <c r="D12" s="860"/>
      <c r="E12" s="58"/>
      <c r="F12" s="57" t="s">
        <v>73</v>
      </c>
      <c r="G12" s="57"/>
      <c r="H12" s="57"/>
      <c r="I12" s="57"/>
      <c r="J12" s="57"/>
      <c r="K12" s="57"/>
      <c r="L12" s="890" t="s">
        <v>1541</v>
      </c>
      <c r="M12" s="890"/>
      <c r="N12" s="890"/>
      <c r="O12" s="890"/>
      <c r="P12" s="890"/>
      <c r="Q12" s="890"/>
      <c r="R12" s="890"/>
      <c r="S12" s="890"/>
      <c r="T12" s="61" t="s">
        <v>74</v>
      </c>
      <c r="U12" s="918"/>
      <c r="V12" s="922"/>
      <c r="W12" s="82" t="s">
        <v>214</v>
      </c>
      <c r="X12" s="57" t="s">
        <v>75</v>
      </c>
      <c r="Y12" s="57"/>
      <c r="Z12" s="57"/>
      <c r="AA12" s="57"/>
      <c r="AB12" s="890"/>
      <c r="AC12" s="890"/>
      <c r="AD12" s="890"/>
      <c r="AE12" s="890"/>
      <c r="AF12" s="890"/>
      <c r="AG12" s="890"/>
      <c r="AH12" s="890"/>
      <c r="AI12" s="890"/>
      <c r="AJ12" s="890"/>
      <c r="AK12" s="890"/>
      <c r="AL12" s="61" t="s">
        <v>76</v>
      </c>
      <c r="AM12" s="875"/>
      <c r="AN12" s="921"/>
      <c r="AO12" s="71"/>
      <c r="AP12" s="72"/>
      <c r="AQ12" s="72"/>
      <c r="AR12" s="72"/>
      <c r="AS12" s="72"/>
      <c r="AT12" s="72"/>
      <c r="AU12" s="72"/>
      <c r="AV12" s="72"/>
      <c r="AW12" s="72"/>
      <c r="AX12" s="72"/>
      <c r="AY12" s="72"/>
      <c r="AZ12" s="72"/>
      <c r="BA12" s="72"/>
      <c r="BB12" s="72"/>
      <c r="BC12" s="73"/>
    </row>
    <row r="13" spans="1:66" ht="18" customHeight="1" x14ac:dyDescent="0.25">
      <c r="A13" s="875"/>
      <c r="B13" s="878" t="s">
        <v>77</v>
      </c>
      <c r="C13" s="879"/>
      <c r="D13" s="880"/>
      <c r="E13" s="64"/>
      <c r="F13" s="67" t="s">
        <v>78</v>
      </c>
      <c r="G13" s="65"/>
      <c r="H13" s="65"/>
      <c r="I13" s="65"/>
      <c r="J13" s="65"/>
      <c r="K13" s="65"/>
      <c r="L13" s="65"/>
      <c r="M13" s="65"/>
      <c r="N13" s="65"/>
      <c r="O13" s="65"/>
      <c r="P13" s="65"/>
      <c r="Q13" s="65"/>
      <c r="R13" s="65"/>
      <c r="S13" s="65"/>
      <c r="T13" s="69"/>
      <c r="U13" s="918"/>
      <c r="V13" s="915" t="s">
        <v>79</v>
      </c>
      <c r="W13" s="916"/>
      <c r="X13" s="916"/>
      <c r="Y13" s="937"/>
      <c r="Z13" s="937"/>
      <c r="AA13" s="937"/>
      <c r="AB13" s="937"/>
      <c r="AC13" s="937"/>
      <c r="AD13" s="937"/>
      <c r="AE13" s="937"/>
      <c r="AF13" s="937"/>
      <c r="AG13" s="937"/>
      <c r="AH13" s="937"/>
      <c r="AI13" s="937"/>
      <c r="AJ13" s="937"/>
      <c r="AK13" s="937"/>
      <c r="AL13" s="69"/>
      <c r="AM13" s="875"/>
      <c r="AN13" s="921"/>
      <c r="AO13" s="71"/>
      <c r="AP13" s="72"/>
      <c r="AQ13" s="72"/>
      <c r="AR13" s="72"/>
      <c r="AS13" s="72"/>
      <c r="AT13" s="72"/>
      <c r="AU13" s="72"/>
      <c r="AV13" s="72"/>
      <c r="AW13" s="72"/>
      <c r="AX13" s="72"/>
      <c r="AY13" s="72"/>
      <c r="AZ13" s="72"/>
      <c r="BA13" s="72"/>
      <c r="BB13" s="72"/>
      <c r="BC13" s="73"/>
    </row>
    <row r="14" spans="1:66" ht="18" customHeight="1" x14ac:dyDescent="0.25">
      <c r="A14" s="875"/>
      <c r="B14" s="881"/>
      <c r="C14" s="882"/>
      <c r="D14" s="883"/>
      <c r="E14" s="71"/>
      <c r="F14" s="55" t="s">
        <v>80</v>
      </c>
      <c r="G14" s="72"/>
      <c r="H14" s="72"/>
      <c r="I14" s="72"/>
      <c r="J14" s="72"/>
      <c r="K14" s="913" t="s">
        <v>1540</v>
      </c>
      <c r="L14" s="913"/>
      <c r="M14" s="913"/>
      <c r="N14" s="913"/>
      <c r="O14" s="913"/>
      <c r="P14" s="913"/>
      <c r="Q14" s="913"/>
      <c r="R14" s="913"/>
      <c r="S14" s="913"/>
      <c r="T14" s="73" t="s">
        <v>74</v>
      </c>
      <c r="U14" s="918"/>
      <c r="V14" s="83" t="s">
        <v>81</v>
      </c>
      <c r="W14" s="65"/>
      <c r="X14" s="65"/>
      <c r="Y14" s="974"/>
      <c r="Z14" s="974"/>
      <c r="AA14" s="974"/>
      <c r="AB14" s="974"/>
      <c r="AC14" s="974"/>
      <c r="AD14" s="974"/>
      <c r="AE14" s="974"/>
      <c r="AF14" s="974"/>
      <c r="AG14" s="974"/>
      <c r="AH14" s="974"/>
      <c r="AI14" s="974"/>
      <c r="AJ14" s="974"/>
      <c r="AK14" s="974"/>
      <c r="AL14" s="69"/>
      <c r="AM14" s="875"/>
      <c r="AN14" s="921"/>
      <c r="AO14" s="71"/>
      <c r="AP14" s="72"/>
      <c r="AQ14" s="72"/>
      <c r="AR14" s="72"/>
      <c r="AS14" s="72"/>
      <c r="AT14" s="72"/>
      <c r="AU14" s="72"/>
      <c r="AV14" s="72"/>
      <c r="AW14" s="72"/>
      <c r="AX14" s="72"/>
      <c r="AY14" s="72"/>
      <c r="AZ14" s="72"/>
      <c r="BA14" s="72"/>
      <c r="BB14" s="72"/>
      <c r="BC14" s="73"/>
    </row>
    <row r="15" spans="1:66" ht="18" customHeight="1" thickBot="1" x14ac:dyDescent="0.3">
      <c r="A15" s="875"/>
      <c r="B15" s="881"/>
      <c r="C15" s="882"/>
      <c r="D15" s="883"/>
      <c r="E15" s="71"/>
      <c r="F15" s="55" t="s">
        <v>82</v>
      </c>
      <c r="G15" s="72"/>
      <c r="H15" s="72"/>
      <c r="I15" s="72"/>
      <c r="J15" s="72"/>
      <c r="K15" s="72"/>
      <c r="L15" s="72"/>
      <c r="M15" s="72"/>
      <c r="N15" s="72"/>
      <c r="O15" s="72"/>
      <c r="P15" s="72"/>
      <c r="Q15" s="72"/>
      <c r="R15" s="72"/>
      <c r="S15" s="72"/>
      <c r="T15" s="73"/>
      <c r="U15" s="919"/>
      <c r="V15" s="72"/>
      <c r="W15" s="72"/>
      <c r="X15" s="72"/>
      <c r="Y15" s="975"/>
      <c r="Z15" s="975"/>
      <c r="AA15" s="975"/>
      <c r="AB15" s="975"/>
      <c r="AC15" s="975"/>
      <c r="AD15" s="975"/>
      <c r="AE15" s="975"/>
      <c r="AF15" s="975"/>
      <c r="AG15" s="975"/>
      <c r="AH15" s="975"/>
      <c r="AI15" s="975"/>
      <c r="AJ15" s="975"/>
      <c r="AK15" s="975"/>
      <c r="AL15" s="72"/>
      <c r="AM15" s="875"/>
      <c r="AN15" s="921"/>
      <c r="AO15" s="84"/>
      <c r="AP15" s="85" t="s">
        <v>83</v>
      </c>
      <c r="AQ15" s="85"/>
      <c r="AR15" s="85"/>
      <c r="AS15" s="85"/>
      <c r="AT15" s="85"/>
      <c r="AU15" s="85"/>
      <c r="AV15" s="85" t="s">
        <v>84</v>
      </c>
      <c r="AW15" s="85"/>
      <c r="AX15" s="85"/>
      <c r="AY15" s="85" t="s">
        <v>489</v>
      </c>
      <c r="AZ15" s="85"/>
      <c r="BA15" s="85"/>
      <c r="BB15" s="85"/>
      <c r="BC15" s="86"/>
    </row>
    <row r="16" spans="1:66" ht="18" customHeight="1" x14ac:dyDescent="0.25">
      <c r="A16" s="875"/>
      <c r="B16" s="881"/>
      <c r="C16" s="882"/>
      <c r="D16" s="883"/>
      <c r="E16" s="71"/>
      <c r="F16" s="55" t="s">
        <v>85</v>
      </c>
      <c r="G16" s="72"/>
      <c r="H16" s="72"/>
      <c r="I16" s="72"/>
      <c r="J16" s="72"/>
      <c r="K16" s="913"/>
      <c r="L16" s="913"/>
      <c r="M16" s="913"/>
      <c r="N16" s="913"/>
      <c r="O16" s="913"/>
      <c r="P16" s="913"/>
      <c r="Q16" s="913"/>
      <c r="R16" s="913"/>
      <c r="S16" s="913"/>
      <c r="T16" s="73" t="s">
        <v>151</v>
      </c>
      <c r="U16" s="874" t="s">
        <v>152</v>
      </c>
      <c r="V16" s="47"/>
      <c r="W16" s="48" t="s">
        <v>166</v>
      </c>
      <c r="X16" s="48"/>
      <c r="Y16" s="48"/>
      <c r="Z16" s="49" t="s">
        <v>47</v>
      </c>
      <c r="AA16" s="50"/>
      <c r="AB16" s="48"/>
      <c r="AC16" s="48"/>
      <c r="AD16" s="961" t="s">
        <v>86</v>
      </c>
      <c r="AE16" s="961"/>
      <c r="AF16" s="961"/>
      <c r="AG16" s="961"/>
      <c r="AH16" s="48"/>
      <c r="AI16" s="53"/>
      <c r="AJ16" s="53"/>
      <c r="AK16" s="48"/>
      <c r="AL16" s="52"/>
      <c r="AM16" s="875"/>
      <c r="AN16" s="922"/>
      <c r="AO16" s="87" t="s">
        <v>87</v>
      </c>
      <c r="AP16" s="88"/>
      <c r="AQ16" s="972"/>
      <c r="AR16" s="972"/>
      <c r="AS16" s="88" t="s">
        <v>88</v>
      </c>
      <c r="AT16" s="88"/>
      <c r="AU16" s="88"/>
      <c r="AV16" s="972"/>
      <c r="AW16" s="972"/>
      <c r="AX16" s="88" t="s">
        <v>89</v>
      </c>
      <c r="AY16" s="107"/>
      <c r="AZ16" s="88"/>
      <c r="BA16" s="972"/>
      <c r="BB16" s="972"/>
      <c r="BC16" s="89" t="s">
        <v>153</v>
      </c>
    </row>
    <row r="17" spans="1:55" ht="18" customHeight="1" x14ac:dyDescent="0.25">
      <c r="A17" s="875"/>
      <c r="B17" s="881"/>
      <c r="C17" s="882"/>
      <c r="D17" s="883"/>
      <c r="E17" s="71"/>
      <c r="F17" s="55" t="s">
        <v>90</v>
      </c>
      <c r="G17" s="72"/>
      <c r="H17" s="72"/>
      <c r="I17" s="72"/>
      <c r="J17" s="72"/>
      <c r="K17" s="913"/>
      <c r="L17" s="913"/>
      <c r="M17" s="913"/>
      <c r="N17" s="913"/>
      <c r="O17" s="913"/>
      <c r="P17" s="913"/>
      <c r="Q17" s="913"/>
      <c r="R17" s="913"/>
      <c r="S17" s="913"/>
      <c r="T17" s="73" t="s">
        <v>151</v>
      </c>
      <c r="U17" s="875"/>
      <c r="V17" s="72"/>
      <c r="W17" s="55" t="s">
        <v>51</v>
      </c>
      <c r="X17" s="72"/>
      <c r="Y17" s="56"/>
      <c r="Z17" s="976" t="s">
        <v>48</v>
      </c>
      <c r="AA17" s="976"/>
      <c r="AB17" s="976"/>
      <c r="AC17" s="976"/>
      <c r="AD17" s="57"/>
      <c r="AE17" s="90"/>
      <c r="AF17" s="90"/>
      <c r="AG17" s="57"/>
      <c r="AH17" s="56"/>
      <c r="AI17" s="56"/>
      <c r="AJ17" s="72"/>
      <c r="AK17" s="72"/>
      <c r="AL17" s="72"/>
      <c r="AM17" s="875"/>
      <c r="AN17" s="920" t="s">
        <v>58</v>
      </c>
      <c r="AO17" s="91" t="s">
        <v>1475</v>
      </c>
      <c r="AP17" s="67" t="s">
        <v>91</v>
      </c>
      <c r="AQ17" s="65"/>
      <c r="AR17" s="65"/>
      <c r="AS17" s="65"/>
      <c r="AT17" s="92" t="s">
        <v>214</v>
      </c>
      <c r="AU17" s="67" t="s">
        <v>92</v>
      </c>
      <c r="AV17" s="65"/>
      <c r="AW17" s="65"/>
      <c r="AX17" s="92" t="s">
        <v>214</v>
      </c>
      <c r="AY17" s="93" t="s">
        <v>93</v>
      </c>
      <c r="AZ17" s="65"/>
      <c r="BA17" s="65"/>
      <c r="BB17" s="65"/>
      <c r="BC17" s="69"/>
    </row>
    <row r="18" spans="1:55" ht="18" customHeight="1" x14ac:dyDescent="0.25">
      <c r="A18" s="875"/>
      <c r="B18" s="881"/>
      <c r="C18" s="882"/>
      <c r="D18" s="883"/>
      <c r="E18" s="94" t="s">
        <v>94</v>
      </c>
      <c r="F18" s="72"/>
      <c r="G18" s="72"/>
      <c r="H18" s="72"/>
      <c r="I18" s="72"/>
      <c r="J18" s="72"/>
      <c r="K18" s="72"/>
      <c r="L18" s="72"/>
      <c r="M18" s="72"/>
      <c r="N18" s="72"/>
      <c r="O18" s="72"/>
      <c r="P18" s="72"/>
      <c r="Q18" s="72"/>
      <c r="R18" s="72"/>
      <c r="S18" s="72"/>
      <c r="T18" s="73"/>
      <c r="U18" s="875"/>
      <c r="V18" s="72"/>
      <c r="W18" s="95" t="s">
        <v>95</v>
      </c>
      <c r="X18" s="72"/>
      <c r="Y18" s="72"/>
      <c r="Z18" s="72"/>
      <c r="AA18" s="72"/>
      <c r="AB18" s="72"/>
      <c r="AC18" s="72"/>
      <c r="AD18" s="65"/>
      <c r="AE18" s="96"/>
      <c r="AF18" s="72"/>
      <c r="AG18" s="72"/>
      <c r="AH18" s="72"/>
      <c r="AI18" s="72"/>
      <c r="AJ18" s="72"/>
      <c r="AK18" s="72"/>
      <c r="AL18" s="73"/>
      <c r="AM18" s="875"/>
      <c r="AN18" s="922"/>
      <c r="AO18" s="82" t="s">
        <v>214</v>
      </c>
      <c r="AP18" s="97" t="s">
        <v>96</v>
      </c>
      <c r="AQ18" s="57"/>
      <c r="AR18" s="57"/>
      <c r="AS18" s="57"/>
      <c r="AT18" s="57"/>
      <c r="AU18" s="57"/>
      <c r="AV18" s="98" t="s">
        <v>214</v>
      </c>
      <c r="AW18" s="57" t="s">
        <v>97</v>
      </c>
      <c r="AX18" s="57"/>
      <c r="AY18" s="57"/>
      <c r="AZ18" s="890"/>
      <c r="BA18" s="890"/>
      <c r="BB18" s="890"/>
      <c r="BC18" s="61" t="s">
        <v>120</v>
      </c>
    </row>
    <row r="19" spans="1:55" ht="18" customHeight="1" x14ac:dyDescent="0.25">
      <c r="A19" s="875"/>
      <c r="B19" s="881"/>
      <c r="C19" s="882"/>
      <c r="D19" s="883"/>
      <c r="E19" s="94"/>
      <c r="F19" s="905"/>
      <c r="G19" s="905"/>
      <c r="H19" s="905"/>
      <c r="I19" s="905"/>
      <c r="J19" s="905"/>
      <c r="K19" s="905"/>
      <c r="L19" s="905"/>
      <c r="M19" s="905"/>
      <c r="N19" s="905"/>
      <c r="O19" s="905"/>
      <c r="P19" s="905"/>
      <c r="Q19" s="905"/>
      <c r="R19" s="905"/>
      <c r="S19" s="905"/>
      <c r="T19" s="72"/>
      <c r="U19" s="875"/>
      <c r="V19" s="72"/>
      <c r="W19" s="72" t="s">
        <v>98</v>
      </c>
      <c r="X19" s="72"/>
      <c r="Y19" s="72"/>
      <c r="Z19" s="72"/>
      <c r="AA19" s="72"/>
      <c r="AB19" s="72"/>
      <c r="AC19" s="72"/>
      <c r="AD19" s="72"/>
      <c r="AE19" s="72"/>
      <c r="AF19" s="72"/>
      <c r="AG19" s="72"/>
      <c r="AH19" s="72"/>
      <c r="AI19" s="72"/>
      <c r="AJ19" s="72"/>
      <c r="AK19" s="72"/>
      <c r="AL19" s="72"/>
      <c r="AM19" s="875"/>
      <c r="AN19" s="920" t="s">
        <v>99</v>
      </c>
      <c r="AO19" s="64"/>
      <c r="AP19" s="99" t="s">
        <v>100</v>
      </c>
      <c r="AQ19" s="65"/>
      <c r="AR19" s="65"/>
      <c r="AS19" s="65"/>
      <c r="AT19" s="65"/>
      <c r="AU19" s="65"/>
      <c r="AV19" s="65"/>
      <c r="AW19" s="65"/>
      <c r="AX19" s="65"/>
      <c r="AY19" s="65"/>
      <c r="AZ19" s="65"/>
      <c r="BA19" s="65"/>
      <c r="BB19" s="65"/>
      <c r="BC19" s="69"/>
    </row>
    <row r="20" spans="1:55" ht="18" customHeight="1" x14ac:dyDescent="0.25">
      <c r="A20" s="875"/>
      <c r="B20" s="881"/>
      <c r="C20" s="882"/>
      <c r="D20" s="883"/>
      <c r="E20" s="94"/>
      <c r="F20" s="905"/>
      <c r="G20" s="905"/>
      <c r="H20" s="905"/>
      <c r="I20" s="905"/>
      <c r="J20" s="905"/>
      <c r="K20" s="905"/>
      <c r="L20" s="905"/>
      <c r="M20" s="905"/>
      <c r="N20" s="905"/>
      <c r="O20" s="905"/>
      <c r="P20" s="905"/>
      <c r="Q20" s="905"/>
      <c r="R20" s="905"/>
      <c r="S20" s="905"/>
      <c r="T20" s="73"/>
      <c r="U20" s="875"/>
      <c r="V20" s="65" t="s">
        <v>101</v>
      </c>
      <c r="W20" s="65"/>
      <c r="X20" s="65"/>
      <c r="Y20" s="66"/>
      <c r="Z20" s="65"/>
      <c r="AA20" s="65"/>
      <c r="AB20" s="65"/>
      <c r="AC20" s="65"/>
      <c r="AD20" s="65"/>
      <c r="AE20" s="67" t="s">
        <v>56</v>
      </c>
      <c r="AF20" s="65"/>
      <c r="AG20" s="100"/>
      <c r="AH20" s="65" t="s">
        <v>156</v>
      </c>
      <c r="AI20" s="65"/>
      <c r="AJ20" s="65"/>
      <c r="AK20" s="65" t="s">
        <v>166</v>
      </c>
      <c r="AL20" s="69"/>
      <c r="AM20" s="875"/>
      <c r="AN20" s="921"/>
      <c r="AO20" s="71"/>
      <c r="AP20" s="55" t="s">
        <v>102</v>
      </c>
      <c r="AQ20" s="72"/>
      <c r="AR20" s="72"/>
      <c r="AS20" s="72"/>
      <c r="AT20" s="72"/>
      <c r="AU20" s="72"/>
      <c r="AV20" s="72"/>
      <c r="AW20" s="72"/>
      <c r="AX20" s="72"/>
      <c r="AY20" s="72"/>
      <c r="AZ20" s="72"/>
      <c r="BA20" s="72"/>
      <c r="BB20" s="72"/>
      <c r="BC20" s="73"/>
    </row>
    <row r="21" spans="1:55" ht="18" customHeight="1" thickBot="1" x14ac:dyDescent="0.3">
      <c r="A21" s="875"/>
      <c r="B21" s="884"/>
      <c r="C21" s="859"/>
      <c r="D21" s="860"/>
      <c r="E21" s="166"/>
      <c r="F21" s="906"/>
      <c r="G21" s="906"/>
      <c r="H21" s="906"/>
      <c r="I21" s="906"/>
      <c r="J21" s="906"/>
      <c r="K21" s="906"/>
      <c r="L21" s="906"/>
      <c r="M21" s="906"/>
      <c r="N21" s="906"/>
      <c r="O21" s="906"/>
      <c r="P21" s="906"/>
      <c r="Q21" s="906"/>
      <c r="R21" s="906"/>
      <c r="S21" s="906"/>
      <c r="T21" s="57"/>
      <c r="U21" s="875"/>
      <c r="V21" s="923" t="s">
        <v>103</v>
      </c>
      <c r="W21" s="924"/>
      <c r="X21" s="65"/>
      <c r="Y21" s="65" t="s">
        <v>104</v>
      </c>
      <c r="Z21" s="65"/>
      <c r="AA21" s="65"/>
      <c r="AB21" s="65"/>
      <c r="AC21" s="65"/>
      <c r="AD21" s="65"/>
      <c r="AE21" s="65" t="s">
        <v>158</v>
      </c>
      <c r="AF21" s="65"/>
      <c r="AG21" s="65"/>
      <c r="AH21" s="65"/>
      <c r="AI21" s="65"/>
      <c r="AJ21" s="65"/>
      <c r="AK21" s="65"/>
      <c r="AL21" s="69"/>
      <c r="AM21" s="876"/>
      <c r="AN21" s="973"/>
      <c r="AO21" s="101"/>
      <c r="AP21" s="102" t="s">
        <v>105</v>
      </c>
      <c r="AQ21" s="72"/>
      <c r="AR21" s="72"/>
      <c r="AS21" s="72"/>
      <c r="AT21" s="72"/>
      <c r="AU21" s="72"/>
      <c r="AV21" s="907"/>
      <c r="AW21" s="907"/>
      <c r="AX21" s="907"/>
      <c r="AY21" s="907"/>
      <c r="AZ21" s="907"/>
      <c r="BA21" s="907"/>
      <c r="BB21" s="907"/>
      <c r="BC21" s="73" t="s">
        <v>106</v>
      </c>
    </row>
    <row r="22" spans="1:55" ht="18" customHeight="1" x14ac:dyDescent="0.25">
      <c r="A22" s="875"/>
      <c r="B22" s="885" t="s">
        <v>107</v>
      </c>
      <c r="C22" s="879"/>
      <c r="D22" s="880"/>
      <c r="E22" s="103"/>
      <c r="F22" s="67" t="s">
        <v>108</v>
      </c>
      <c r="G22" s="65"/>
      <c r="H22" s="65"/>
      <c r="I22" s="65"/>
      <c r="J22" s="67" t="s">
        <v>109</v>
      </c>
      <c r="K22" s="65"/>
      <c r="L22" s="65"/>
      <c r="M22" s="65"/>
      <c r="N22" s="67" t="s">
        <v>159</v>
      </c>
      <c r="O22" s="65"/>
      <c r="P22" s="65"/>
      <c r="Q22" s="65"/>
      <c r="R22" s="67" t="s">
        <v>110</v>
      </c>
      <c r="S22" s="65"/>
      <c r="T22" s="65"/>
      <c r="U22" s="875"/>
      <c r="V22" s="925"/>
      <c r="W22" s="926"/>
      <c r="X22" s="57"/>
      <c r="Y22" s="57" t="s">
        <v>97</v>
      </c>
      <c r="Z22" s="57"/>
      <c r="AA22" s="57"/>
      <c r="AB22" s="890"/>
      <c r="AC22" s="890"/>
      <c r="AD22" s="890"/>
      <c r="AE22" s="890"/>
      <c r="AF22" s="890"/>
      <c r="AG22" s="890"/>
      <c r="AH22" s="890"/>
      <c r="AI22" s="890"/>
      <c r="AJ22" s="890"/>
      <c r="AK22" s="890"/>
      <c r="AL22" s="61" t="s">
        <v>120</v>
      </c>
      <c r="AM22" s="874" t="s">
        <v>160</v>
      </c>
      <c r="AN22" s="47"/>
      <c r="AO22" s="48" t="s">
        <v>166</v>
      </c>
      <c r="AP22" s="48"/>
      <c r="AQ22" s="48"/>
      <c r="AR22" s="104" t="s">
        <v>154</v>
      </c>
      <c r="AS22" s="48"/>
      <c r="AT22" s="48"/>
      <c r="AU22" s="48"/>
      <c r="AV22" s="48"/>
      <c r="AW22" s="48"/>
      <c r="AX22" s="48"/>
      <c r="AY22" s="48"/>
      <c r="AZ22" s="48"/>
      <c r="BA22" s="105"/>
      <c r="BB22" s="48"/>
      <c r="BC22" s="52"/>
    </row>
    <row r="23" spans="1:55" ht="18" customHeight="1" x14ac:dyDescent="0.25">
      <c r="A23" s="875"/>
      <c r="B23" s="881"/>
      <c r="C23" s="882"/>
      <c r="D23" s="883"/>
      <c r="E23" s="106"/>
      <c r="F23" s="55" t="s">
        <v>97</v>
      </c>
      <c r="G23" s="72"/>
      <c r="H23" s="72"/>
      <c r="I23" s="890"/>
      <c r="J23" s="890"/>
      <c r="K23" s="890"/>
      <c r="L23" s="890"/>
      <c r="M23" s="890"/>
      <c r="N23" s="890"/>
      <c r="O23" s="890"/>
      <c r="P23" s="890"/>
      <c r="Q23" s="890"/>
      <c r="R23" s="890"/>
      <c r="S23" s="890"/>
      <c r="T23" s="72" t="s">
        <v>111</v>
      </c>
      <c r="U23" s="875"/>
      <c r="V23" s="910" t="s">
        <v>112</v>
      </c>
      <c r="W23" s="70" t="s">
        <v>214</v>
      </c>
      <c r="X23" s="67" t="s">
        <v>67</v>
      </c>
      <c r="Y23" s="65"/>
      <c r="Z23" s="65"/>
      <c r="AA23" s="65"/>
      <c r="AB23" s="65"/>
      <c r="AC23" s="914"/>
      <c r="AD23" s="914"/>
      <c r="AE23" s="914"/>
      <c r="AF23" s="914"/>
      <c r="AG23" s="914"/>
      <c r="AH23" s="914"/>
      <c r="AI23" s="914"/>
      <c r="AJ23" s="914"/>
      <c r="AK23" s="914"/>
      <c r="AL23" s="65" t="s">
        <v>68</v>
      </c>
      <c r="AM23" s="875"/>
      <c r="AN23" s="72"/>
      <c r="AO23" s="95" t="s">
        <v>113</v>
      </c>
      <c r="AP23" s="55"/>
      <c r="AQ23" s="72"/>
      <c r="AR23" s="72"/>
      <c r="AS23" s="55"/>
      <c r="AT23" s="72"/>
      <c r="AU23" s="72"/>
      <c r="AV23" s="72"/>
      <c r="AW23" s="72"/>
      <c r="AX23" s="913" t="s">
        <v>114</v>
      </c>
      <c r="AY23" s="913"/>
      <c r="AZ23" s="913"/>
      <c r="BA23" s="913"/>
      <c r="BB23" s="913"/>
      <c r="BC23" s="73"/>
    </row>
    <row r="24" spans="1:55" ht="18" customHeight="1" x14ac:dyDescent="0.25">
      <c r="A24" s="875"/>
      <c r="B24" s="885" t="s">
        <v>115</v>
      </c>
      <c r="C24" s="897"/>
      <c r="D24" s="898"/>
      <c r="E24" s="103"/>
      <c r="F24" s="65" t="s">
        <v>155</v>
      </c>
      <c r="G24" s="65"/>
      <c r="H24" s="65"/>
      <c r="I24" s="65"/>
      <c r="J24" s="65"/>
      <c r="K24" s="65"/>
      <c r="L24" s="65"/>
      <c r="M24" s="65"/>
      <c r="N24" s="65"/>
      <c r="O24" s="65"/>
      <c r="P24" s="65"/>
      <c r="Q24" s="65"/>
      <c r="R24" s="65"/>
      <c r="S24" s="65"/>
      <c r="T24" s="69"/>
      <c r="U24" s="875"/>
      <c r="V24" s="911"/>
      <c r="W24" s="58" t="s">
        <v>116</v>
      </c>
      <c r="X24" s="57"/>
      <c r="Y24" s="57"/>
      <c r="Z24" s="890"/>
      <c r="AA24" s="890"/>
      <c r="AB24" s="890"/>
      <c r="AC24" s="890"/>
      <c r="AD24" s="890"/>
      <c r="AE24" s="890"/>
      <c r="AF24" s="890"/>
      <c r="AG24" s="890"/>
      <c r="AH24" s="890"/>
      <c r="AI24" s="890"/>
      <c r="AJ24" s="890"/>
      <c r="AK24" s="890"/>
      <c r="AL24" s="57"/>
      <c r="AM24" s="875"/>
      <c r="AN24" s="72" t="s">
        <v>117</v>
      </c>
      <c r="AO24" s="72"/>
      <c r="AP24" s="72"/>
      <c r="AQ24" s="72"/>
      <c r="AR24" s="72"/>
      <c r="AS24" s="55"/>
      <c r="AT24" s="72"/>
      <c r="AU24" s="72"/>
      <c r="AV24" s="72"/>
      <c r="AW24" s="72"/>
      <c r="AX24" s="72"/>
      <c r="AY24" s="72"/>
      <c r="AZ24" s="72"/>
      <c r="BA24" s="107"/>
      <c r="BB24" s="72"/>
      <c r="BC24" s="73"/>
    </row>
    <row r="25" spans="1:55" ht="18" customHeight="1" x14ac:dyDescent="0.25">
      <c r="A25" s="875"/>
      <c r="B25" s="899"/>
      <c r="C25" s="900"/>
      <c r="D25" s="901"/>
      <c r="E25" s="106"/>
      <c r="F25" s="72" t="s">
        <v>758</v>
      </c>
      <c r="G25" s="72"/>
      <c r="H25" s="72"/>
      <c r="I25" s="72"/>
      <c r="J25" s="72"/>
      <c r="K25" s="72"/>
      <c r="L25" s="72"/>
      <c r="M25" s="72"/>
      <c r="N25" s="72"/>
      <c r="O25" s="72"/>
      <c r="P25" s="72"/>
      <c r="Q25" s="72"/>
      <c r="R25" s="72"/>
      <c r="S25" s="72"/>
      <c r="T25" s="73"/>
      <c r="U25" s="875"/>
      <c r="V25" s="911"/>
      <c r="W25" s="70" t="s">
        <v>214</v>
      </c>
      <c r="X25" s="65" t="s">
        <v>71</v>
      </c>
      <c r="Y25" s="65"/>
      <c r="Z25" s="65"/>
      <c r="AA25" s="65"/>
      <c r="AB25" s="65"/>
      <c r="AC25" s="65"/>
      <c r="AD25" s="65"/>
      <c r="AE25" s="65"/>
      <c r="AF25" s="914"/>
      <c r="AG25" s="914"/>
      <c r="AH25" s="914"/>
      <c r="AI25" s="914"/>
      <c r="AJ25" s="914"/>
      <c r="AK25" s="914"/>
      <c r="AL25" s="65" t="s">
        <v>68</v>
      </c>
      <c r="AM25" s="875"/>
      <c r="AN25" s="72"/>
      <c r="AO25" s="905"/>
      <c r="AP25" s="905"/>
      <c r="AQ25" s="905"/>
      <c r="AR25" s="905"/>
      <c r="AS25" s="905"/>
      <c r="AT25" s="905"/>
      <c r="AU25" s="905"/>
      <c r="AV25" s="905"/>
      <c r="AW25" s="905"/>
      <c r="AX25" s="905"/>
      <c r="AY25" s="905"/>
      <c r="AZ25" s="905"/>
      <c r="BA25" s="905"/>
      <c r="BB25" s="905"/>
      <c r="BC25" s="73"/>
    </row>
    <row r="26" spans="1:55" ht="18" customHeight="1" thickBot="1" x14ac:dyDescent="0.3">
      <c r="A26" s="876"/>
      <c r="B26" s="902"/>
      <c r="C26" s="903"/>
      <c r="D26" s="904"/>
      <c r="E26" s="108"/>
      <c r="F26" s="102" t="s">
        <v>119</v>
      </c>
      <c r="G26" s="102"/>
      <c r="H26" s="102"/>
      <c r="I26" s="102"/>
      <c r="J26" s="102"/>
      <c r="K26" s="102"/>
      <c r="L26" s="102"/>
      <c r="M26" s="102"/>
      <c r="N26" s="102"/>
      <c r="O26" s="908"/>
      <c r="P26" s="908"/>
      <c r="Q26" s="908"/>
      <c r="R26" s="908"/>
      <c r="S26" s="908"/>
      <c r="T26" s="909"/>
      <c r="U26" s="875"/>
      <c r="V26" s="911"/>
      <c r="W26" s="58" t="s">
        <v>116</v>
      </c>
      <c r="X26" s="57"/>
      <c r="Y26" s="57"/>
      <c r="Z26" s="890"/>
      <c r="AA26" s="890"/>
      <c r="AB26" s="890"/>
      <c r="AC26" s="890"/>
      <c r="AD26" s="890"/>
      <c r="AE26" s="890"/>
      <c r="AF26" s="890"/>
      <c r="AG26" s="890"/>
      <c r="AH26" s="890"/>
      <c r="AI26" s="890"/>
      <c r="AJ26" s="890"/>
      <c r="AK26" s="890"/>
      <c r="AL26" s="57"/>
      <c r="AM26" s="875"/>
      <c r="AN26" s="72"/>
      <c r="AO26" s="962"/>
      <c r="AP26" s="962"/>
      <c r="AQ26" s="962"/>
      <c r="AR26" s="962"/>
      <c r="AS26" s="962"/>
      <c r="AT26" s="962"/>
      <c r="AU26" s="962"/>
      <c r="AV26" s="962"/>
      <c r="AW26" s="962"/>
      <c r="AX26" s="962"/>
      <c r="AY26" s="962"/>
      <c r="AZ26" s="962"/>
      <c r="BA26" s="962"/>
      <c r="BB26" s="962"/>
      <c r="BC26" s="73"/>
    </row>
    <row r="27" spans="1:55" ht="18" customHeight="1" x14ac:dyDescent="0.25">
      <c r="A27" s="891" t="s">
        <v>121</v>
      </c>
      <c r="B27" s="892"/>
      <c r="C27" s="892"/>
      <c r="D27" s="893"/>
      <c r="E27" s="47"/>
      <c r="F27" s="48" t="s">
        <v>759</v>
      </c>
      <c r="G27" s="48"/>
      <c r="H27" s="48"/>
      <c r="J27" s="48" t="s">
        <v>760</v>
      </c>
      <c r="K27" s="48"/>
      <c r="L27" s="48"/>
      <c r="M27" s="48"/>
      <c r="N27" s="48"/>
      <c r="O27" s="48"/>
      <c r="P27" s="48"/>
      <c r="Q27" s="48"/>
      <c r="R27" s="48"/>
      <c r="S27" s="48"/>
      <c r="T27" s="52"/>
      <c r="U27" s="875"/>
      <c r="V27" s="911"/>
      <c r="W27" s="70" t="s">
        <v>214</v>
      </c>
      <c r="X27" s="65" t="s">
        <v>75</v>
      </c>
      <c r="Y27" s="65"/>
      <c r="Z27" s="65"/>
      <c r="AA27" s="65"/>
      <c r="AB27" s="914"/>
      <c r="AC27" s="914"/>
      <c r="AD27" s="914"/>
      <c r="AE27" s="914"/>
      <c r="AF27" s="914"/>
      <c r="AG27" s="914"/>
      <c r="AH27" s="914"/>
      <c r="AI27" s="914"/>
      <c r="AJ27" s="914"/>
      <c r="AK27" s="914"/>
      <c r="AL27" s="65" t="s">
        <v>76</v>
      </c>
      <c r="AM27" s="875"/>
      <c r="AN27" s="955" t="s">
        <v>122</v>
      </c>
      <c r="AO27" s="956"/>
      <c r="AP27" s="956"/>
      <c r="AQ27" s="956"/>
      <c r="AR27" s="956"/>
      <c r="AS27" s="956"/>
      <c r="AT27" s="956"/>
      <c r="AU27" s="956"/>
      <c r="AV27" s="956"/>
      <c r="AW27" s="956"/>
      <c r="AX27" s="956"/>
      <c r="AY27" s="956"/>
      <c r="AZ27" s="956"/>
      <c r="BA27" s="956"/>
      <c r="BB27" s="956"/>
      <c r="BC27" s="957"/>
    </row>
    <row r="28" spans="1:55" ht="18" customHeight="1" thickBot="1" x14ac:dyDescent="0.3">
      <c r="A28" s="894"/>
      <c r="B28" s="895"/>
      <c r="C28" s="895"/>
      <c r="D28" s="896"/>
      <c r="E28" s="101"/>
      <c r="F28" s="102" t="s">
        <v>105</v>
      </c>
      <c r="G28" s="102"/>
      <c r="H28" s="102"/>
      <c r="I28" s="102"/>
      <c r="J28" s="102"/>
      <c r="K28" s="102"/>
      <c r="L28" s="907"/>
      <c r="M28" s="907"/>
      <c r="N28" s="907"/>
      <c r="O28" s="907"/>
      <c r="P28" s="907"/>
      <c r="Q28" s="907"/>
      <c r="R28" s="907"/>
      <c r="S28" s="907"/>
      <c r="T28" s="109" t="s">
        <v>123</v>
      </c>
      <c r="U28" s="876"/>
      <c r="V28" s="912"/>
      <c r="W28" s="101" t="s">
        <v>116</v>
      </c>
      <c r="X28" s="102"/>
      <c r="Y28" s="102"/>
      <c r="Z28" s="907"/>
      <c r="AA28" s="907"/>
      <c r="AB28" s="907"/>
      <c r="AC28" s="907"/>
      <c r="AD28" s="907"/>
      <c r="AE28" s="907"/>
      <c r="AF28" s="907"/>
      <c r="AG28" s="907"/>
      <c r="AH28" s="907"/>
      <c r="AI28" s="907"/>
      <c r="AJ28" s="907"/>
      <c r="AK28" s="907"/>
      <c r="AL28" s="102"/>
      <c r="AM28" s="876"/>
      <c r="AN28" s="958"/>
      <c r="AO28" s="959"/>
      <c r="AP28" s="959"/>
      <c r="AQ28" s="959"/>
      <c r="AR28" s="959"/>
      <c r="AS28" s="959"/>
      <c r="AT28" s="959"/>
      <c r="AU28" s="959"/>
      <c r="AV28" s="959"/>
      <c r="AW28" s="959"/>
      <c r="AX28" s="959"/>
      <c r="AY28" s="959"/>
      <c r="AZ28" s="959"/>
      <c r="BA28" s="959"/>
      <c r="BB28" s="959"/>
      <c r="BC28" s="960"/>
    </row>
    <row r="29" spans="1:55" ht="17.25" customHeight="1" x14ac:dyDescent="0.25">
      <c r="J29" s="48"/>
      <c r="K29" s="48"/>
      <c r="L29" s="48"/>
      <c r="M29" s="48"/>
      <c r="X29" s="48"/>
      <c r="Y29" s="48"/>
      <c r="Z29" s="48"/>
    </row>
    <row r="30" spans="1:55" ht="17.25" customHeight="1" x14ac:dyDescent="0.25">
      <c r="J30" s="72"/>
      <c r="K30" s="72"/>
      <c r="L30" s="72"/>
      <c r="M30" s="72"/>
      <c r="U30" s="110"/>
      <c r="X30" s="72"/>
      <c r="Y30" s="72"/>
      <c r="Z30" s="72"/>
    </row>
    <row r="31" spans="1:55" ht="17.25" customHeight="1" x14ac:dyDescent="0.25">
      <c r="J31" s="72"/>
      <c r="K31" s="72"/>
      <c r="L31" s="72"/>
      <c r="M31" s="72"/>
      <c r="X31" s="72"/>
      <c r="Y31" s="72"/>
      <c r="Z31" s="72"/>
    </row>
    <row r="32" spans="1:55" ht="17.25" customHeight="1" x14ac:dyDescent="0.25">
      <c r="J32" s="72"/>
      <c r="K32" s="72"/>
      <c r="L32" s="72"/>
      <c r="M32" s="72"/>
      <c r="X32" s="72"/>
      <c r="Y32" s="72"/>
      <c r="Z32" s="72"/>
      <c r="AA32" s="72"/>
      <c r="AB32" s="72"/>
      <c r="AC32" s="72"/>
      <c r="AD32" s="72"/>
      <c r="AE32" s="72"/>
      <c r="AF32" s="72"/>
      <c r="AG32" s="72"/>
      <c r="AH32" s="72"/>
      <c r="AI32" s="72"/>
      <c r="AJ32" s="72"/>
      <c r="AK32" s="72"/>
      <c r="AL32" s="72"/>
    </row>
    <row r="33" spans="1:58" ht="27" customHeight="1" x14ac:dyDescent="0.4">
      <c r="B33" s="376" t="s">
        <v>37</v>
      </c>
      <c r="C33" s="377"/>
      <c r="D33" s="377"/>
      <c r="E33" s="377"/>
      <c r="F33" s="377"/>
      <c r="G33" s="377"/>
      <c r="H33" s="377"/>
      <c r="I33" s="377"/>
      <c r="J33" s="377"/>
      <c r="K33" s="377"/>
      <c r="L33" s="377"/>
      <c r="M33" s="377"/>
      <c r="N33" s="377"/>
      <c r="O33" s="377"/>
      <c r="P33" s="377"/>
      <c r="Q33" s="377"/>
      <c r="R33" s="377"/>
      <c r="S33" s="377"/>
      <c r="T33" s="377"/>
      <c r="U33" s="377"/>
      <c r="V33" s="377"/>
      <c r="W33" s="377"/>
      <c r="X33" s="377"/>
      <c r="Y33" s="377"/>
      <c r="Z33" s="377"/>
      <c r="AA33" s="377"/>
      <c r="AB33" s="377"/>
      <c r="AC33" s="377"/>
      <c r="AD33" s="377"/>
      <c r="AE33" s="377"/>
      <c r="AF33" s="377"/>
      <c r="AH33" s="377"/>
      <c r="AI33" s="377"/>
      <c r="AJ33" s="378" t="str">
        <f>AJ1</f>
        <v>Vol.2.5</v>
      </c>
      <c r="AK33" s="38"/>
      <c r="AN33" s="111"/>
      <c r="AO33" s="39"/>
      <c r="AP33" s="40"/>
      <c r="AQ33" s="41" t="s">
        <v>38</v>
      </c>
      <c r="AR33" s="888">
        <f>AR1</f>
        <v>43257</v>
      </c>
      <c r="AS33" s="889"/>
      <c r="AT33" s="889"/>
      <c r="AU33" s="889"/>
      <c r="AV33" s="889"/>
      <c r="AW33" s="889"/>
      <c r="AX33" s="889"/>
      <c r="AY33" s="889"/>
      <c r="AZ33" s="889"/>
      <c r="BA33" s="889"/>
      <c r="BB33" s="889"/>
      <c r="BC33" s="39"/>
      <c r="BD33" s="112"/>
      <c r="BE33" s="112"/>
      <c r="BF33" s="112"/>
    </row>
    <row r="34" spans="1:58" ht="17.25" customHeight="1" x14ac:dyDescent="0.25">
      <c r="A34" s="41" t="s">
        <v>145</v>
      </c>
      <c r="B34" s="386" t="s">
        <v>43</v>
      </c>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72"/>
      <c r="AO34" s="43"/>
      <c r="AP34" s="43"/>
      <c r="AQ34" s="43"/>
      <c r="AR34" s="43"/>
      <c r="AS34" s="43"/>
      <c r="AT34" s="44" t="s">
        <v>39</v>
      </c>
      <c r="AU34" s="43"/>
      <c r="AV34" s="43"/>
      <c r="AW34" s="43"/>
      <c r="AX34" s="43"/>
      <c r="AY34" s="43"/>
      <c r="AZ34" s="43"/>
      <c r="BA34" s="43"/>
      <c r="BB34" s="43"/>
      <c r="BC34" s="43"/>
    </row>
    <row r="35" spans="1:58" ht="17.25" customHeight="1" thickBot="1" x14ac:dyDescent="0.3">
      <c r="J35" s="72"/>
      <c r="K35" s="72"/>
      <c r="L35" s="72"/>
      <c r="M35" s="72"/>
      <c r="X35" s="72"/>
      <c r="Y35" s="72"/>
      <c r="Z35" s="72"/>
      <c r="AM35" s="72"/>
      <c r="AN35" s="72"/>
      <c r="AO35" s="72"/>
      <c r="AR35" s="72"/>
      <c r="AS35" s="72"/>
    </row>
    <row r="36" spans="1:58" ht="17.25" customHeight="1" thickBot="1" x14ac:dyDescent="0.3">
      <c r="A36" s="867" t="s">
        <v>45</v>
      </c>
      <c r="B36" s="873" t="s">
        <v>305</v>
      </c>
      <c r="C36" s="873"/>
      <c r="D36" s="873"/>
      <c r="E36" s="873"/>
      <c r="F36" s="873"/>
      <c r="G36" s="873"/>
      <c r="H36" s="870"/>
      <c r="I36" s="870" t="str">
        <f>I6</f>
        <v>171963</v>
      </c>
      <c r="J36" s="871"/>
      <c r="K36" s="871"/>
      <c r="L36" s="871"/>
      <c r="M36" s="871"/>
      <c r="N36" s="871"/>
      <c r="O36" s="871"/>
      <c r="P36" s="871"/>
      <c r="Q36" s="871"/>
      <c r="R36" s="871"/>
      <c r="S36" s="871"/>
      <c r="T36" s="872"/>
      <c r="Y36" s="968" t="s">
        <v>656</v>
      </c>
      <c r="Z36" s="969"/>
      <c r="AA36" s="969"/>
      <c r="AB36" s="969"/>
      <c r="AC36" s="969"/>
      <c r="AD36" s="970"/>
      <c r="AE36" s="970"/>
      <c r="AF36" s="971"/>
      <c r="AM36" s="72"/>
      <c r="AN36" s="72"/>
      <c r="AO36" s="72"/>
      <c r="AR36" s="72"/>
      <c r="AS36" s="72"/>
    </row>
    <row r="37" spans="1:58" ht="17.25" customHeight="1" x14ac:dyDescent="0.25">
      <c r="A37" s="868"/>
      <c r="B37" s="797" t="s">
        <v>50</v>
      </c>
      <c r="C37" s="797"/>
      <c r="D37" s="797"/>
      <c r="E37" s="797"/>
      <c r="F37" s="797"/>
      <c r="G37" s="797"/>
      <c r="H37" s="866"/>
      <c r="I37" s="866" t="str">
        <f>I7</f>
        <v>大八清掃社</v>
      </c>
      <c r="J37" s="856"/>
      <c r="K37" s="856"/>
      <c r="L37" s="856"/>
      <c r="M37" s="856"/>
      <c r="N37" s="856"/>
      <c r="O37" s="856"/>
      <c r="P37" s="856"/>
      <c r="Q37" s="856"/>
      <c r="R37" s="856"/>
      <c r="S37" s="856"/>
      <c r="T37" s="54" t="s">
        <v>308</v>
      </c>
      <c r="X37" s="72"/>
      <c r="AM37" s="72"/>
      <c r="AN37" s="72"/>
      <c r="AO37" s="72"/>
      <c r="AR37" s="72"/>
      <c r="AS37" s="72"/>
    </row>
    <row r="38" spans="1:58" ht="17.25" customHeight="1" x14ac:dyDescent="0.25">
      <c r="A38" s="868"/>
      <c r="B38" s="886" t="s">
        <v>52</v>
      </c>
      <c r="C38" s="886"/>
      <c r="D38" s="886"/>
      <c r="E38" s="886"/>
      <c r="F38" s="886"/>
      <c r="G38" s="886"/>
      <c r="H38" s="887"/>
      <c r="I38" s="866" t="str">
        <f>I8</f>
        <v>日野</v>
      </c>
      <c r="J38" s="856"/>
      <c r="K38" s="856"/>
      <c r="L38" s="856"/>
      <c r="M38" s="856"/>
      <c r="N38" s="63" t="s">
        <v>53</v>
      </c>
      <c r="O38" s="856">
        <f>O8</f>
        <v>0</v>
      </c>
      <c r="P38" s="856"/>
      <c r="Q38" s="856"/>
      <c r="R38" s="856"/>
      <c r="S38" s="856"/>
      <c r="T38" s="54" t="s">
        <v>54</v>
      </c>
      <c r="X38" s="72"/>
      <c r="Y38" s="72"/>
      <c r="Z38" s="72"/>
      <c r="AM38" s="72"/>
      <c r="AN38" s="72"/>
      <c r="AO38" s="72"/>
      <c r="AR38" s="72"/>
      <c r="AS38" s="72"/>
    </row>
    <row r="39" spans="1:58" ht="17.25" customHeight="1" thickBot="1" x14ac:dyDescent="0.3">
      <c r="A39" s="869"/>
      <c r="B39" s="939" t="s">
        <v>57</v>
      </c>
      <c r="C39" s="939"/>
      <c r="D39" s="939"/>
      <c r="E39" s="939"/>
      <c r="F39" s="939"/>
      <c r="G39" s="939"/>
      <c r="H39" s="878"/>
      <c r="I39" s="944" t="str">
        <f>I9</f>
        <v>PB681E-N(8.1)</v>
      </c>
      <c r="J39" s="945"/>
      <c r="K39" s="945"/>
      <c r="L39" s="945"/>
      <c r="M39" s="945"/>
      <c r="N39" s="945"/>
      <c r="O39" s="945"/>
      <c r="P39" s="945"/>
      <c r="Q39" s="945"/>
      <c r="R39" s="945"/>
      <c r="S39" s="945"/>
      <c r="T39" s="946"/>
      <c r="X39" s="72"/>
      <c r="Y39" s="72"/>
      <c r="Z39" s="72"/>
      <c r="AR39" s="113"/>
      <c r="AS39" s="113"/>
    </row>
    <row r="40" spans="1:58" ht="17.25" customHeight="1" thickBot="1" x14ac:dyDescent="0.3">
      <c r="A40" s="861" t="s">
        <v>124</v>
      </c>
      <c r="B40" s="862"/>
      <c r="C40" s="862"/>
      <c r="D40" s="862"/>
      <c r="E40" s="862"/>
      <c r="F40" s="862"/>
      <c r="G40" s="862"/>
      <c r="H40" s="862"/>
      <c r="I40" s="862"/>
      <c r="J40" s="862"/>
      <c r="K40" s="862"/>
      <c r="L40" s="862"/>
      <c r="M40" s="862"/>
      <c r="N40" s="862"/>
      <c r="O40" s="862"/>
      <c r="P40" s="862"/>
      <c r="Q40" s="862"/>
      <c r="R40" s="862"/>
      <c r="S40" s="862"/>
      <c r="T40" s="862"/>
      <c r="U40" s="863"/>
      <c r="X40" s="72"/>
      <c r="Y40" s="947" t="s">
        <v>125</v>
      </c>
      <c r="Z40" s="948"/>
      <c r="AA40" s="948"/>
      <c r="AB40" s="948"/>
      <c r="AC40" s="948"/>
      <c r="AD40" s="948"/>
      <c r="AE40" s="948"/>
      <c r="AF40" s="948"/>
      <c r="AG40" s="948"/>
      <c r="AH40" s="948"/>
      <c r="AI40" s="948"/>
      <c r="AJ40" s="948"/>
      <c r="AK40" s="948"/>
      <c r="AL40" s="948"/>
      <c r="AM40" s="948"/>
      <c r="AN40" s="948"/>
      <c r="AO40" s="948"/>
      <c r="AP40" s="948"/>
      <c r="AQ40" s="948"/>
      <c r="AR40" s="948"/>
      <c r="AS40" s="949"/>
    </row>
    <row r="41" spans="1:58" ht="17.25" customHeight="1" x14ac:dyDescent="0.25">
      <c r="A41" s="858" t="s">
        <v>126</v>
      </c>
      <c r="B41" s="859"/>
      <c r="C41" s="859"/>
      <c r="D41" s="859"/>
      <c r="E41" s="860"/>
      <c r="F41" s="943"/>
      <c r="G41" s="853"/>
      <c r="H41" s="853"/>
      <c r="I41" s="853"/>
      <c r="J41" s="853"/>
      <c r="K41" s="853"/>
      <c r="L41" s="853"/>
      <c r="M41" s="853"/>
      <c r="N41" s="853"/>
      <c r="O41" s="111" t="s">
        <v>127</v>
      </c>
      <c r="P41" s="72" t="s">
        <v>118</v>
      </c>
      <c r="Q41" s="853"/>
      <c r="R41" s="853"/>
      <c r="S41" s="853"/>
      <c r="T41" s="72" t="s">
        <v>308</v>
      </c>
      <c r="U41" s="114" t="s">
        <v>68</v>
      </c>
      <c r="X41" s="72"/>
      <c r="Y41" s="115" t="s">
        <v>128</v>
      </c>
      <c r="Z41" s="48"/>
      <c r="AA41" s="48"/>
      <c r="AB41" s="48"/>
      <c r="AC41" s="48"/>
      <c r="AD41" s="48"/>
      <c r="AE41" s="48"/>
      <c r="AF41" s="48"/>
      <c r="AG41" s="48"/>
      <c r="AH41" s="48"/>
      <c r="AI41" s="48"/>
      <c r="AJ41" s="961"/>
      <c r="AK41" s="961"/>
      <c r="AL41" s="961"/>
      <c r="AM41" s="961"/>
      <c r="AN41" s="48" t="s">
        <v>129</v>
      </c>
      <c r="AO41" s="48"/>
      <c r="AP41" s="870" t="s">
        <v>130</v>
      </c>
      <c r="AQ41" s="871"/>
      <c r="AR41" s="871"/>
      <c r="AS41" s="872"/>
    </row>
    <row r="42" spans="1:58" ht="17.25" customHeight="1" x14ac:dyDescent="0.25">
      <c r="A42" s="132" t="s">
        <v>131</v>
      </c>
      <c r="B42" s="65"/>
      <c r="C42" s="65"/>
      <c r="D42" s="66"/>
      <c r="E42" s="65"/>
      <c r="F42" s="65"/>
      <c r="G42" s="65"/>
      <c r="H42" s="72"/>
      <c r="I42" s="67" t="s">
        <v>56</v>
      </c>
      <c r="J42" s="72"/>
      <c r="K42" s="938"/>
      <c r="L42" s="938"/>
      <c r="M42" s="65" t="s">
        <v>156</v>
      </c>
      <c r="N42" s="65"/>
      <c r="O42" s="65"/>
      <c r="P42" s="65" t="s">
        <v>166</v>
      </c>
      <c r="Q42" s="63"/>
      <c r="R42" s="938"/>
      <c r="S42" s="938"/>
      <c r="T42" s="938"/>
      <c r="U42" s="116"/>
      <c r="X42" s="72"/>
      <c r="Y42" s="117"/>
      <c r="Z42" s="942"/>
      <c r="AA42" s="942"/>
      <c r="AB42" s="942"/>
      <c r="AC42" s="942"/>
      <c r="AD42" s="942"/>
      <c r="AE42" s="942"/>
      <c r="AF42" s="942"/>
      <c r="AG42" s="942"/>
      <c r="AH42" s="942"/>
      <c r="AI42" s="942"/>
      <c r="AJ42" s="942"/>
      <c r="AK42" s="942"/>
      <c r="AL42" s="942"/>
      <c r="AM42" s="942"/>
      <c r="AN42" s="942"/>
      <c r="AO42" s="72"/>
      <c r="AP42" s="928" t="s">
        <v>698</v>
      </c>
      <c r="AQ42" s="929"/>
      <c r="AR42" s="929"/>
      <c r="AS42" s="930"/>
    </row>
    <row r="43" spans="1:58" ht="17.25" customHeight="1" x14ac:dyDescent="0.25">
      <c r="A43" s="855" t="s">
        <v>132</v>
      </c>
      <c r="B43" s="856"/>
      <c r="C43" s="856"/>
      <c r="D43" s="856"/>
      <c r="E43" s="857"/>
      <c r="F43" s="864" t="s">
        <v>133</v>
      </c>
      <c r="G43" s="865"/>
      <c r="H43" s="865"/>
      <c r="I43" s="865"/>
      <c r="J43" s="865"/>
      <c r="K43" s="865"/>
      <c r="L43" s="865"/>
      <c r="M43" s="865"/>
      <c r="N43" s="865"/>
      <c r="O43" s="865"/>
      <c r="P43" s="865"/>
      <c r="Q43" s="865"/>
      <c r="R43" s="938"/>
      <c r="S43" s="938"/>
      <c r="T43" s="938"/>
      <c r="U43" s="116" t="s">
        <v>134</v>
      </c>
      <c r="X43" s="72"/>
      <c r="Y43" s="117"/>
      <c r="Z43" s="941"/>
      <c r="AA43" s="941"/>
      <c r="AB43" s="941"/>
      <c r="AC43" s="941"/>
      <c r="AD43" s="941"/>
      <c r="AE43" s="941"/>
      <c r="AF43" s="941"/>
      <c r="AG43" s="941"/>
      <c r="AH43" s="941"/>
      <c r="AI43" s="941"/>
      <c r="AJ43" s="941"/>
      <c r="AK43" s="941"/>
      <c r="AL43" s="941"/>
      <c r="AM43" s="941"/>
      <c r="AN43" s="941"/>
      <c r="AO43" s="72"/>
      <c r="AP43" s="118"/>
      <c r="AQ43" s="100"/>
      <c r="AR43" s="100"/>
      <c r="AS43" s="119"/>
    </row>
    <row r="44" spans="1:58" ht="17.25" customHeight="1" x14ac:dyDescent="0.25">
      <c r="A44" s="963" t="s">
        <v>135</v>
      </c>
      <c r="B44" s="897"/>
      <c r="C44" s="897"/>
      <c r="D44" s="897"/>
      <c r="E44" s="898"/>
      <c r="F44" s="864" t="s">
        <v>133</v>
      </c>
      <c r="G44" s="865"/>
      <c r="H44" s="865"/>
      <c r="I44" s="865"/>
      <c r="J44" s="865"/>
      <c r="K44" s="865"/>
      <c r="L44" s="865"/>
      <c r="M44" s="865"/>
      <c r="N44" s="865"/>
      <c r="O44" s="865"/>
      <c r="P44" s="865"/>
      <c r="Q44" s="865"/>
      <c r="R44" s="938"/>
      <c r="S44" s="938"/>
      <c r="T44" s="938"/>
      <c r="U44" s="116" t="s">
        <v>134</v>
      </c>
      <c r="X44" s="72"/>
      <c r="Y44" s="117"/>
      <c r="Z44" s="941"/>
      <c r="AA44" s="941"/>
      <c r="AB44" s="941"/>
      <c r="AC44" s="941"/>
      <c r="AD44" s="941"/>
      <c r="AE44" s="941"/>
      <c r="AF44" s="941"/>
      <c r="AG44" s="941"/>
      <c r="AH44" s="941"/>
      <c r="AI44" s="941"/>
      <c r="AJ44" s="941"/>
      <c r="AK44" s="941"/>
      <c r="AL44" s="941"/>
      <c r="AM44" s="941"/>
      <c r="AN44" s="941"/>
      <c r="AO44" s="72"/>
      <c r="AP44" s="120"/>
      <c r="AQ44" s="121"/>
      <c r="AR44" s="121"/>
      <c r="AS44" s="122"/>
    </row>
    <row r="45" spans="1:58" ht="17.25" customHeight="1" x14ac:dyDescent="0.25">
      <c r="A45" s="964"/>
      <c r="B45" s="900"/>
      <c r="C45" s="900"/>
      <c r="D45" s="900"/>
      <c r="E45" s="901"/>
      <c r="F45" s="64"/>
      <c r="G45" s="65" t="s">
        <v>136</v>
      </c>
      <c r="H45" s="65"/>
      <c r="I45" s="65"/>
      <c r="J45" s="65"/>
      <c r="K45" s="65"/>
      <c r="L45" s="65"/>
      <c r="M45" s="65"/>
      <c r="N45" s="65" t="s">
        <v>137</v>
      </c>
      <c r="O45" s="65"/>
      <c r="P45" s="65"/>
      <c r="Q45" s="65"/>
      <c r="R45" s="65"/>
      <c r="S45" s="65"/>
      <c r="T45" s="65"/>
      <c r="U45" s="69"/>
      <c r="X45" s="72"/>
      <c r="Y45" s="123"/>
      <c r="Z45" s="941"/>
      <c r="AA45" s="941"/>
      <c r="AB45" s="941"/>
      <c r="AC45" s="941"/>
      <c r="AD45" s="941"/>
      <c r="AE45" s="941"/>
      <c r="AF45" s="941"/>
      <c r="AG45" s="941"/>
      <c r="AH45" s="941"/>
      <c r="AI45" s="941"/>
      <c r="AJ45" s="941"/>
      <c r="AK45" s="941"/>
      <c r="AL45" s="941"/>
      <c r="AM45" s="941"/>
      <c r="AN45" s="941"/>
      <c r="AO45" s="72"/>
      <c r="AP45" s="80"/>
      <c r="AQ45" s="124"/>
      <c r="AR45" s="124"/>
      <c r="AS45" s="125"/>
    </row>
    <row r="46" spans="1:58" ht="17.25" customHeight="1" x14ac:dyDescent="0.25">
      <c r="A46" s="965"/>
      <c r="B46" s="966"/>
      <c r="C46" s="966"/>
      <c r="D46" s="966"/>
      <c r="E46" s="967"/>
      <c r="F46" s="71"/>
      <c r="G46" s="72" t="s">
        <v>97</v>
      </c>
      <c r="H46" s="72"/>
      <c r="I46" s="72"/>
      <c r="J46" s="890"/>
      <c r="K46" s="890"/>
      <c r="L46" s="890"/>
      <c r="M46" s="890"/>
      <c r="N46" s="890"/>
      <c r="O46" s="890"/>
      <c r="P46" s="890"/>
      <c r="Q46" s="890"/>
      <c r="R46" s="890"/>
      <c r="S46" s="890"/>
      <c r="T46" s="890"/>
      <c r="U46" s="73" t="s">
        <v>120</v>
      </c>
      <c r="X46" s="72"/>
      <c r="Y46" s="123"/>
      <c r="Z46" s="933"/>
      <c r="AA46" s="933"/>
      <c r="AB46" s="933"/>
      <c r="AC46" s="933"/>
      <c r="AD46" s="933"/>
      <c r="AE46" s="933"/>
      <c r="AF46" s="933"/>
      <c r="AG46" s="933"/>
      <c r="AH46" s="933"/>
      <c r="AI46" s="933"/>
      <c r="AJ46" s="933"/>
      <c r="AK46" s="933"/>
      <c r="AL46" s="933"/>
      <c r="AM46" s="933"/>
      <c r="AN46" s="933"/>
      <c r="AO46" s="126"/>
      <c r="AP46" s="80"/>
      <c r="AQ46" s="124"/>
      <c r="AR46" s="124"/>
      <c r="AS46" s="125"/>
    </row>
    <row r="47" spans="1:58" ht="17.25" customHeight="1" thickBot="1" x14ac:dyDescent="0.3">
      <c r="A47" s="855" t="s">
        <v>138</v>
      </c>
      <c r="B47" s="856"/>
      <c r="C47" s="856"/>
      <c r="D47" s="856"/>
      <c r="E47" s="856"/>
      <c r="F47" s="856"/>
      <c r="G47" s="856"/>
      <c r="H47" s="857"/>
      <c r="I47" s="127"/>
      <c r="J47" s="937"/>
      <c r="K47" s="937"/>
      <c r="L47" s="937"/>
      <c r="M47" s="937"/>
      <c r="N47" s="937"/>
      <c r="O47" s="937"/>
      <c r="P47" s="937"/>
      <c r="Q47" s="937"/>
      <c r="R47" s="937"/>
      <c r="S47" s="937"/>
      <c r="T47" s="937"/>
      <c r="U47" s="54"/>
      <c r="X47" s="72"/>
      <c r="Y47" s="128"/>
      <c r="Z47" s="940"/>
      <c r="AA47" s="940"/>
      <c r="AB47" s="940"/>
      <c r="AC47" s="940"/>
      <c r="AD47" s="940"/>
      <c r="AE47" s="940"/>
      <c r="AF47" s="940"/>
      <c r="AG47" s="940"/>
      <c r="AH47" s="940"/>
      <c r="AI47" s="940"/>
      <c r="AJ47" s="940"/>
      <c r="AK47" s="940"/>
      <c r="AL47" s="940"/>
      <c r="AM47" s="940"/>
      <c r="AN47" s="940"/>
      <c r="AO47" s="102"/>
      <c r="AP47" s="129"/>
      <c r="AQ47" s="130"/>
      <c r="AR47" s="130"/>
      <c r="AS47" s="131"/>
    </row>
    <row r="48" spans="1:58" ht="17.25" customHeight="1" thickBot="1" x14ac:dyDescent="0.3">
      <c r="A48" s="132" t="s">
        <v>139</v>
      </c>
      <c r="B48" s="65"/>
      <c r="C48" s="65"/>
      <c r="D48" s="65"/>
      <c r="E48" s="65"/>
      <c r="F48" s="65"/>
      <c r="G48" s="65"/>
      <c r="H48" s="65"/>
      <c r="I48" s="65"/>
      <c r="J48" s="65"/>
      <c r="K48" s="65"/>
      <c r="L48" s="65"/>
      <c r="M48" s="65"/>
      <c r="N48" s="65"/>
      <c r="O48" s="65"/>
      <c r="P48" s="65"/>
      <c r="Q48" s="65"/>
      <c r="R48" s="65"/>
      <c r="S48" s="65"/>
      <c r="T48" s="65"/>
      <c r="U48" s="69"/>
      <c r="X48" s="72"/>
    </row>
    <row r="49" spans="1:55" ht="17.25" customHeight="1" thickBot="1" x14ac:dyDescent="0.3">
      <c r="A49" s="123"/>
      <c r="B49" s="934"/>
      <c r="C49" s="934"/>
      <c r="D49" s="934"/>
      <c r="E49" s="934"/>
      <c r="F49" s="934"/>
      <c r="G49" s="934"/>
      <c r="H49" s="934"/>
      <c r="I49" s="934"/>
      <c r="J49" s="934"/>
      <c r="K49" s="934"/>
      <c r="L49" s="934"/>
      <c r="M49" s="934"/>
      <c r="N49" s="934"/>
      <c r="O49" s="934"/>
      <c r="P49" s="934"/>
      <c r="Q49" s="934"/>
      <c r="R49" s="934"/>
      <c r="S49" s="934"/>
      <c r="T49" s="934"/>
      <c r="U49" s="73"/>
      <c r="X49" s="72"/>
      <c r="Y49" s="861" t="s">
        <v>140</v>
      </c>
      <c r="Z49" s="862"/>
      <c r="AA49" s="862"/>
      <c r="AB49" s="862"/>
      <c r="AC49" s="862"/>
      <c r="AD49" s="862"/>
      <c r="AE49" s="862"/>
      <c r="AF49" s="862"/>
      <c r="AG49" s="862"/>
      <c r="AH49" s="862"/>
      <c r="AI49" s="862"/>
      <c r="AJ49" s="862"/>
      <c r="AK49" s="862"/>
      <c r="AL49" s="862"/>
      <c r="AM49" s="862"/>
      <c r="AN49" s="862"/>
      <c r="AO49" s="862"/>
      <c r="AP49" s="931"/>
      <c r="AQ49" s="931"/>
      <c r="AR49" s="931"/>
      <c r="AS49" s="932"/>
    </row>
    <row r="50" spans="1:55" ht="17.25" customHeight="1" x14ac:dyDescent="0.25">
      <c r="A50" s="123"/>
      <c r="B50" s="933"/>
      <c r="C50" s="933"/>
      <c r="D50" s="933"/>
      <c r="E50" s="933"/>
      <c r="F50" s="933"/>
      <c r="G50" s="933"/>
      <c r="H50" s="933"/>
      <c r="I50" s="933"/>
      <c r="J50" s="933"/>
      <c r="K50" s="933"/>
      <c r="L50" s="933"/>
      <c r="M50" s="933"/>
      <c r="N50" s="933"/>
      <c r="O50" s="933"/>
      <c r="P50" s="933"/>
      <c r="Q50" s="933"/>
      <c r="R50" s="933"/>
      <c r="S50" s="933"/>
      <c r="T50" s="933"/>
      <c r="U50" s="73"/>
      <c r="X50" s="72"/>
      <c r="Y50" s="115" t="s">
        <v>141</v>
      </c>
      <c r="Z50" s="72"/>
      <c r="AA50" s="72"/>
      <c r="AB50" s="72"/>
      <c r="AC50" s="72"/>
      <c r="AD50" s="72"/>
      <c r="AE50" s="72"/>
      <c r="AF50" s="72"/>
      <c r="AG50" s="72"/>
      <c r="AH50" s="72"/>
      <c r="AI50" s="961"/>
      <c r="AJ50" s="961"/>
      <c r="AK50" s="961"/>
      <c r="AL50" s="961"/>
      <c r="AM50" s="961"/>
      <c r="AN50" s="72" t="s">
        <v>111</v>
      </c>
      <c r="AO50" s="72"/>
      <c r="AP50" s="870" t="s">
        <v>130</v>
      </c>
      <c r="AQ50" s="871"/>
      <c r="AR50" s="871"/>
      <c r="AS50" s="872"/>
    </row>
    <row r="51" spans="1:55" ht="17.25" customHeight="1" x14ac:dyDescent="0.25">
      <c r="A51" s="123"/>
      <c r="B51" s="933"/>
      <c r="C51" s="933"/>
      <c r="D51" s="933"/>
      <c r="E51" s="933"/>
      <c r="F51" s="933"/>
      <c r="G51" s="933"/>
      <c r="H51" s="933"/>
      <c r="I51" s="933"/>
      <c r="J51" s="933"/>
      <c r="K51" s="933"/>
      <c r="L51" s="933"/>
      <c r="M51" s="933"/>
      <c r="N51" s="933"/>
      <c r="O51" s="933"/>
      <c r="P51" s="933"/>
      <c r="Q51" s="933"/>
      <c r="R51" s="933"/>
      <c r="S51" s="933"/>
      <c r="T51" s="933"/>
      <c r="U51" s="73"/>
      <c r="X51" s="72"/>
      <c r="Y51" s="123"/>
      <c r="Z51" s="934"/>
      <c r="AA51" s="934"/>
      <c r="AB51" s="934"/>
      <c r="AC51" s="934"/>
      <c r="AD51" s="934"/>
      <c r="AE51" s="934"/>
      <c r="AF51" s="934"/>
      <c r="AG51" s="934"/>
      <c r="AH51" s="934"/>
      <c r="AI51" s="934"/>
      <c r="AJ51" s="934"/>
      <c r="AK51" s="934"/>
      <c r="AL51" s="934"/>
      <c r="AM51" s="934"/>
      <c r="AN51" s="934"/>
      <c r="AO51" s="72"/>
      <c r="AP51" s="928" t="s">
        <v>698</v>
      </c>
      <c r="AQ51" s="929"/>
      <c r="AR51" s="929"/>
      <c r="AS51" s="930"/>
    </row>
    <row r="52" spans="1:55" ht="17.25" customHeight="1" x14ac:dyDescent="0.25">
      <c r="A52" s="123"/>
      <c r="B52" s="933"/>
      <c r="C52" s="933"/>
      <c r="D52" s="933"/>
      <c r="E52" s="933"/>
      <c r="F52" s="933"/>
      <c r="G52" s="933"/>
      <c r="H52" s="933"/>
      <c r="I52" s="933"/>
      <c r="J52" s="933"/>
      <c r="K52" s="933"/>
      <c r="L52" s="933"/>
      <c r="M52" s="933"/>
      <c r="N52" s="933"/>
      <c r="O52" s="933"/>
      <c r="P52" s="933"/>
      <c r="Q52" s="933"/>
      <c r="R52" s="933"/>
      <c r="S52" s="933"/>
      <c r="T52" s="933"/>
      <c r="U52" s="73"/>
      <c r="X52" s="72"/>
      <c r="Y52" s="123"/>
      <c r="Z52" s="933"/>
      <c r="AA52" s="933"/>
      <c r="AB52" s="933"/>
      <c r="AC52" s="933"/>
      <c r="AD52" s="933"/>
      <c r="AE52" s="933"/>
      <c r="AF52" s="933"/>
      <c r="AG52" s="933"/>
      <c r="AH52" s="933"/>
      <c r="AI52" s="933"/>
      <c r="AJ52" s="933"/>
      <c r="AK52" s="933"/>
      <c r="AL52" s="933"/>
      <c r="AM52" s="933"/>
      <c r="AN52" s="933"/>
      <c r="AO52" s="72"/>
      <c r="AP52" s="118"/>
      <c r="AQ52" s="100"/>
      <c r="AR52" s="100"/>
      <c r="AS52" s="119"/>
    </row>
    <row r="53" spans="1:55" ht="17.25" customHeight="1" x14ac:dyDescent="0.25">
      <c r="A53" s="123"/>
      <c r="B53" s="933"/>
      <c r="C53" s="933"/>
      <c r="D53" s="933"/>
      <c r="E53" s="933"/>
      <c r="F53" s="933"/>
      <c r="G53" s="933"/>
      <c r="H53" s="933"/>
      <c r="I53" s="933"/>
      <c r="J53" s="933"/>
      <c r="K53" s="933"/>
      <c r="L53" s="933"/>
      <c r="M53" s="933"/>
      <c r="N53" s="933"/>
      <c r="O53" s="933"/>
      <c r="P53" s="933"/>
      <c r="Q53" s="933"/>
      <c r="R53" s="933"/>
      <c r="S53" s="933"/>
      <c r="T53" s="933"/>
      <c r="U53" s="73"/>
      <c r="X53" s="72"/>
      <c r="Y53" s="123"/>
      <c r="Z53" s="933"/>
      <c r="AA53" s="933"/>
      <c r="AB53" s="933"/>
      <c r="AC53" s="933"/>
      <c r="AD53" s="933"/>
      <c r="AE53" s="933"/>
      <c r="AF53" s="933"/>
      <c r="AG53" s="933"/>
      <c r="AH53" s="933"/>
      <c r="AI53" s="933"/>
      <c r="AJ53" s="933"/>
      <c r="AK53" s="933"/>
      <c r="AL53" s="933"/>
      <c r="AM53" s="933"/>
      <c r="AN53" s="933"/>
      <c r="AO53" s="72"/>
      <c r="AP53" s="120"/>
      <c r="AQ53" s="121"/>
      <c r="AR53" s="121"/>
      <c r="AS53" s="122"/>
    </row>
    <row r="54" spans="1:55" ht="17.25" customHeight="1" thickBot="1" x14ac:dyDescent="0.3">
      <c r="A54" s="128"/>
      <c r="B54" s="940"/>
      <c r="C54" s="940"/>
      <c r="D54" s="940"/>
      <c r="E54" s="940"/>
      <c r="F54" s="940"/>
      <c r="G54" s="940"/>
      <c r="H54" s="940"/>
      <c r="I54" s="940"/>
      <c r="J54" s="940"/>
      <c r="K54" s="940"/>
      <c r="L54" s="940"/>
      <c r="M54" s="940"/>
      <c r="N54" s="940"/>
      <c r="O54" s="940"/>
      <c r="P54" s="940"/>
      <c r="Q54" s="940"/>
      <c r="R54" s="940"/>
      <c r="S54" s="940"/>
      <c r="T54" s="940"/>
      <c r="U54" s="109"/>
      <c r="Y54" s="123"/>
      <c r="Z54" s="933"/>
      <c r="AA54" s="933"/>
      <c r="AB54" s="933"/>
      <c r="AC54" s="933"/>
      <c r="AD54" s="933"/>
      <c r="AE54" s="933"/>
      <c r="AF54" s="933"/>
      <c r="AG54" s="933"/>
      <c r="AH54" s="933"/>
      <c r="AI54" s="933"/>
      <c r="AJ54" s="933"/>
      <c r="AK54" s="933"/>
      <c r="AL54" s="933"/>
      <c r="AM54" s="933"/>
      <c r="AN54" s="933"/>
      <c r="AO54" s="72"/>
      <c r="AP54" s="80"/>
      <c r="AQ54" s="124"/>
      <c r="AR54" s="124"/>
      <c r="AS54" s="125"/>
    </row>
    <row r="55" spans="1:55" ht="17.25" customHeight="1" thickBot="1" x14ac:dyDescent="0.3">
      <c r="Y55" s="123"/>
      <c r="Z55" s="933"/>
      <c r="AA55" s="933"/>
      <c r="AB55" s="933"/>
      <c r="AC55" s="933"/>
      <c r="AD55" s="933"/>
      <c r="AE55" s="933"/>
      <c r="AF55" s="933"/>
      <c r="AG55" s="933"/>
      <c r="AH55" s="933"/>
      <c r="AI55" s="933"/>
      <c r="AJ55" s="933"/>
      <c r="AK55" s="933"/>
      <c r="AL55" s="933"/>
      <c r="AM55" s="933"/>
      <c r="AN55" s="933"/>
      <c r="AO55" s="72"/>
      <c r="AP55" s="80"/>
      <c r="AQ55" s="124"/>
      <c r="AR55" s="124"/>
      <c r="AS55" s="125"/>
    </row>
    <row r="56" spans="1:55" ht="17.25" customHeight="1" thickBot="1" x14ac:dyDescent="0.3">
      <c r="A56" s="861" t="s">
        <v>142</v>
      </c>
      <c r="B56" s="862"/>
      <c r="C56" s="862"/>
      <c r="D56" s="862"/>
      <c r="E56" s="862"/>
      <c r="F56" s="862"/>
      <c r="G56" s="862"/>
      <c r="H56" s="862"/>
      <c r="I56" s="862"/>
      <c r="J56" s="862"/>
      <c r="K56" s="862"/>
      <c r="L56" s="862"/>
      <c r="M56" s="862"/>
      <c r="N56" s="862"/>
      <c r="O56" s="862"/>
      <c r="P56" s="862"/>
      <c r="Q56" s="862"/>
      <c r="R56" s="862"/>
      <c r="S56" s="862"/>
      <c r="T56" s="862"/>
      <c r="U56" s="863"/>
      <c r="Y56" s="128"/>
      <c r="Z56" s="935"/>
      <c r="AA56" s="935"/>
      <c r="AB56" s="935"/>
      <c r="AC56" s="935"/>
      <c r="AD56" s="935"/>
      <c r="AE56" s="935"/>
      <c r="AF56" s="935"/>
      <c r="AG56" s="935"/>
      <c r="AH56" s="935"/>
      <c r="AI56" s="935"/>
      <c r="AJ56" s="935"/>
      <c r="AK56" s="935"/>
      <c r="AL56" s="935"/>
      <c r="AM56" s="935"/>
      <c r="AN56" s="935"/>
      <c r="AO56" s="102"/>
      <c r="AP56" s="129"/>
      <c r="AQ56" s="130"/>
      <c r="AR56" s="130"/>
      <c r="AS56" s="131"/>
    </row>
    <row r="57" spans="1:55" ht="17.25" customHeight="1" thickBot="1" x14ac:dyDescent="0.3">
      <c r="A57" s="115" t="s">
        <v>128</v>
      </c>
      <c r="B57" s="48"/>
      <c r="C57" s="48"/>
      <c r="D57" s="48"/>
      <c r="E57" s="48"/>
      <c r="F57" s="48"/>
      <c r="G57" s="48"/>
      <c r="H57" s="48"/>
      <c r="I57" s="48"/>
      <c r="J57" s="48"/>
      <c r="K57" s="48"/>
      <c r="L57" s="961"/>
      <c r="M57" s="961"/>
      <c r="N57" s="961"/>
      <c r="O57" s="961"/>
      <c r="P57" s="48" t="s">
        <v>129</v>
      </c>
      <c r="Q57" s="48"/>
      <c r="R57" s="870" t="s">
        <v>130</v>
      </c>
      <c r="S57" s="871"/>
      <c r="T57" s="871"/>
      <c r="U57" s="872"/>
    </row>
    <row r="58" spans="1:55" ht="17.25" customHeight="1" thickBot="1" x14ac:dyDescent="0.3">
      <c r="A58" s="117"/>
      <c r="B58" s="942"/>
      <c r="C58" s="942"/>
      <c r="D58" s="942"/>
      <c r="E58" s="942"/>
      <c r="F58" s="942"/>
      <c r="G58" s="942"/>
      <c r="H58" s="942"/>
      <c r="I58" s="942"/>
      <c r="J58" s="942"/>
      <c r="K58" s="942"/>
      <c r="L58" s="942"/>
      <c r="M58" s="942"/>
      <c r="N58" s="942"/>
      <c r="O58" s="942"/>
      <c r="P58" s="942"/>
      <c r="Q58" s="72"/>
      <c r="R58" s="928" t="s">
        <v>698</v>
      </c>
      <c r="S58" s="929"/>
      <c r="T58" s="929"/>
      <c r="U58" s="930"/>
      <c r="Y58" s="861" t="s">
        <v>143</v>
      </c>
      <c r="Z58" s="862"/>
      <c r="AA58" s="862"/>
      <c r="AB58" s="862"/>
      <c r="AC58" s="862"/>
      <c r="AD58" s="862"/>
      <c r="AE58" s="862"/>
      <c r="AF58" s="862"/>
      <c r="AG58" s="862"/>
      <c r="AH58" s="862"/>
      <c r="AI58" s="862"/>
      <c r="AJ58" s="862"/>
      <c r="AK58" s="862"/>
      <c r="AL58" s="862"/>
      <c r="AM58" s="862"/>
      <c r="AN58" s="862"/>
      <c r="AO58" s="862"/>
      <c r="AP58" s="862"/>
      <c r="AQ58" s="862"/>
      <c r="AR58" s="862"/>
      <c r="AS58" s="863"/>
    </row>
    <row r="59" spans="1:55" ht="17.25" customHeight="1" x14ac:dyDescent="0.25">
      <c r="A59" s="117"/>
      <c r="B59" s="941"/>
      <c r="C59" s="941"/>
      <c r="D59" s="941"/>
      <c r="E59" s="941"/>
      <c r="F59" s="941"/>
      <c r="G59" s="941"/>
      <c r="H59" s="941"/>
      <c r="I59" s="941"/>
      <c r="J59" s="941"/>
      <c r="K59" s="941"/>
      <c r="L59" s="941"/>
      <c r="M59" s="941"/>
      <c r="N59" s="941"/>
      <c r="O59" s="941"/>
      <c r="P59" s="941"/>
      <c r="Q59" s="72"/>
      <c r="R59" s="118"/>
      <c r="S59" s="100"/>
      <c r="T59" s="100"/>
      <c r="U59" s="119"/>
      <c r="V59" s="72"/>
      <c r="W59" s="72"/>
      <c r="X59" s="72"/>
      <c r="Y59" s="115" t="s">
        <v>141</v>
      </c>
      <c r="Z59" s="72"/>
      <c r="AA59" s="72"/>
      <c r="AB59" s="72"/>
      <c r="AC59" s="72"/>
      <c r="AD59" s="72"/>
      <c r="AE59" s="72"/>
      <c r="AF59" s="72"/>
      <c r="AG59" s="72"/>
      <c r="AH59" s="72"/>
      <c r="AI59" s="961"/>
      <c r="AJ59" s="961"/>
      <c r="AK59" s="961"/>
      <c r="AL59" s="961"/>
      <c r="AM59" s="961"/>
      <c r="AN59" s="72" t="s">
        <v>111</v>
      </c>
      <c r="AO59" s="72"/>
      <c r="AP59" s="870" t="s">
        <v>130</v>
      </c>
      <c r="AQ59" s="871"/>
      <c r="AR59" s="871"/>
      <c r="AS59" s="872"/>
    </row>
    <row r="60" spans="1:55" ht="17.25" customHeight="1" x14ac:dyDescent="0.25">
      <c r="A60" s="117"/>
      <c r="B60" s="941"/>
      <c r="C60" s="941"/>
      <c r="D60" s="941"/>
      <c r="E60" s="941"/>
      <c r="F60" s="941"/>
      <c r="G60" s="941"/>
      <c r="H60" s="941"/>
      <c r="I60" s="941"/>
      <c r="J60" s="941"/>
      <c r="K60" s="941"/>
      <c r="L60" s="941"/>
      <c r="M60" s="941"/>
      <c r="N60" s="941"/>
      <c r="O60" s="941"/>
      <c r="P60" s="941"/>
      <c r="Q60" s="72"/>
      <c r="R60" s="120"/>
      <c r="S60" s="121"/>
      <c r="T60" s="121"/>
      <c r="U60" s="122"/>
      <c r="V60" s="72"/>
      <c r="W60" s="72"/>
      <c r="X60" s="72"/>
      <c r="Y60" s="123"/>
      <c r="Z60" s="934"/>
      <c r="AA60" s="934"/>
      <c r="AB60" s="934"/>
      <c r="AC60" s="934"/>
      <c r="AD60" s="934"/>
      <c r="AE60" s="934"/>
      <c r="AF60" s="934"/>
      <c r="AG60" s="934"/>
      <c r="AH60" s="934"/>
      <c r="AI60" s="934"/>
      <c r="AJ60" s="934"/>
      <c r="AK60" s="934"/>
      <c r="AL60" s="934"/>
      <c r="AM60" s="934"/>
      <c r="AN60" s="934"/>
      <c r="AO60" s="72"/>
      <c r="AP60" s="928" t="s">
        <v>698</v>
      </c>
      <c r="AQ60" s="929"/>
      <c r="AR60" s="929"/>
      <c r="AS60" s="930"/>
    </row>
    <row r="61" spans="1:55" ht="17.25" customHeight="1" x14ac:dyDescent="0.25">
      <c r="A61" s="117"/>
      <c r="B61" s="941"/>
      <c r="C61" s="941"/>
      <c r="D61" s="941"/>
      <c r="E61" s="941"/>
      <c r="F61" s="941"/>
      <c r="G61" s="941"/>
      <c r="H61" s="941"/>
      <c r="I61" s="941"/>
      <c r="J61" s="941"/>
      <c r="K61" s="941"/>
      <c r="L61" s="941"/>
      <c r="M61" s="941"/>
      <c r="N61" s="941"/>
      <c r="O61" s="941"/>
      <c r="P61" s="941"/>
      <c r="Q61" s="72"/>
      <c r="R61" s="120"/>
      <c r="S61" s="121"/>
      <c r="T61" s="121"/>
      <c r="U61" s="122"/>
      <c r="Y61" s="123"/>
      <c r="Z61" s="933"/>
      <c r="AA61" s="933"/>
      <c r="AB61" s="933"/>
      <c r="AC61" s="933"/>
      <c r="AD61" s="933"/>
      <c r="AE61" s="933"/>
      <c r="AF61" s="933"/>
      <c r="AG61" s="933"/>
      <c r="AH61" s="933"/>
      <c r="AI61" s="933"/>
      <c r="AJ61" s="933"/>
      <c r="AK61" s="933"/>
      <c r="AL61" s="933"/>
      <c r="AM61" s="933"/>
      <c r="AN61" s="933"/>
      <c r="AO61" s="72"/>
      <c r="AP61" s="118"/>
      <c r="AQ61" s="100"/>
      <c r="AR61" s="100"/>
      <c r="AS61" s="119"/>
    </row>
    <row r="62" spans="1:55" ht="17.25" customHeight="1" x14ac:dyDescent="0.25">
      <c r="A62" s="117"/>
      <c r="B62" s="941"/>
      <c r="C62" s="941"/>
      <c r="D62" s="941"/>
      <c r="E62" s="941"/>
      <c r="F62" s="941"/>
      <c r="G62" s="941"/>
      <c r="H62" s="941"/>
      <c r="I62" s="941"/>
      <c r="J62" s="941"/>
      <c r="K62" s="941"/>
      <c r="L62" s="941"/>
      <c r="M62" s="941"/>
      <c r="N62" s="941"/>
      <c r="O62" s="941"/>
      <c r="P62" s="941"/>
      <c r="Q62" s="72"/>
      <c r="R62" s="120"/>
      <c r="S62" s="121"/>
      <c r="T62" s="121"/>
      <c r="U62" s="122"/>
      <c r="Y62" s="123"/>
      <c r="Z62" s="933"/>
      <c r="AA62" s="933"/>
      <c r="AB62" s="933"/>
      <c r="AC62" s="933"/>
      <c r="AD62" s="933"/>
      <c r="AE62" s="933"/>
      <c r="AF62" s="933"/>
      <c r="AG62" s="933"/>
      <c r="AH62" s="933"/>
      <c r="AI62" s="933"/>
      <c r="AJ62" s="933"/>
      <c r="AK62" s="933"/>
      <c r="AL62" s="933"/>
      <c r="AM62" s="933"/>
      <c r="AN62" s="933"/>
      <c r="AO62" s="72"/>
      <c r="AP62" s="120"/>
      <c r="AQ62" s="121"/>
      <c r="AR62" s="121"/>
      <c r="AS62" s="122"/>
    </row>
    <row r="63" spans="1:55" ht="17.25" customHeight="1" x14ac:dyDescent="0.25">
      <c r="A63" s="123"/>
      <c r="B63" s="933"/>
      <c r="C63" s="933"/>
      <c r="D63" s="933"/>
      <c r="E63" s="933"/>
      <c r="F63" s="933"/>
      <c r="G63" s="933"/>
      <c r="H63" s="933"/>
      <c r="I63" s="933"/>
      <c r="J63" s="933"/>
      <c r="K63" s="933"/>
      <c r="L63" s="933"/>
      <c r="M63" s="933"/>
      <c r="N63" s="933"/>
      <c r="O63" s="933"/>
      <c r="P63" s="933"/>
      <c r="Q63" s="126"/>
      <c r="R63" s="80"/>
      <c r="S63" s="124"/>
      <c r="T63" s="124"/>
      <c r="U63" s="125"/>
      <c r="Y63" s="123"/>
      <c r="Z63" s="933"/>
      <c r="AA63" s="933"/>
      <c r="AB63" s="933"/>
      <c r="AC63" s="933"/>
      <c r="AD63" s="933"/>
      <c r="AE63" s="933"/>
      <c r="AF63" s="933"/>
      <c r="AG63" s="933"/>
      <c r="AH63" s="933"/>
      <c r="AI63" s="933"/>
      <c r="AJ63" s="933"/>
      <c r="AK63" s="933"/>
      <c r="AL63" s="933"/>
      <c r="AM63" s="933"/>
      <c r="AN63" s="933"/>
      <c r="AO63" s="72"/>
      <c r="AP63" s="80"/>
      <c r="AQ63" s="124"/>
      <c r="AR63" s="124"/>
      <c r="AS63" s="125"/>
    </row>
    <row r="64" spans="1:55" ht="17.25" customHeight="1" thickBot="1" x14ac:dyDescent="0.3">
      <c r="A64" s="128"/>
      <c r="B64" s="940"/>
      <c r="C64" s="940"/>
      <c r="D64" s="940"/>
      <c r="E64" s="940"/>
      <c r="F64" s="940"/>
      <c r="G64" s="940"/>
      <c r="H64" s="940"/>
      <c r="I64" s="940"/>
      <c r="J64" s="940"/>
      <c r="K64" s="940"/>
      <c r="L64" s="940"/>
      <c r="M64" s="940"/>
      <c r="N64" s="940"/>
      <c r="O64" s="940"/>
      <c r="P64" s="940"/>
      <c r="Q64" s="102"/>
      <c r="R64" s="129"/>
      <c r="S64" s="130"/>
      <c r="T64" s="130"/>
      <c r="U64" s="131"/>
      <c r="Y64" s="128"/>
      <c r="Z64" s="940"/>
      <c r="AA64" s="940"/>
      <c r="AB64" s="940"/>
      <c r="AC64" s="940"/>
      <c r="AD64" s="940"/>
      <c r="AE64" s="940"/>
      <c r="AF64" s="940"/>
      <c r="AG64" s="940"/>
      <c r="AH64" s="940"/>
      <c r="AI64" s="940"/>
      <c r="AJ64" s="940"/>
      <c r="AK64" s="940"/>
      <c r="AL64" s="940"/>
      <c r="AM64" s="940"/>
      <c r="AN64" s="940"/>
      <c r="AO64" s="102"/>
      <c r="AP64" s="129"/>
      <c r="AQ64" s="130"/>
      <c r="AR64" s="130"/>
      <c r="AS64" s="131"/>
      <c r="BC64" s="72"/>
    </row>
    <row r="65" spans="55:55" ht="17.25" customHeight="1" x14ac:dyDescent="0.25">
      <c r="BC65" s="72"/>
    </row>
    <row r="66" spans="55:55" ht="17.25" customHeight="1" x14ac:dyDescent="0.25">
      <c r="BC66" s="72"/>
    </row>
    <row r="67" spans="55:55" ht="17.25" customHeight="1" x14ac:dyDescent="0.25">
      <c r="BC67" s="72"/>
    </row>
    <row r="68" spans="55:55" ht="17.25" customHeight="1" x14ac:dyDescent="0.25"/>
    <row r="69" spans="55:55" ht="17.25" customHeight="1" x14ac:dyDescent="0.25"/>
    <row r="70" spans="55:55" ht="17.25" customHeight="1" x14ac:dyDescent="0.25"/>
    <row r="71" spans="55:55" ht="17.25" customHeight="1" x14ac:dyDescent="0.25"/>
    <row r="72" spans="55:55" ht="17.25" customHeight="1" x14ac:dyDescent="0.25"/>
    <row r="73" spans="55:55" ht="17.25" customHeight="1" x14ac:dyDescent="0.25"/>
    <row r="74" spans="55:55" ht="17.25" customHeight="1" x14ac:dyDescent="0.25"/>
    <row r="75" spans="55:55" ht="17.25" customHeight="1" x14ac:dyDescent="0.25"/>
    <row r="76" spans="55:55" ht="17.25" customHeight="1" x14ac:dyDescent="0.25"/>
    <row r="77" spans="55:55" ht="17.25" customHeight="1" x14ac:dyDescent="0.25"/>
    <row r="78" spans="55:55" ht="17.25" customHeight="1" x14ac:dyDescent="0.25"/>
    <row r="79" spans="55:55" ht="17.25" customHeight="1" x14ac:dyDescent="0.25"/>
    <row r="80" spans="55:55" ht="17.25" customHeight="1" x14ac:dyDescent="0.25"/>
    <row r="81" ht="17.25" customHeight="1" x14ac:dyDescent="0.25"/>
    <row r="82" ht="17.25" customHeight="1" x14ac:dyDescent="0.25"/>
    <row r="83" ht="17.25" customHeight="1" x14ac:dyDescent="0.25"/>
    <row r="84" ht="17.25" customHeight="1" x14ac:dyDescent="0.25"/>
    <row r="85" ht="17.25" customHeight="1" x14ac:dyDescent="0.25"/>
    <row r="86" ht="17.25" customHeight="1" x14ac:dyDescent="0.25"/>
    <row r="87" ht="17.25" customHeight="1" x14ac:dyDescent="0.25"/>
    <row r="88" ht="17.25" customHeight="1" x14ac:dyDescent="0.25"/>
    <row r="89" ht="17.25" customHeight="1" x14ac:dyDescent="0.25"/>
    <row r="90" ht="17.25" customHeight="1" x14ac:dyDescent="0.25"/>
    <row r="91" ht="17.25" customHeight="1" x14ac:dyDescent="0.25"/>
    <row r="92" ht="17.25" customHeight="1" x14ac:dyDescent="0.25"/>
    <row r="93" ht="17.25" customHeight="1" x14ac:dyDescent="0.25"/>
    <row r="94" ht="17.25" customHeight="1" x14ac:dyDescent="0.25"/>
    <row r="95" ht="17.25" customHeight="1" x14ac:dyDescent="0.25"/>
    <row r="96" ht="17.25" customHeight="1" x14ac:dyDescent="0.25"/>
    <row r="97" ht="17.25" customHeight="1" x14ac:dyDescent="0.25"/>
    <row r="98" ht="17.25" customHeight="1" x14ac:dyDescent="0.25"/>
    <row r="99" ht="17.25" customHeight="1" x14ac:dyDescent="0.25"/>
    <row r="100" ht="17.25" customHeight="1" x14ac:dyDescent="0.25"/>
    <row r="101" ht="17.25" customHeight="1" x14ac:dyDescent="0.25"/>
    <row r="102" ht="17.25" customHeight="1" x14ac:dyDescent="0.25"/>
    <row r="103" ht="17.25" customHeight="1" x14ac:dyDescent="0.25"/>
    <row r="104" ht="17.25" customHeight="1" x14ac:dyDescent="0.25"/>
    <row r="105" ht="17.25" customHeight="1" x14ac:dyDescent="0.25"/>
    <row r="106" ht="17.25" customHeight="1" x14ac:dyDescent="0.25"/>
    <row r="107" ht="17.25" customHeight="1" x14ac:dyDescent="0.25"/>
    <row r="108" ht="17.25" customHeight="1" x14ac:dyDescent="0.25"/>
    <row r="109" ht="17.25" customHeight="1" x14ac:dyDescent="0.25"/>
    <row r="110" ht="17.25" customHeight="1" x14ac:dyDescent="0.25"/>
    <row r="111" ht="17.25" customHeight="1" x14ac:dyDescent="0.25"/>
    <row r="112" ht="17.25" customHeight="1" x14ac:dyDescent="0.25"/>
    <row r="113" ht="17.25" customHeight="1" x14ac:dyDescent="0.25"/>
    <row r="114" ht="17.25" customHeight="1" x14ac:dyDescent="0.25"/>
    <row r="115" ht="17.25" customHeight="1" x14ac:dyDescent="0.25"/>
    <row r="116" ht="17.25" customHeight="1" x14ac:dyDescent="0.25"/>
    <row r="117" ht="17.25" customHeight="1" x14ac:dyDescent="0.25"/>
    <row r="118" ht="17.25" customHeight="1" x14ac:dyDescent="0.25"/>
    <row r="119" ht="17.25" customHeight="1" x14ac:dyDescent="0.25"/>
    <row r="120" ht="17.25" customHeight="1" x14ac:dyDescent="0.25"/>
    <row r="121" ht="17.25" customHeight="1" x14ac:dyDescent="0.25"/>
    <row r="122" ht="17.25" customHeight="1" x14ac:dyDescent="0.25"/>
    <row r="123" ht="17.25" customHeight="1" x14ac:dyDescent="0.25"/>
    <row r="124" ht="17.25" customHeight="1" x14ac:dyDescent="0.25"/>
    <row r="125" ht="17.25" customHeight="1" x14ac:dyDescent="0.25"/>
    <row r="126" ht="17.25" customHeight="1" x14ac:dyDescent="0.25"/>
    <row r="127" ht="17.25" customHeight="1" x14ac:dyDescent="0.25"/>
    <row r="128" ht="17.25" customHeight="1" x14ac:dyDescent="0.25"/>
    <row r="129" ht="17.25" customHeight="1" x14ac:dyDescent="0.25"/>
    <row r="130" ht="17.25" customHeight="1" x14ac:dyDescent="0.25"/>
    <row r="131" ht="17.25" customHeight="1" x14ac:dyDescent="0.25"/>
    <row r="132" ht="17.25" customHeight="1" x14ac:dyDescent="0.25"/>
    <row r="133" ht="17.25" customHeight="1" x14ac:dyDescent="0.25"/>
    <row r="134" ht="17.25" customHeight="1" x14ac:dyDescent="0.25"/>
    <row r="135" ht="17.25" customHeight="1" x14ac:dyDescent="0.25"/>
    <row r="136" ht="17.25" customHeight="1" x14ac:dyDescent="0.25"/>
    <row r="137" ht="17.25" customHeight="1" x14ac:dyDescent="0.25"/>
    <row r="138" ht="17.25" customHeight="1" x14ac:dyDescent="0.25"/>
    <row r="139" ht="17.25" customHeight="1" x14ac:dyDescent="0.25"/>
    <row r="140" ht="17.25" customHeight="1" x14ac:dyDescent="0.25"/>
    <row r="141" ht="17.25" customHeight="1" x14ac:dyDescent="0.25"/>
    <row r="142" ht="17.25" customHeight="1" x14ac:dyDescent="0.25"/>
    <row r="143" ht="17.25" customHeight="1" x14ac:dyDescent="0.25"/>
    <row r="144" ht="17.25" customHeight="1" x14ac:dyDescent="0.25"/>
    <row r="145" ht="17.25" customHeight="1" x14ac:dyDescent="0.25"/>
    <row r="146" ht="17.25" customHeight="1" x14ac:dyDescent="0.25"/>
    <row r="147" ht="17.25" customHeight="1" x14ac:dyDescent="0.25"/>
    <row r="148" ht="17.25" customHeight="1" x14ac:dyDescent="0.25"/>
    <row r="149" ht="17.25" customHeight="1" x14ac:dyDescent="0.25"/>
    <row r="150" ht="17.25" customHeight="1" x14ac:dyDescent="0.25"/>
    <row r="151" ht="17.25" customHeight="1" x14ac:dyDescent="0.25"/>
    <row r="152" ht="17.25" customHeight="1" x14ac:dyDescent="0.25"/>
    <row r="153" ht="17.25" customHeight="1" x14ac:dyDescent="0.25"/>
    <row r="154" ht="17.25" customHeight="1" x14ac:dyDescent="0.25"/>
    <row r="155" ht="17.25" customHeight="1" x14ac:dyDescent="0.25"/>
    <row r="156" ht="17.25" customHeight="1" x14ac:dyDescent="0.25"/>
    <row r="157" ht="17.25" customHeight="1" x14ac:dyDescent="0.25"/>
    <row r="158" ht="17.25" customHeight="1" x14ac:dyDescent="0.25"/>
    <row r="159" ht="17.25" customHeight="1" x14ac:dyDescent="0.25"/>
    <row r="160" ht="17.25" customHeight="1" x14ac:dyDescent="0.25"/>
  </sheetData>
  <sheetProtection insertColumns="0" insertRows="0"/>
  <mergeCells count="144">
    <mergeCell ref="AV4:AZ4"/>
    <mergeCell ref="BA4:BC4"/>
    <mergeCell ref="Y36:AC36"/>
    <mergeCell ref="AD36:AF36"/>
    <mergeCell ref="AZ18:BB18"/>
    <mergeCell ref="AQ16:AR16"/>
    <mergeCell ref="AV16:AW16"/>
    <mergeCell ref="BA16:BB16"/>
    <mergeCell ref="AN19:AN21"/>
    <mergeCell ref="Y14:AK15"/>
    <mergeCell ref="AV6:AY6"/>
    <mergeCell ref="AV21:BB21"/>
    <mergeCell ref="AN17:AN18"/>
    <mergeCell ref="AN9:AN16"/>
    <mergeCell ref="Z17:AC17"/>
    <mergeCell ref="AD16:AG16"/>
    <mergeCell ref="Y13:AK13"/>
    <mergeCell ref="AF11:AK11"/>
    <mergeCell ref="AB12:AK12"/>
    <mergeCell ref="AQ7:AT7"/>
    <mergeCell ref="AV7:AY7"/>
    <mergeCell ref="AE7:AF7"/>
    <mergeCell ref="AM6:AM21"/>
    <mergeCell ref="AD6:AF6"/>
    <mergeCell ref="Z64:AN64"/>
    <mergeCell ref="Z63:AN63"/>
    <mergeCell ref="Z62:AN62"/>
    <mergeCell ref="Z61:AN61"/>
    <mergeCell ref="AI59:AM59"/>
    <mergeCell ref="Z54:AN54"/>
    <mergeCell ref="B60:P60"/>
    <mergeCell ref="B59:P59"/>
    <mergeCell ref="B58:P58"/>
    <mergeCell ref="L57:O57"/>
    <mergeCell ref="B64:P64"/>
    <mergeCell ref="B63:P63"/>
    <mergeCell ref="B62:P62"/>
    <mergeCell ref="B61:P61"/>
    <mergeCell ref="Z47:AN47"/>
    <mergeCell ref="Z46:AN46"/>
    <mergeCell ref="B51:T51"/>
    <mergeCell ref="B50:T50"/>
    <mergeCell ref="B49:T49"/>
    <mergeCell ref="A47:H47"/>
    <mergeCell ref="A44:E46"/>
    <mergeCell ref="F44:Q44"/>
    <mergeCell ref="R44:T44"/>
    <mergeCell ref="J46:T46"/>
    <mergeCell ref="Z51:AN51"/>
    <mergeCell ref="AI50:AM50"/>
    <mergeCell ref="AD9:AK9"/>
    <mergeCell ref="AC10:AK10"/>
    <mergeCell ref="O8:S8"/>
    <mergeCell ref="I8:M8"/>
    <mergeCell ref="I7:S7"/>
    <mergeCell ref="B9:H9"/>
    <mergeCell ref="Z7:AB7"/>
    <mergeCell ref="I9:T9"/>
    <mergeCell ref="AP41:AS41"/>
    <mergeCell ref="AN27:BC28"/>
    <mergeCell ref="AM22:AM28"/>
    <mergeCell ref="Z26:AK26"/>
    <mergeCell ref="AB27:AK27"/>
    <mergeCell ref="AJ41:AM41"/>
    <mergeCell ref="AX23:BB23"/>
    <mergeCell ref="AO25:BB26"/>
    <mergeCell ref="Z28:AK28"/>
    <mergeCell ref="AF25:AK25"/>
    <mergeCell ref="AI6:AJ6"/>
    <mergeCell ref="J47:T47"/>
    <mergeCell ref="R58:U58"/>
    <mergeCell ref="A56:U56"/>
    <mergeCell ref="Q41:S41"/>
    <mergeCell ref="K42:L42"/>
    <mergeCell ref="B39:H39"/>
    <mergeCell ref="R57:U57"/>
    <mergeCell ref="B52:T52"/>
    <mergeCell ref="R42:T42"/>
    <mergeCell ref="B54:T54"/>
    <mergeCell ref="B53:T53"/>
    <mergeCell ref="Z45:AN45"/>
    <mergeCell ref="Z44:AN44"/>
    <mergeCell ref="Z43:AN43"/>
    <mergeCell ref="Z42:AN42"/>
    <mergeCell ref="F41:N41"/>
    <mergeCell ref="O38:S38"/>
    <mergeCell ref="B38:H38"/>
    <mergeCell ref="R43:T43"/>
    <mergeCell ref="I39:T39"/>
    <mergeCell ref="Y40:AS40"/>
    <mergeCell ref="AP42:AS42"/>
    <mergeCell ref="U16:U28"/>
    <mergeCell ref="AP60:AS60"/>
    <mergeCell ref="Y49:AS49"/>
    <mergeCell ref="AP50:AS50"/>
    <mergeCell ref="AP51:AS51"/>
    <mergeCell ref="Y58:AS58"/>
    <mergeCell ref="Z53:AN53"/>
    <mergeCell ref="AP59:AS59"/>
    <mergeCell ref="Z60:AN60"/>
    <mergeCell ref="Z56:AN56"/>
    <mergeCell ref="Z55:AN55"/>
    <mergeCell ref="Z52:AN52"/>
    <mergeCell ref="AR1:BB1"/>
    <mergeCell ref="AR33:BB33"/>
    <mergeCell ref="B11:D12"/>
    <mergeCell ref="Z24:AK24"/>
    <mergeCell ref="A27:D28"/>
    <mergeCell ref="B24:D26"/>
    <mergeCell ref="I23:S23"/>
    <mergeCell ref="F19:S21"/>
    <mergeCell ref="L28:S28"/>
    <mergeCell ref="O26:T26"/>
    <mergeCell ref="V23:V28"/>
    <mergeCell ref="L12:S12"/>
    <mergeCell ref="K14:S14"/>
    <mergeCell ref="AB22:AK22"/>
    <mergeCell ref="AC23:AK23"/>
    <mergeCell ref="V13:X13"/>
    <mergeCell ref="U6:U15"/>
    <mergeCell ref="V9:V12"/>
    <mergeCell ref="K16:S16"/>
    <mergeCell ref="K17:S17"/>
    <mergeCell ref="V21:W22"/>
    <mergeCell ref="A5:BC5"/>
    <mergeCell ref="A6:A9"/>
    <mergeCell ref="B6:H6"/>
    <mergeCell ref="I6:T6"/>
    <mergeCell ref="A43:E43"/>
    <mergeCell ref="A41:E41"/>
    <mergeCell ref="A40:U40"/>
    <mergeCell ref="F43:Q43"/>
    <mergeCell ref="I38:M38"/>
    <mergeCell ref="A36:A39"/>
    <mergeCell ref="B37:H37"/>
    <mergeCell ref="I37:S37"/>
    <mergeCell ref="I36:T36"/>
    <mergeCell ref="B36:H36"/>
    <mergeCell ref="A10:A26"/>
    <mergeCell ref="B10:D10"/>
    <mergeCell ref="B13:D21"/>
    <mergeCell ref="B22:D23"/>
    <mergeCell ref="B7:H7"/>
    <mergeCell ref="B8:H8"/>
  </mergeCells>
  <phoneticPr fontId="2"/>
  <conditionalFormatting sqref="AI6:AJ6 AE7:AF7">
    <cfRule type="cellIs" dxfId="6" priority="1" stopIfTrue="1" operator="greaterThanOrEqual">
      <formula>0.1</formula>
    </cfRule>
    <cfRule type="expression" dxfId="5" priority="2" stopIfTrue="1">
      <formula>AD6="幅"</formula>
    </cfRule>
  </conditionalFormatting>
  <conditionalFormatting sqref="AV7:AY7">
    <cfRule type="expression" dxfId="4" priority="3" stopIfTrue="1">
      <formula>AQ7="（ 選 択 ）"</formula>
    </cfRule>
    <cfRule type="expression" dxfId="3" priority="4" stopIfTrue="1">
      <formula>OR(AV7="（ 塗 装 ）",AV7="（ シール ）",AV7="（ 一 任 ）")</formula>
    </cfRule>
    <cfRule type="expression" dxfId="2" priority="5" stopIfTrue="1">
      <formula>OR(AQ7="（ 黄 ・ 黒 ）",AQ7="（ 赤 ・ 白 ）")</formula>
    </cfRule>
  </conditionalFormatting>
  <conditionalFormatting sqref="I36:T36 I37:S37 I38:M38 O38:S38 I39:T39">
    <cfRule type="cellIs" dxfId="1" priority="6" stopIfTrue="1" operator="equal">
      <formula>0</formula>
    </cfRule>
  </conditionalFormatting>
  <dataValidations count="7">
    <dataValidation type="list" allowBlank="1" showInputMessage="1" showErrorMessage="1" sqref="W9:W12 W23 W25 W27 AO17:AO18 AT17 AX17 AV18" xr:uid="{00000000-0002-0000-0600-000000000000}">
      <formula1>"□,■"</formula1>
    </dataValidation>
    <dataValidation type="list" allowBlank="1" showInputMessage="1" showErrorMessage="1" sqref="Y7" xr:uid="{00000000-0002-0000-0600-000001000000}">
      <formula1>"（ 選 択 ）,（ 塗 装 ）,（ シール"</formula1>
    </dataValidation>
    <dataValidation type="list" allowBlank="1" showInputMessage="1" showErrorMessage="1" sqref="AD6:AF6 Z7:AB7" xr:uid="{00000000-0002-0000-0600-000002000000}">
      <formula1>"（ 選 択 ）,（ 塗 装,（ シール"</formula1>
    </dataValidation>
    <dataValidation type="list" allowBlank="1" showInputMessage="1" showErrorMessage="1" sqref="AD16:AF16 Z17:AC17 AV6:AX6" xr:uid="{00000000-0002-0000-0600-000003000000}">
      <formula1>"（ 選 択 ）,（ 塗 装 ）,（ シール ）"</formula1>
    </dataValidation>
    <dataValidation type="list" allowBlank="1" showInputMessage="1" showErrorMessage="1" sqref="AQ7:AT7" xr:uid="{00000000-0002-0000-0600-000004000000}">
      <formula1>"（ 選 択 ）,（ 黄 ・ 黒 ）,（ 赤 ・ 白 ）"</formula1>
    </dataValidation>
    <dataValidation type="list" allowBlank="1" showInputMessage="1" showErrorMessage="1" sqref="AV7:AY7" xr:uid="{00000000-0002-0000-0600-000005000000}">
      <formula1>"（ 選 択 ）,（ 塗 装 ）,（ シール ）,（ 一 任 ）"</formula1>
    </dataValidation>
    <dataValidation type="list" allowBlank="1" showInputMessage="1" showErrorMessage="1" sqref="AX23:BB23" xr:uid="{00000000-0002-0000-0600-000006000000}">
      <formula1>"（ 選　択 ）,外のみ　）,内・外とも　）"</formula1>
    </dataValidation>
  </dataValidations>
  <pageMargins left="0.25" right="0.19" top="0.54" bottom="0.32" header="0.2" footer="0.2"/>
  <pageSetup paperSize="9" scale="9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1" r:id="rId4" name="Option Button 21">
              <controlPr defaultSize="0" autoFill="0" autoLine="0" autoPict="0" altText="">
                <anchor moveWithCells="1">
                  <from>
                    <xdr:col>4</xdr:col>
                    <xdr:colOff>9525</xdr:colOff>
                    <xdr:row>9</xdr:row>
                    <xdr:rowOff>9525</xdr:rowOff>
                  </from>
                  <to>
                    <xdr:col>5</xdr:col>
                    <xdr:colOff>114300</xdr:colOff>
                    <xdr:row>9</xdr:row>
                    <xdr:rowOff>219075</xdr:rowOff>
                  </to>
                </anchor>
              </controlPr>
            </control>
          </mc:Choice>
        </mc:AlternateContent>
        <mc:AlternateContent xmlns:mc="http://schemas.openxmlformats.org/markup-compatibility/2006">
          <mc:Choice Requires="x14">
            <control shapeId="5142" r:id="rId5" name="Option Button 22">
              <controlPr defaultSize="0" autoFill="0" autoLine="0" autoPict="0" altText="">
                <anchor moveWithCells="1">
                  <from>
                    <xdr:col>8</xdr:col>
                    <xdr:colOff>0</xdr:colOff>
                    <xdr:row>9</xdr:row>
                    <xdr:rowOff>9525</xdr:rowOff>
                  </from>
                  <to>
                    <xdr:col>9</xdr:col>
                    <xdr:colOff>104775</xdr:colOff>
                    <xdr:row>9</xdr:row>
                    <xdr:rowOff>219075</xdr:rowOff>
                  </to>
                </anchor>
              </controlPr>
            </control>
          </mc:Choice>
        </mc:AlternateContent>
        <mc:AlternateContent xmlns:mc="http://schemas.openxmlformats.org/markup-compatibility/2006">
          <mc:Choice Requires="x14">
            <control shapeId="5143" r:id="rId6" name="Group Box 23">
              <controlPr defaultSize="0" print="0" autoFill="0" autoPict="0">
                <anchor moveWithCells="1">
                  <from>
                    <xdr:col>4</xdr:col>
                    <xdr:colOff>0</xdr:colOff>
                    <xdr:row>9</xdr:row>
                    <xdr:rowOff>0</xdr:rowOff>
                  </from>
                  <to>
                    <xdr:col>19</xdr:col>
                    <xdr:colOff>190500</xdr:colOff>
                    <xdr:row>10</xdr:row>
                    <xdr:rowOff>0</xdr:rowOff>
                  </to>
                </anchor>
              </controlPr>
            </control>
          </mc:Choice>
        </mc:AlternateContent>
        <mc:AlternateContent xmlns:mc="http://schemas.openxmlformats.org/markup-compatibility/2006">
          <mc:Choice Requires="x14">
            <control shapeId="5144" r:id="rId7" name="Group Box 24">
              <controlPr defaultSize="0" print="0" autoFill="0" autoPict="0">
                <anchor moveWithCells="1">
                  <from>
                    <xdr:col>4</xdr:col>
                    <xdr:colOff>0</xdr:colOff>
                    <xdr:row>10</xdr:row>
                    <xdr:rowOff>0</xdr:rowOff>
                  </from>
                  <to>
                    <xdr:col>19</xdr:col>
                    <xdr:colOff>190500</xdr:colOff>
                    <xdr:row>12</xdr:row>
                    <xdr:rowOff>0</xdr:rowOff>
                  </to>
                </anchor>
              </controlPr>
            </control>
          </mc:Choice>
        </mc:AlternateContent>
        <mc:AlternateContent xmlns:mc="http://schemas.openxmlformats.org/markup-compatibility/2006">
          <mc:Choice Requires="x14">
            <control shapeId="5145" r:id="rId8" name="Option Button 25">
              <controlPr defaultSize="0" autoFill="0" autoLine="0" autoPict="0">
                <anchor moveWithCells="1">
                  <from>
                    <xdr:col>4</xdr:col>
                    <xdr:colOff>9525</xdr:colOff>
                    <xdr:row>10</xdr:row>
                    <xdr:rowOff>9525</xdr:rowOff>
                  </from>
                  <to>
                    <xdr:col>5</xdr:col>
                    <xdr:colOff>114300</xdr:colOff>
                    <xdr:row>10</xdr:row>
                    <xdr:rowOff>219075</xdr:rowOff>
                  </to>
                </anchor>
              </controlPr>
            </control>
          </mc:Choice>
        </mc:AlternateContent>
        <mc:AlternateContent xmlns:mc="http://schemas.openxmlformats.org/markup-compatibility/2006">
          <mc:Choice Requires="x14">
            <control shapeId="5146" r:id="rId9" name="Option Button 26">
              <controlPr defaultSize="0" autoFill="0" autoLine="0" autoPict="0">
                <anchor moveWithCells="1">
                  <from>
                    <xdr:col>4</xdr:col>
                    <xdr:colOff>9525</xdr:colOff>
                    <xdr:row>11</xdr:row>
                    <xdr:rowOff>9525</xdr:rowOff>
                  </from>
                  <to>
                    <xdr:col>5</xdr:col>
                    <xdr:colOff>114300</xdr:colOff>
                    <xdr:row>11</xdr:row>
                    <xdr:rowOff>219075</xdr:rowOff>
                  </to>
                </anchor>
              </controlPr>
            </control>
          </mc:Choice>
        </mc:AlternateContent>
        <mc:AlternateContent xmlns:mc="http://schemas.openxmlformats.org/markup-compatibility/2006">
          <mc:Choice Requires="x14">
            <control shapeId="5147" r:id="rId10" name="Group Box 27">
              <controlPr defaultSize="0" print="0" autoFill="0" autoPict="0">
                <anchor moveWithCells="1">
                  <from>
                    <xdr:col>4</xdr:col>
                    <xdr:colOff>0</xdr:colOff>
                    <xdr:row>12</xdr:row>
                    <xdr:rowOff>0</xdr:rowOff>
                  </from>
                  <to>
                    <xdr:col>19</xdr:col>
                    <xdr:colOff>190500</xdr:colOff>
                    <xdr:row>21</xdr:row>
                    <xdr:rowOff>0</xdr:rowOff>
                  </to>
                </anchor>
              </controlPr>
            </control>
          </mc:Choice>
        </mc:AlternateContent>
        <mc:AlternateContent xmlns:mc="http://schemas.openxmlformats.org/markup-compatibility/2006">
          <mc:Choice Requires="x14">
            <control shapeId="5148" r:id="rId11" name="Option Button 28">
              <controlPr defaultSize="0" autoFill="0" autoLine="0" autoPict="0">
                <anchor moveWithCells="1">
                  <from>
                    <xdr:col>4</xdr:col>
                    <xdr:colOff>0</xdr:colOff>
                    <xdr:row>12</xdr:row>
                    <xdr:rowOff>0</xdr:rowOff>
                  </from>
                  <to>
                    <xdr:col>5</xdr:col>
                    <xdr:colOff>104775</xdr:colOff>
                    <xdr:row>12</xdr:row>
                    <xdr:rowOff>209550</xdr:rowOff>
                  </to>
                </anchor>
              </controlPr>
            </control>
          </mc:Choice>
        </mc:AlternateContent>
        <mc:AlternateContent xmlns:mc="http://schemas.openxmlformats.org/markup-compatibility/2006">
          <mc:Choice Requires="x14">
            <control shapeId="5149" r:id="rId12" name="Option Button 29">
              <controlPr defaultSize="0" autoFill="0" autoLine="0" autoPict="0">
                <anchor moveWithCells="1">
                  <from>
                    <xdr:col>4</xdr:col>
                    <xdr:colOff>0</xdr:colOff>
                    <xdr:row>13</xdr:row>
                    <xdr:rowOff>9525</xdr:rowOff>
                  </from>
                  <to>
                    <xdr:col>5</xdr:col>
                    <xdr:colOff>104775</xdr:colOff>
                    <xdr:row>13</xdr:row>
                    <xdr:rowOff>219075</xdr:rowOff>
                  </to>
                </anchor>
              </controlPr>
            </control>
          </mc:Choice>
        </mc:AlternateContent>
        <mc:AlternateContent xmlns:mc="http://schemas.openxmlformats.org/markup-compatibility/2006">
          <mc:Choice Requires="x14">
            <control shapeId="5150" r:id="rId13" name="Option Button 30">
              <controlPr defaultSize="0" autoFill="0" autoLine="0" autoPict="0">
                <anchor moveWithCells="1">
                  <from>
                    <xdr:col>4</xdr:col>
                    <xdr:colOff>0</xdr:colOff>
                    <xdr:row>14</xdr:row>
                    <xdr:rowOff>9525</xdr:rowOff>
                  </from>
                  <to>
                    <xdr:col>5</xdr:col>
                    <xdr:colOff>104775</xdr:colOff>
                    <xdr:row>14</xdr:row>
                    <xdr:rowOff>219075</xdr:rowOff>
                  </to>
                </anchor>
              </controlPr>
            </control>
          </mc:Choice>
        </mc:AlternateContent>
        <mc:AlternateContent xmlns:mc="http://schemas.openxmlformats.org/markup-compatibility/2006">
          <mc:Choice Requires="x14">
            <control shapeId="5154" r:id="rId14" name="Group Box 34">
              <controlPr defaultSize="0" print="0" autoFill="0" autoPict="0">
                <anchor moveWithCells="1">
                  <from>
                    <xdr:col>4</xdr:col>
                    <xdr:colOff>0</xdr:colOff>
                    <xdr:row>21</xdr:row>
                    <xdr:rowOff>0</xdr:rowOff>
                  </from>
                  <to>
                    <xdr:col>19</xdr:col>
                    <xdr:colOff>190500</xdr:colOff>
                    <xdr:row>23</xdr:row>
                    <xdr:rowOff>0</xdr:rowOff>
                  </to>
                </anchor>
              </controlPr>
            </control>
          </mc:Choice>
        </mc:AlternateContent>
        <mc:AlternateContent xmlns:mc="http://schemas.openxmlformats.org/markup-compatibility/2006">
          <mc:Choice Requires="x14">
            <control shapeId="5155" r:id="rId15" name="Option Button 35">
              <controlPr defaultSize="0" autoFill="0" autoLine="0" autoPict="0">
                <anchor moveWithCells="1">
                  <from>
                    <xdr:col>4</xdr:col>
                    <xdr:colOff>0</xdr:colOff>
                    <xdr:row>21</xdr:row>
                    <xdr:rowOff>0</xdr:rowOff>
                  </from>
                  <to>
                    <xdr:col>5</xdr:col>
                    <xdr:colOff>104775</xdr:colOff>
                    <xdr:row>21</xdr:row>
                    <xdr:rowOff>209550</xdr:rowOff>
                  </to>
                </anchor>
              </controlPr>
            </control>
          </mc:Choice>
        </mc:AlternateContent>
        <mc:AlternateContent xmlns:mc="http://schemas.openxmlformats.org/markup-compatibility/2006">
          <mc:Choice Requires="x14">
            <control shapeId="5156" r:id="rId16" name="Option Button 36">
              <controlPr defaultSize="0" autoFill="0" autoLine="0" autoPict="0">
                <anchor moveWithCells="1">
                  <from>
                    <xdr:col>8</xdr:col>
                    <xdr:colOff>0</xdr:colOff>
                    <xdr:row>21</xdr:row>
                    <xdr:rowOff>0</xdr:rowOff>
                  </from>
                  <to>
                    <xdr:col>9</xdr:col>
                    <xdr:colOff>104775</xdr:colOff>
                    <xdr:row>21</xdr:row>
                    <xdr:rowOff>209550</xdr:rowOff>
                  </to>
                </anchor>
              </controlPr>
            </control>
          </mc:Choice>
        </mc:AlternateContent>
        <mc:AlternateContent xmlns:mc="http://schemas.openxmlformats.org/markup-compatibility/2006">
          <mc:Choice Requires="x14">
            <control shapeId="5157" r:id="rId17" name="Option Button 37">
              <controlPr defaultSize="0" autoFill="0" autoLine="0" autoPict="0">
                <anchor moveWithCells="1">
                  <from>
                    <xdr:col>12</xdr:col>
                    <xdr:colOff>0</xdr:colOff>
                    <xdr:row>21</xdr:row>
                    <xdr:rowOff>0</xdr:rowOff>
                  </from>
                  <to>
                    <xdr:col>13</xdr:col>
                    <xdr:colOff>104775</xdr:colOff>
                    <xdr:row>21</xdr:row>
                    <xdr:rowOff>209550</xdr:rowOff>
                  </to>
                </anchor>
              </controlPr>
            </control>
          </mc:Choice>
        </mc:AlternateContent>
        <mc:AlternateContent xmlns:mc="http://schemas.openxmlformats.org/markup-compatibility/2006">
          <mc:Choice Requires="x14">
            <control shapeId="5158" r:id="rId18" name="Option Button 38">
              <controlPr defaultSize="0" autoFill="0" autoLine="0" autoPict="0">
                <anchor moveWithCells="1">
                  <from>
                    <xdr:col>16</xdr:col>
                    <xdr:colOff>0</xdr:colOff>
                    <xdr:row>21</xdr:row>
                    <xdr:rowOff>0</xdr:rowOff>
                  </from>
                  <to>
                    <xdr:col>17</xdr:col>
                    <xdr:colOff>104775</xdr:colOff>
                    <xdr:row>21</xdr:row>
                    <xdr:rowOff>209550</xdr:rowOff>
                  </to>
                </anchor>
              </controlPr>
            </control>
          </mc:Choice>
        </mc:AlternateContent>
        <mc:AlternateContent xmlns:mc="http://schemas.openxmlformats.org/markup-compatibility/2006">
          <mc:Choice Requires="x14">
            <control shapeId="5159" r:id="rId19" name="Option Button 39">
              <controlPr defaultSize="0" autoFill="0" autoLine="0" autoPict="0">
                <anchor moveWithCells="1">
                  <from>
                    <xdr:col>4</xdr:col>
                    <xdr:colOff>0</xdr:colOff>
                    <xdr:row>22</xdr:row>
                    <xdr:rowOff>19050</xdr:rowOff>
                  </from>
                  <to>
                    <xdr:col>5</xdr:col>
                    <xdr:colOff>104775</xdr:colOff>
                    <xdr:row>23</xdr:row>
                    <xdr:rowOff>0</xdr:rowOff>
                  </to>
                </anchor>
              </controlPr>
            </control>
          </mc:Choice>
        </mc:AlternateContent>
        <mc:AlternateContent xmlns:mc="http://schemas.openxmlformats.org/markup-compatibility/2006">
          <mc:Choice Requires="x14">
            <control shapeId="5160" r:id="rId20" name="Group Box 40">
              <controlPr defaultSize="0" print="0" autoFill="0" autoPict="0">
                <anchor moveWithCells="1">
                  <from>
                    <xdr:col>4</xdr:col>
                    <xdr:colOff>0</xdr:colOff>
                    <xdr:row>23</xdr:row>
                    <xdr:rowOff>0</xdr:rowOff>
                  </from>
                  <to>
                    <xdr:col>19</xdr:col>
                    <xdr:colOff>190500</xdr:colOff>
                    <xdr:row>26</xdr:row>
                    <xdr:rowOff>0</xdr:rowOff>
                  </to>
                </anchor>
              </controlPr>
            </control>
          </mc:Choice>
        </mc:AlternateContent>
        <mc:AlternateContent xmlns:mc="http://schemas.openxmlformats.org/markup-compatibility/2006">
          <mc:Choice Requires="x14">
            <control shapeId="5161" r:id="rId21" name="Option Button 41">
              <controlPr defaultSize="0" autoFill="0" autoLine="0" autoPict="0">
                <anchor moveWithCells="1">
                  <from>
                    <xdr:col>4</xdr:col>
                    <xdr:colOff>0</xdr:colOff>
                    <xdr:row>23</xdr:row>
                    <xdr:rowOff>0</xdr:rowOff>
                  </from>
                  <to>
                    <xdr:col>5</xdr:col>
                    <xdr:colOff>104775</xdr:colOff>
                    <xdr:row>23</xdr:row>
                    <xdr:rowOff>209550</xdr:rowOff>
                  </to>
                </anchor>
              </controlPr>
            </control>
          </mc:Choice>
        </mc:AlternateContent>
        <mc:AlternateContent xmlns:mc="http://schemas.openxmlformats.org/markup-compatibility/2006">
          <mc:Choice Requires="x14">
            <control shapeId="5162" r:id="rId22" name="Option Button 42">
              <controlPr defaultSize="0" autoFill="0" autoLine="0" autoPict="0">
                <anchor moveWithCells="1">
                  <from>
                    <xdr:col>4</xdr:col>
                    <xdr:colOff>0</xdr:colOff>
                    <xdr:row>24</xdr:row>
                    <xdr:rowOff>9525</xdr:rowOff>
                  </from>
                  <to>
                    <xdr:col>5</xdr:col>
                    <xdr:colOff>104775</xdr:colOff>
                    <xdr:row>24</xdr:row>
                    <xdr:rowOff>219075</xdr:rowOff>
                  </to>
                </anchor>
              </controlPr>
            </control>
          </mc:Choice>
        </mc:AlternateContent>
        <mc:AlternateContent xmlns:mc="http://schemas.openxmlformats.org/markup-compatibility/2006">
          <mc:Choice Requires="x14">
            <control shapeId="5167" r:id="rId23" name="Group Box 47">
              <controlPr defaultSize="0" print="0" autoFill="0" autoPict="0">
                <anchor moveWithCells="1">
                  <from>
                    <xdr:col>4</xdr:col>
                    <xdr:colOff>0</xdr:colOff>
                    <xdr:row>26</xdr:row>
                    <xdr:rowOff>0</xdr:rowOff>
                  </from>
                  <to>
                    <xdr:col>19</xdr:col>
                    <xdr:colOff>190500</xdr:colOff>
                    <xdr:row>28</xdr:row>
                    <xdr:rowOff>0</xdr:rowOff>
                  </to>
                </anchor>
              </controlPr>
            </control>
          </mc:Choice>
        </mc:AlternateContent>
        <mc:AlternateContent xmlns:mc="http://schemas.openxmlformats.org/markup-compatibility/2006">
          <mc:Choice Requires="x14">
            <control shapeId="5168" r:id="rId24" name="Option Button 48">
              <controlPr defaultSize="0" autoFill="0" autoLine="0" autoPict="0">
                <anchor moveWithCells="1">
                  <from>
                    <xdr:col>4</xdr:col>
                    <xdr:colOff>0</xdr:colOff>
                    <xdr:row>26</xdr:row>
                    <xdr:rowOff>0</xdr:rowOff>
                  </from>
                  <to>
                    <xdr:col>5</xdr:col>
                    <xdr:colOff>104775</xdr:colOff>
                    <xdr:row>26</xdr:row>
                    <xdr:rowOff>209550</xdr:rowOff>
                  </to>
                </anchor>
              </controlPr>
            </control>
          </mc:Choice>
        </mc:AlternateContent>
        <mc:AlternateContent xmlns:mc="http://schemas.openxmlformats.org/markup-compatibility/2006">
          <mc:Choice Requires="x14">
            <control shapeId="5169" r:id="rId25" name="Option Button 49">
              <controlPr defaultSize="0" autoFill="0" autoLine="0" autoPict="0">
                <anchor moveWithCells="1">
                  <from>
                    <xdr:col>8</xdr:col>
                    <xdr:colOff>0</xdr:colOff>
                    <xdr:row>26</xdr:row>
                    <xdr:rowOff>0</xdr:rowOff>
                  </from>
                  <to>
                    <xdr:col>9</xdr:col>
                    <xdr:colOff>104775</xdr:colOff>
                    <xdr:row>26</xdr:row>
                    <xdr:rowOff>209550</xdr:rowOff>
                  </to>
                </anchor>
              </controlPr>
            </control>
          </mc:Choice>
        </mc:AlternateContent>
        <mc:AlternateContent xmlns:mc="http://schemas.openxmlformats.org/markup-compatibility/2006">
          <mc:Choice Requires="x14">
            <control shapeId="5170" r:id="rId26" name="Option Button 50">
              <controlPr defaultSize="0" autoFill="0" autoLine="0" autoPict="0">
                <anchor moveWithCells="1">
                  <from>
                    <xdr:col>4</xdr:col>
                    <xdr:colOff>0</xdr:colOff>
                    <xdr:row>27</xdr:row>
                    <xdr:rowOff>9525</xdr:rowOff>
                  </from>
                  <to>
                    <xdr:col>5</xdr:col>
                    <xdr:colOff>104775</xdr:colOff>
                    <xdr:row>27</xdr:row>
                    <xdr:rowOff>219075</xdr:rowOff>
                  </to>
                </anchor>
              </controlPr>
            </control>
          </mc:Choice>
        </mc:AlternateContent>
        <mc:AlternateContent xmlns:mc="http://schemas.openxmlformats.org/markup-compatibility/2006">
          <mc:Choice Requires="x14">
            <control shapeId="5171" r:id="rId27" name="Group Box 51">
              <controlPr defaultSize="0" print="0" autoFill="0" autoPict="0">
                <anchor moveWithCells="1">
                  <from>
                    <xdr:col>21</xdr:col>
                    <xdr:colOff>0</xdr:colOff>
                    <xdr:row>4</xdr:row>
                    <xdr:rowOff>219075</xdr:rowOff>
                  </from>
                  <to>
                    <xdr:col>37</xdr:col>
                    <xdr:colOff>190500</xdr:colOff>
                    <xdr:row>7</xdr:row>
                    <xdr:rowOff>0</xdr:rowOff>
                  </to>
                </anchor>
              </controlPr>
            </control>
          </mc:Choice>
        </mc:AlternateContent>
        <mc:AlternateContent xmlns:mc="http://schemas.openxmlformats.org/markup-compatibility/2006">
          <mc:Choice Requires="x14">
            <control shapeId="5172" r:id="rId28" name="Option Button 52">
              <controlPr defaultSize="0" autoFill="0" autoLine="0" autoPict="0">
                <anchor moveWithCells="1">
                  <from>
                    <xdr:col>21</xdr:col>
                    <xdr:colOff>0</xdr:colOff>
                    <xdr:row>5</xdr:row>
                    <xdr:rowOff>0</xdr:rowOff>
                  </from>
                  <to>
                    <xdr:col>22</xdr:col>
                    <xdr:colOff>104775</xdr:colOff>
                    <xdr:row>5</xdr:row>
                    <xdr:rowOff>209550</xdr:rowOff>
                  </to>
                </anchor>
              </controlPr>
            </control>
          </mc:Choice>
        </mc:AlternateContent>
        <mc:AlternateContent xmlns:mc="http://schemas.openxmlformats.org/markup-compatibility/2006">
          <mc:Choice Requires="x14">
            <control shapeId="5173" r:id="rId29" name="Option Button 53">
              <controlPr defaultSize="0" autoFill="0" autoLine="0" autoPict="0">
                <anchor moveWithCells="1">
                  <from>
                    <xdr:col>24</xdr:col>
                    <xdr:colOff>0</xdr:colOff>
                    <xdr:row>5</xdr:row>
                    <xdr:rowOff>0</xdr:rowOff>
                  </from>
                  <to>
                    <xdr:col>25</xdr:col>
                    <xdr:colOff>104775</xdr:colOff>
                    <xdr:row>5</xdr:row>
                    <xdr:rowOff>209550</xdr:rowOff>
                  </to>
                </anchor>
              </controlPr>
            </control>
          </mc:Choice>
        </mc:AlternateContent>
        <mc:AlternateContent xmlns:mc="http://schemas.openxmlformats.org/markup-compatibility/2006">
          <mc:Choice Requires="x14">
            <control shapeId="5174" r:id="rId30" name="Option Button 54">
              <controlPr defaultSize="0" autoFill="0" autoLine="0" autoPict="0">
                <anchor moveWithCells="1">
                  <from>
                    <xdr:col>21</xdr:col>
                    <xdr:colOff>9525</xdr:colOff>
                    <xdr:row>6</xdr:row>
                    <xdr:rowOff>9525</xdr:rowOff>
                  </from>
                  <to>
                    <xdr:col>22</xdr:col>
                    <xdr:colOff>114300</xdr:colOff>
                    <xdr:row>6</xdr:row>
                    <xdr:rowOff>219075</xdr:rowOff>
                  </to>
                </anchor>
              </controlPr>
            </control>
          </mc:Choice>
        </mc:AlternateContent>
        <mc:AlternateContent xmlns:mc="http://schemas.openxmlformats.org/markup-compatibility/2006">
          <mc:Choice Requires="x14">
            <control shapeId="5175" r:id="rId31" name="Group Box 55">
              <controlPr defaultSize="0" print="0" autoFill="0" autoPict="0">
                <anchor moveWithCells="1">
                  <from>
                    <xdr:col>21</xdr:col>
                    <xdr:colOff>0</xdr:colOff>
                    <xdr:row>7</xdr:row>
                    <xdr:rowOff>0</xdr:rowOff>
                  </from>
                  <to>
                    <xdr:col>37</xdr:col>
                    <xdr:colOff>190500</xdr:colOff>
                    <xdr:row>8</xdr:row>
                    <xdr:rowOff>0</xdr:rowOff>
                  </to>
                </anchor>
              </controlPr>
            </control>
          </mc:Choice>
        </mc:AlternateContent>
        <mc:AlternateContent xmlns:mc="http://schemas.openxmlformats.org/markup-compatibility/2006">
          <mc:Choice Requires="x14">
            <control shapeId="5176" r:id="rId32" name="Option Button 56">
              <controlPr defaultSize="0" autoFill="0" autoLine="0" autoPict="0">
                <anchor moveWithCells="1">
                  <from>
                    <xdr:col>29</xdr:col>
                    <xdr:colOff>0</xdr:colOff>
                    <xdr:row>7</xdr:row>
                    <xdr:rowOff>0</xdr:rowOff>
                  </from>
                  <to>
                    <xdr:col>30</xdr:col>
                    <xdr:colOff>104775</xdr:colOff>
                    <xdr:row>7</xdr:row>
                    <xdr:rowOff>209550</xdr:rowOff>
                  </to>
                </anchor>
              </controlPr>
            </control>
          </mc:Choice>
        </mc:AlternateContent>
        <mc:AlternateContent xmlns:mc="http://schemas.openxmlformats.org/markup-compatibility/2006">
          <mc:Choice Requires="x14">
            <control shapeId="5177" r:id="rId33" name="Option Button 57">
              <controlPr defaultSize="0" autoFill="0" autoLine="0" autoPict="0">
                <anchor moveWithCells="1">
                  <from>
                    <xdr:col>35</xdr:col>
                    <xdr:colOff>0</xdr:colOff>
                    <xdr:row>7</xdr:row>
                    <xdr:rowOff>0</xdr:rowOff>
                  </from>
                  <to>
                    <xdr:col>36</xdr:col>
                    <xdr:colOff>104775</xdr:colOff>
                    <xdr:row>7</xdr:row>
                    <xdr:rowOff>209550</xdr:rowOff>
                  </to>
                </anchor>
              </controlPr>
            </control>
          </mc:Choice>
        </mc:AlternateContent>
        <mc:AlternateContent xmlns:mc="http://schemas.openxmlformats.org/markup-compatibility/2006">
          <mc:Choice Requires="x14">
            <control shapeId="5178" r:id="rId34" name="Group Box 58">
              <controlPr defaultSize="0" print="0" autoFill="0" autoPict="0">
                <anchor moveWithCells="1">
                  <from>
                    <xdr:col>21</xdr:col>
                    <xdr:colOff>0</xdr:colOff>
                    <xdr:row>8</xdr:row>
                    <xdr:rowOff>0</xdr:rowOff>
                  </from>
                  <to>
                    <xdr:col>37</xdr:col>
                    <xdr:colOff>190500</xdr:colOff>
                    <xdr:row>12</xdr:row>
                    <xdr:rowOff>0</xdr:rowOff>
                  </to>
                </anchor>
              </controlPr>
            </control>
          </mc:Choice>
        </mc:AlternateContent>
        <mc:AlternateContent xmlns:mc="http://schemas.openxmlformats.org/markup-compatibility/2006">
          <mc:Choice Requires="x14">
            <control shapeId="5179" r:id="rId35" name="Group Box 59">
              <controlPr defaultSize="0" print="0" autoFill="0" autoPict="0">
                <anchor moveWithCells="1">
                  <from>
                    <xdr:col>21</xdr:col>
                    <xdr:colOff>0</xdr:colOff>
                    <xdr:row>19</xdr:row>
                    <xdr:rowOff>0</xdr:rowOff>
                  </from>
                  <to>
                    <xdr:col>37</xdr:col>
                    <xdr:colOff>190500</xdr:colOff>
                    <xdr:row>20</xdr:row>
                    <xdr:rowOff>0</xdr:rowOff>
                  </to>
                </anchor>
              </controlPr>
            </control>
          </mc:Choice>
        </mc:AlternateContent>
        <mc:AlternateContent xmlns:mc="http://schemas.openxmlformats.org/markup-compatibility/2006">
          <mc:Choice Requires="x14">
            <control shapeId="5180" r:id="rId36" name="Option Button 60">
              <controlPr defaultSize="0" autoFill="0" autoLine="0" autoPict="0">
                <anchor moveWithCells="1">
                  <from>
                    <xdr:col>29</xdr:col>
                    <xdr:colOff>0</xdr:colOff>
                    <xdr:row>19</xdr:row>
                    <xdr:rowOff>0</xdr:rowOff>
                  </from>
                  <to>
                    <xdr:col>30</xdr:col>
                    <xdr:colOff>104775</xdr:colOff>
                    <xdr:row>19</xdr:row>
                    <xdr:rowOff>209550</xdr:rowOff>
                  </to>
                </anchor>
              </controlPr>
            </control>
          </mc:Choice>
        </mc:AlternateContent>
        <mc:AlternateContent xmlns:mc="http://schemas.openxmlformats.org/markup-compatibility/2006">
          <mc:Choice Requires="x14">
            <control shapeId="5181" r:id="rId37" name="Option Button 61">
              <controlPr defaultSize="0" autoFill="0" autoLine="0" autoPict="0">
                <anchor moveWithCells="1">
                  <from>
                    <xdr:col>35</xdr:col>
                    <xdr:colOff>0</xdr:colOff>
                    <xdr:row>19</xdr:row>
                    <xdr:rowOff>0</xdr:rowOff>
                  </from>
                  <to>
                    <xdr:col>36</xdr:col>
                    <xdr:colOff>104775</xdr:colOff>
                    <xdr:row>19</xdr:row>
                    <xdr:rowOff>209550</xdr:rowOff>
                  </to>
                </anchor>
              </controlPr>
            </control>
          </mc:Choice>
        </mc:AlternateContent>
        <mc:AlternateContent xmlns:mc="http://schemas.openxmlformats.org/markup-compatibility/2006">
          <mc:Choice Requires="x14">
            <control shapeId="5182" r:id="rId38" name="Group Box 62">
              <controlPr defaultSize="0" print="0" autoFill="0" autoPict="0">
                <anchor moveWithCells="1">
                  <from>
                    <xdr:col>21</xdr:col>
                    <xdr:colOff>0</xdr:colOff>
                    <xdr:row>17</xdr:row>
                    <xdr:rowOff>0</xdr:rowOff>
                  </from>
                  <to>
                    <xdr:col>37</xdr:col>
                    <xdr:colOff>190500</xdr:colOff>
                    <xdr:row>19</xdr:row>
                    <xdr:rowOff>0</xdr:rowOff>
                  </to>
                </anchor>
              </controlPr>
            </control>
          </mc:Choice>
        </mc:AlternateContent>
        <mc:AlternateContent xmlns:mc="http://schemas.openxmlformats.org/markup-compatibility/2006">
          <mc:Choice Requires="x14">
            <control shapeId="5183" r:id="rId39" name="Option Button 63">
              <controlPr defaultSize="0" autoFill="0" autoLine="0" autoPict="0">
                <anchor moveWithCells="1">
                  <from>
                    <xdr:col>21</xdr:col>
                    <xdr:colOff>0</xdr:colOff>
                    <xdr:row>17</xdr:row>
                    <xdr:rowOff>0</xdr:rowOff>
                  </from>
                  <to>
                    <xdr:col>22</xdr:col>
                    <xdr:colOff>104775</xdr:colOff>
                    <xdr:row>17</xdr:row>
                    <xdr:rowOff>209550</xdr:rowOff>
                  </to>
                </anchor>
              </controlPr>
            </control>
          </mc:Choice>
        </mc:AlternateContent>
        <mc:AlternateContent xmlns:mc="http://schemas.openxmlformats.org/markup-compatibility/2006">
          <mc:Choice Requires="x14">
            <control shapeId="5184" r:id="rId40" name="Option Button 64">
              <controlPr defaultSize="0" autoFill="0" autoLine="0" autoPict="0">
                <anchor moveWithCells="1">
                  <from>
                    <xdr:col>21</xdr:col>
                    <xdr:colOff>0</xdr:colOff>
                    <xdr:row>18</xdr:row>
                    <xdr:rowOff>9525</xdr:rowOff>
                  </from>
                  <to>
                    <xdr:col>22</xdr:col>
                    <xdr:colOff>104775</xdr:colOff>
                    <xdr:row>18</xdr:row>
                    <xdr:rowOff>219075</xdr:rowOff>
                  </to>
                </anchor>
              </controlPr>
            </control>
          </mc:Choice>
        </mc:AlternateContent>
        <mc:AlternateContent xmlns:mc="http://schemas.openxmlformats.org/markup-compatibility/2006">
          <mc:Choice Requires="x14">
            <control shapeId="5185" r:id="rId41" name="Group Box 65">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186" r:id="rId42" name="Option Button 66">
              <controlPr defaultSize="0" autoFill="0" autoLine="0" autoPict="0">
                <anchor moveWithCells="1">
                  <from>
                    <xdr:col>23</xdr:col>
                    <xdr:colOff>0</xdr:colOff>
                    <xdr:row>20</xdr:row>
                    <xdr:rowOff>19050</xdr:rowOff>
                  </from>
                  <to>
                    <xdr:col>24</xdr:col>
                    <xdr:colOff>104775</xdr:colOff>
                    <xdr:row>21</xdr:row>
                    <xdr:rowOff>0</xdr:rowOff>
                  </to>
                </anchor>
              </controlPr>
            </control>
          </mc:Choice>
        </mc:AlternateContent>
        <mc:AlternateContent xmlns:mc="http://schemas.openxmlformats.org/markup-compatibility/2006">
          <mc:Choice Requires="x14">
            <control shapeId="5187" r:id="rId43" name="Option Button 67">
              <controlPr defaultSize="0" autoFill="0" autoLine="0" autoPict="0">
                <anchor moveWithCells="1">
                  <from>
                    <xdr:col>29</xdr:col>
                    <xdr:colOff>0</xdr:colOff>
                    <xdr:row>20</xdr:row>
                    <xdr:rowOff>19050</xdr:rowOff>
                  </from>
                  <to>
                    <xdr:col>30</xdr:col>
                    <xdr:colOff>104775</xdr:colOff>
                    <xdr:row>21</xdr:row>
                    <xdr:rowOff>0</xdr:rowOff>
                  </to>
                </anchor>
              </controlPr>
            </control>
          </mc:Choice>
        </mc:AlternateContent>
        <mc:AlternateContent xmlns:mc="http://schemas.openxmlformats.org/markup-compatibility/2006">
          <mc:Choice Requires="x14">
            <control shapeId="5188" r:id="rId44" name="Option Button 68">
              <controlPr defaultSize="0" autoFill="0" autoLine="0" autoPict="0">
                <anchor moveWithCells="1">
                  <from>
                    <xdr:col>23</xdr:col>
                    <xdr:colOff>0</xdr:colOff>
                    <xdr:row>21</xdr:row>
                    <xdr:rowOff>9525</xdr:rowOff>
                  </from>
                  <to>
                    <xdr:col>24</xdr:col>
                    <xdr:colOff>104775</xdr:colOff>
                    <xdr:row>21</xdr:row>
                    <xdr:rowOff>219075</xdr:rowOff>
                  </to>
                </anchor>
              </controlPr>
            </control>
          </mc:Choice>
        </mc:AlternateContent>
        <mc:AlternateContent xmlns:mc="http://schemas.openxmlformats.org/markup-compatibility/2006">
          <mc:Choice Requires="x14">
            <control shapeId="5189" r:id="rId45" name="Group Box 69">
              <controlPr defaultSize="0" print="0" autoFill="0" autoPict="0">
                <anchor moveWithCells="1">
                  <from>
                    <xdr:col>21</xdr:col>
                    <xdr:colOff>0</xdr:colOff>
                    <xdr:row>14</xdr:row>
                    <xdr:rowOff>219075</xdr:rowOff>
                  </from>
                  <to>
                    <xdr:col>37</xdr:col>
                    <xdr:colOff>190500</xdr:colOff>
                    <xdr:row>17</xdr:row>
                    <xdr:rowOff>0</xdr:rowOff>
                  </to>
                </anchor>
              </controlPr>
            </control>
          </mc:Choice>
        </mc:AlternateContent>
        <mc:AlternateContent xmlns:mc="http://schemas.openxmlformats.org/markup-compatibility/2006">
          <mc:Choice Requires="x14">
            <control shapeId="5190" r:id="rId46" name="Option Button 70">
              <controlPr defaultSize="0" autoFill="0" autoLine="0" autoPict="0">
                <anchor moveWithCells="1">
                  <from>
                    <xdr:col>21</xdr:col>
                    <xdr:colOff>0</xdr:colOff>
                    <xdr:row>15</xdr:row>
                    <xdr:rowOff>0</xdr:rowOff>
                  </from>
                  <to>
                    <xdr:col>22</xdr:col>
                    <xdr:colOff>104775</xdr:colOff>
                    <xdr:row>15</xdr:row>
                    <xdr:rowOff>209550</xdr:rowOff>
                  </to>
                </anchor>
              </controlPr>
            </control>
          </mc:Choice>
        </mc:AlternateContent>
        <mc:AlternateContent xmlns:mc="http://schemas.openxmlformats.org/markup-compatibility/2006">
          <mc:Choice Requires="x14">
            <control shapeId="5191" r:id="rId47" name="Option Button 71">
              <controlPr defaultSize="0" autoFill="0" autoLine="0" autoPict="0">
                <anchor moveWithCells="1">
                  <from>
                    <xdr:col>24</xdr:col>
                    <xdr:colOff>0</xdr:colOff>
                    <xdr:row>15</xdr:row>
                    <xdr:rowOff>0</xdr:rowOff>
                  </from>
                  <to>
                    <xdr:col>25</xdr:col>
                    <xdr:colOff>104775</xdr:colOff>
                    <xdr:row>15</xdr:row>
                    <xdr:rowOff>209550</xdr:rowOff>
                  </to>
                </anchor>
              </controlPr>
            </control>
          </mc:Choice>
        </mc:AlternateContent>
        <mc:AlternateContent xmlns:mc="http://schemas.openxmlformats.org/markup-compatibility/2006">
          <mc:Choice Requires="x14">
            <control shapeId="5192" r:id="rId48" name="Option Button 72">
              <controlPr defaultSize="0" autoFill="0" autoLine="0" autoPict="0">
                <anchor moveWithCells="1">
                  <from>
                    <xdr:col>21</xdr:col>
                    <xdr:colOff>9525</xdr:colOff>
                    <xdr:row>16</xdr:row>
                    <xdr:rowOff>9525</xdr:rowOff>
                  </from>
                  <to>
                    <xdr:col>22</xdr:col>
                    <xdr:colOff>114300</xdr:colOff>
                    <xdr:row>16</xdr:row>
                    <xdr:rowOff>219075</xdr:rowOff>
                  </to>
                </anchor>
              </controlPr>
            </control>
          </mc:Choice>
        </mc:AlternateContent>
        <mc:AlternateContent xmlns:mc="http://schemas.openxmlformats.org/markup-compatibility/2006">
          <mc:Choice Requires="x14">
            <control shapeId="5193" r:id="rId49" name="Group Box 73">
              <controlPr defaultSize="0" print="0" autoFill="0" autoPict="0">
                <anchor moveWithCells="1">
                  <from>
                    <xdr:col>39</xdr:col>
                    <xdr:colOff>0</xdr:colOff>
                    <xdr:row>4</xdr:row>
                    <xdr:rowOff>219075</xdr:rowOff>
                  </from>
                  <to>
                    <xdr:col>54</xdr:col>
                    <xdr:colOff>190500</xdr:colOff>
                    <xdr:row>7</xdr:row>
                    <xdr:rowOff>0</xdr:rowOff>
                  </to>
                </anchor>
              </controlPr>
            </control>
          </mc:Choice>
        </mc:AlternateContent>
        <mc:AlternateContent xmlns:mc="http://schemas.openxmlformats.org/markup-compatibility/2006">
          <mc:Choice Requires="x14">
            <control shapeId="5194" r:id="rId50" name="Option Button 74">
              <controlPr defaultSize="0" autoFill="0" autoLine="0" autoPict="0">
                <anchor moveWithCells="1">
                  <from>
                    <xdr:col>39</xdr:col>
                    <xdr:colOff>0</xdr:colOff>
                    <xdr:row>5</xdr:row>
                    <xdr:rowOff>0</xdr:rowOff>
                  </from>
                  <to>
                    <xdr:col>40</xdr:col>
                    <xdr:colOff>104775</xdr:colOff>
                    <xdr:row>5</xdr:row>
                    <xdr:rowOff>209550</xdr:rowOff>
                  </to>
                </anchor>
              </controlPr>
            </control>
          </mc:Choice>
        </mc:AlternateContent>
        <mc:AlternateContent xmlns:mc="http://schemas.openxmlformats.org/markup-compatibility/2006">
          <mc:Choice Requires="x14">
            <control shapeId="5195" r:id="rId51" name="Option Button 75">
              <controlPr defaultSize="0" autoFill="0" autoLine="0" autoPict="0">
                <anchor moveWithCells="1">
                  <from>
                    <xdr:col>42</xdr:col>
                    <xdr:colOff>0</xdr:colOff>
                    <xdr:row>5</xdr:row>
                    <xdr:rowOff>0</xdr:rowOff>
                  </from>
                  <to>
                    <xdr:col>43</xdr:col>
                    <xdr:colOff>104775</xdr:colOff>
                    <xdr:row>5</xdr:row>
                    <xdr:rowOff>209550</xdr:rowOff>
                  </to>
                </anchor>
              </controlPr>
            </control>
          </mc:Choice>
        </mc:AlternateContent>
        <mc:AlternateContent xmlns:mc="http://schemas.openxmlformats.org/markup-compatibility/2006">
          <mc:Choice Requires="x14">
            <control shapeId="5196" r:id="rId52" name="Group Box 76">
              <controlPr defaultSize="0" print="0" autoFill="0" autoPict="0">
                <anchor moveWithCells="1">
                  <from>
                    <xdr:col>21</xdr:col>
                    <xdr:colOff>0</xdr:colOff>
                    <xdr:row>14</xdr:row>
                    <xdr:rowOff>219075</xdr:rowOff>
                  </from>
                  <to>
                    <xdr:col>37</xdr:col>
                    <xdr:colOff>190500</xdr:colOff>
                    <xdr:row>17</xdr:row>
                    <xdr:rowOff>0</xdr:rowOff>
                  </to>
                </anchor>
              </controlPr>
            </control>
          </mc:Choice>
        </mc:AlternateContent>
        <mc:AlternateContent xmlns:mc="http://schemas.openxmlformats.org/markup-compatibility/2006">
          <mc:Choice Requires="x14">
            <control shapeId="5197" r:id="rId53" name="Option Button 77">
              <controlPr defaultSize="0" autoFill="0" autoLine="0" autoPict="0">
                <anchor moveWithCells="1">
                  <from>
                    <xdr:col>21</xdr:col>
                    <xdr:colOff>9525</xdr:colOff>
                    <xdr:row>16</xdr:row>
                    <xdr:rowOff>9525</xdr:rowOff>
                  </from>
                  <to>
                    <xdr:col>22</xdr:col>
                    <xdr:colOff>114300</xdr:colOff>
                    <xdr:row>16</xdr:row>
                    <xdr:rowOff>219075</xdr:rowOff>
                  </to>
                </anchor>
              </controlPr>
            </control>
          </mc:Choice>
        </mc:AlternateContent>
        <mc:AlternateContent xmlns:mc="http://schemas.openxmlformats.org/markup-compatibility/2006">
          <mc:Choice Requires="x14">
            <control shapeId="5198" r:id="rId54" name="Option Button 78">
              <controlPr defaultSize="0" autoFill="0" autoLine="0" autoPict="0">
                <anchor moveWithCells="1">
                  <from>
                    <xdr:col>39</xdr:col>
                    <xdr:colOff>9525</xdr:colOff>
                    <xdr:row>6</xdr:row>
                    <xdr:rowOff>9525</xdr:rowOff>
                  </from>
                  <to>
                    <xdr:col>40</xdr:col>
                    <xdr:colOff>114300</xdr:colOff>
                    <xdr:row>6</xdr:row>
                    <xdr:rowOff>219075</xdr:rowOff>
                  </to>
                </anchor>
              </controlPr>
            </control>
          </mc:Choice>
        </mc:AlternateContent>
        <mc:AlternateContent xmlns:mc="http://schemas.openxmlformats.org/markup-compatibility/2006">
          <mc:Choice Requires="x14">
            <control shapeId="5199" r:id="rId55" name="Option Button 79">
              <controlPr defaultSize="0" autoFill="0" autoLine="0" autoPict="0">
                <anchor moveWithCells="1">
                  <from>
                    <xdr:col>46</xdr:col>
                    <xdr:colOff>0</xdr:colOff>
                    <xdr:row>7</xdr:row>
                    <xdr:rowOff>0</xdr:rowOff>
                  </from>
                  <to>
                    <xdr:col>47</xdr:col>
                    <xdr:colOff>104775</xdr:colOff>
                    <xdr:row>7</xdr:row>
                    <xdr:rowOff>209550</xdr:rowOff>
                  </to>
                </anchor>
              </controlPr>
            </control>
          </mc:Choice>
        </mc:AlternateContent>
        <mc:AlternateContent xmlns:mc="http://schemas.openxmlformats.org/markup-compatibility/2006">
          <mc:Choice Requires="x14">
            <control shapeId="5200" r:id="rId56" name="Option Button 80">
              <controlPr defaultSize="0" autoFill="0" autoLine="0" autoPict="0">
                <anchor moveWithCells="1">
                  <from>
                    <xdr:col>52</xdr:col>
                    <xdr:colOff>0</xdr:colOff>
                    <xdr:row>7</xdr:row>
                    <xdr:rowOff>0</xdr:rowOff>
                  </from>
                  <to>
                    <xdr:col>53</xdr:col>
                    <xdr:colOff>104775</xdr:colOff>
                    <xdr:row>7</xdr:row>
                    <xdr:rowOff>209550</xdr:rowOff>
                  </to>
                </anchor>
              </controlPr>
            </control>
          </mc:Choice>
        </mc:AlternateContent>
        <mc:AlternateContent xmlns:mc="http://schemas.openxmlformats.org/markup-compatibility/2006">
          <mc:Choice Requires="x14">
            <control shapeId="5201" r:id="rId57" name="Group Box 81">
              <controlPr defaultSize="0" print="0" autoFill="0" autoPict="0">
                <anchor moveWithCells="1">
                  <from>
                    <xdr:col>39</xdr:col>
                    <xdr:colOff>0</xdr:colOff>
                    <xdr:row>8</xdr:row>
                    <xdr:rowOff>0</xdr:rowOff>
                  </from>
                  <to>
                    <xdr:col>54</xdr:col>
                    <xdr:colOff>190500</xdr:colOff>
                    <xdr:row>21</xdr:row>
                    <xdr:rowOff>0</xdr:rowOff>
                  </to>
                </anchor>
              </controlPr>
            </control>
          </mc:Choice>
        </mc:AlternateContent>
        <mc:AlternateContent xmlns:mc="http://schemas.openxmlformats.org/markup-compatibility/2006">
          <mc:Choice Requires="x14">
            <control shapeId="5202" r:id="rId58" name="Option Button 82">
              <controlPr defaultSize="0" autoFill="0" autoLine="0" autoPict="0">
                <anchor moveWithCells="1">
                  <from>
                    <xdr:col>40</xdr:col>
                    <xdr:colOff>9525</xdr:colOff>
                    <xdr:row>8</xdr:row>
                    <xdr:rowOff>9525</xdr:rowOff>
                  </from>
                  <to>
                    <xdr:col>41</xdr:col>
                    <xdr:colOff>114300</xdr:colOff>
                    <xdr:row>8</xdr:row>
                    <xdr:rowOff>219075</xdr:rowOff>
                  </to>
                </anchor>
              </controlPr>
            </control>
          </mc:Choice>
        </mc:AlternateContent>
        <mc:AlternateContent xmlns:mc="http://schemas.openxmlformats.org/markup-compatibility/2006">
          <mc:Choice Requires="x14">
            <control shapeId="5203" r:id="rId59" name="Option Button 83">
              <controlPr defaultSize="0" autoFill="0" autoLine="0" autoPict="0">
                <anchor moveWithCells="1">
                  <from>
                    <xdr:col>40</xdr:col>
                    <xdr:colOff>9525</xdr:colOff>
                    <xdr:row>14</xdr:row>
                    <xdr:rowOff>9525</xdr:rowOff>
                  </from>
                  <to>
                    <xdr:col>41</xdr:col>
                    <xdr:colOff>114300</xdr:colOff>
                    <xdr:row>14</xdr:row>
                    <xdr:rowOff>219075</xdr:rowOff>
                  </to>
                </anchor>
              </controlPr>
            </control>
          </mc:Choice>
        </mc:AlternateContent>
        <mc:AlternateContent xmlns:mc="http://schemas.openxmlformats.org/markup-compatibility/2006">
          <mc:Choice Requires="x14">
            <control shapeId="5204" r:id="rId60" name="Option Button 84">
              <controlPr defaultSize="0" autoFill="0" autoLine="0" autoPict="0">
                <anchor moveWithCells="1">
                  <from>
                    <xdr:col>45</xdr:col>
                    <xdr:colOff>190500</xdr:colOff>
                    <xdr:row>14</xdr:row>
                    <xdr:rowOff>9525</xdr:rowOff>
                  </from>
                  <to>
                    <xdr:col>47</xdr:col>
                    <xdr:colOff>95250</xdr:colOff>
                    <xdr:row>14</xdr:row>
                    <xdr:rowOff>219075</xdr:rowOff>
                  </to>
                </anchor>
              </controlPr>
            </control>
          </mc:Choice>
        </mc:AlternateContent>
        <mc:AlternateContent xmlns:mc="http://schemas.openxmlformats.org/markup-compatibility/2006">
          <mc:Choice Requires="x14">
            <control shapeId="5205" r:id="rId61" name="Option Button 85">
              <controlPr defaultSize="0" autoFill="0" autoLine="0" autoPict="0">
                <anchor moveWithCells="1">
                  <from>
                    <xdr:col>49</xdr:col>
                    <xdr:colOff>0</xdr:colOff>
                    <xdr:row>14</xdr:row>
                    <xdr:rowOff>9525</xdr:rowOff>
                  </from>
                  <to>
                    <xdr:col>50</xdr:col>
                    <xdr:colOff>104775</xdr:colOff>
                    <xdr:row>14</xdr:row>
                    <xdr:rowOff>219075</xdr:rowOff>
                  </to>
                </anchor>
              </controlPr>
            </control>
          </mc:Choice>
        </mc:AlternateContent>
        <mc:AlternateContent xmlns:mc="http://schemas.openxmlformats.org/markup-compatibility/2006">
          <mc:Choice Requires="x14">
            <control shapeId="5206" r:id="rId62" name="Group Box 86">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207" r:id="rId63" name="Option Button 87">
              <controlPr defaultSize="0" autoFill="0" autoLine="0" autoPict="0">
                <anchor moveWithCells="1">
                  <from>
                    <xdr:col>29</xdr:col>
                    <xdr:colOff>0</xdr:colOff>
                    <xdr:row>19</xdr:row>
                    <xdr:rowOff>0</xdr:rowOff>
                  </from>
                  <to>
                    <xdr:col>30</xdr:col>
                    <xdr:colOff>104775</xdr:colOff>
                    <xdr:row>19</xdr:row>
                    <xdr:rowOff>209550</xdr:rowOff>
                  </to>
                </anchor>
              </controlPr>
            </control>
          </mc:Choice>
        </mc:AlternateContent>
        <mc:AlternateContent xmlns:mc="http://schemas.openxmlformats.org/markup-compatibility/2006">
          <mc:Choice Requires="x14">
            <control shapeId="5208" r:id="rId64" name="Group Box 88">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209" r:id="rId65" name="Option Button 89">
              <controlPr defaultSize="0" autoFill="0" autoLine="0" autoPict="0">
                <anchor moveWithCells="1">
                  <from>
                    <xdr:col>39</xdr:col>
                    <xdr:colOff>190500</xdr:colOff>
                    <xdr:row>18</xdr:row>
                    <xdr:rowOff>9525</xdr:rowOff>
                  </from>
                  <to>
                    <xdr:col>41</xdr:col>
                    <xdr:colOff>95250</xdr:colOff>
                    <xdr:row>18</xdr:row>
                    <xdr:rowOff>219075</xdr:rowOff>
                  </to>
                </anchor>
              </controlPr>
            </control>
          </mc:Choice>
        </mc:AlternateContent>
        <mc:AlternateContent xmlns:mc="http://schemas.openxmlformats.org/markup-compatibility/2006">
          <mc:Choice Requires="x14">
            <control shapeId="5210" r:id="rId66" name="Group Box 90">
              <controlPr defaultSize="0" print="0" autoFill="0" autoPict="0">
                <anchor moveWithCells="1">
                  <from>
                    <xdr:col>39</xdr:col>
                    <xdr:colOff>0</xdr:colOff>
                    <xdr:row>17</xdr:row>
                    <xdr:rowOff>219075</xdr:rowOff>
                  </from>
                  <to>
                    <xdr:col>54</xdr:col>
                    <xdr:colOff>190500</xdr:colOff>
                    <xdr:row>20</xdr:row>
                    <xdr:rowOff>219075</xdr:rowOff>
                  </to>
                </anchor>
              </controlPr>
            </control>
          </mc:Choice>
        </mc:AlternateContent>
        <mc:AlternateContent xmlns:mc="http://schemas.openxmlformats.org/markup-compatibility/2006">
          <mc:Choice Requires="x14">
            <control shapeId="5211" r:id="rId67" name="Option Button 91">
              <controlPr defaultSize="0" autoFill="0" autoLine="0" autoPict="0">
                <anchor moveWithCells="1">
                  <from>
                    <xdr:col>39</xdr:col>
                    <xdr:colOff>190500</xdr:colOff>
                    <xdr:row>20</xdr:row>
                    <xdr:rowOff>0</xdr:rowOff>
                  </from>
                  <to>
                    <xdr:col>41</xdr:col>
                    <xdr:colOff>95250</xdr:colOff>
                    <xdr:row>20</xdr:row>
                    <xdr:rowOff>209550</xdr:rowOff>
                  </to>
                </anchor>
              </controlPr>
            </control>
          </mc:Choice>
        </mc:AlternateContent>
        <mc:AlternateContent xmlns:mc="http://schemas.openxmlformats.org/markup-compatibility/2006">
          <mc:Choice Requires="x14">
            <control shapeId="5212" r:id="rId68" name="Group Box 92">
              <controlPr defaultSize="0" print="0" autoFill="0" autoPict="0">
                <anchor moveWithCells="1">
                  <from>
                    <xdr:col>39</xdr:col>
                    <xdr:colOff>0</xdr:colOff>
                    <xdr:row>21</xdr:row>
                    <xdr:rowOff>0</xdr:rowOff>
                  </from>
                  <to>
                    <xdr:col>55</xdr:col>
                    <xdr:colOff>0</xdr:colOff>
                    <xdr:row>28</xdr:row>
                    <xdr:rowOff>0</xdr:rowOff>
                  </to>
                </anchor>
              </controlPr>
            </control>
          </mc:Choice>
        </mc:AlternateContent>
        <mc:AlternateContent xmlns:mc="http://schemas.openxmlformats.org/markup-compatibility/2006">
          <mc:Choice Requires="x14">
            <control shapeId="5213" r:id="rId69" name="Option Button 93">
              <controlPr defaultSize="0" autoFill="0" autoLine="0" autoPict="0">
                <anchor moveWithCells="1">
                  <from>
                    <xdr:col>39</xdr:col>
                    <xdr:colOff>0</xdr:colOff>
                    <xdr:row>21</xdr:row>
                    <xdr:rowOff>19050</xdr:rowOff>
                  </from>
                  <to>
                    <xdr:col>40</xdr:col>
                    <xdr:colOff>104775</xdr:colOff>
                    <xdr:row>22</xdr:row>
                    <xdr:rowOff>0</xdr:rowOff>
                  </to>
                </anchor>
              </controlPr>
            </control>
          </mc:Choice>
        </mc:AlternateContent>
        <mc:AlternateContent xmlns:mc="http://schemas.openxmlformats.org/markup-compatibility/2006">
          <mc:Choice Requires="x14">
            <control shapeId="5214" r:id="rId70" name="Option Button 94">
              <controlPr defaultSize="0" autoFill="0" autoLine="0" autoPict="0">
                <anchor moveWithCells="1">
                  <from>
                    <xdr:col>41</xdr:col>
                    <xdr:colOff>180975</xdr:colOff>
                    <xdr:row>21</xdr:row>
                    <xdr:rowOff>9525</xdr:rowOff>
                  </from>
                  <to>
                    <xdr:col>43</xdr:col>
                    <xdr:colOff>85725</xdr:colOff>
                    <xdr:row>21</xdr:row>
                    <xdr:rowOff>219075</xdr:rowOff>
                  </to>
                </anchor>
              </controlPr>
            </control>
          </mc:Choice>
        </mc:AlternateContent>
        <mc:AlternateContent xmlns:mc="http://schemas.openxmlformats.org/markup-compatibility/2006">
          <mc:Choice Requires="x14">
            <control shapeId="5215" r:id="rId71" name="Option Button 95">
              <controlPr defaultSize="0" autoFill="0" autoLine="0" autoPict="0">
                <anchor moveWithCells="1">
                  <from>
                    <xdr:col>39</xdr:col>
                    <xdr:colOff>0</xdr:colOff>
                    <xdr:row>22</xdr:row>
                    <xdr:rowOff>19050</xdr:rowOff>
                  </from>
                  <to>
                    <xdr:col>40</xdr:col>
                    <xdr:colOff>104775</xdr:colOff>
                    <xdr:row>23</xdr:row>
                    <xdr:rowOff>0</xdr:rowOff>
                  </to>
                </anchor>
              </controlPr>
            </control>
          </mc:Choice>
        </mc:AlternateContent>
        <mc:AlternateContent xmlns:mc="http://schemas.openxmlformats.org/markup-compatibility/2006">
          <mc:Choice Requires="x14">
            <control shapeId="5216" r:id="rId72" name="Option Button 96">
              <controlPr defaultSize="0" autoFill="0" autoLine="0" autoPict="0">
                <anchor moveWithCells="1">
                  <from>
                    <xdr:col>7</xdr:col>
                    <xdr:colOff>9525</xdr:colOff>
                    <xdr:row>41</xdr:row>
                    <xdr:rowOff>0</xdr:rowOff>
                  </from>
                  <to>
                    <xdr:col>8</xdr:col>
                    <xdr:colOff>114300</xdr:colOff>
                    <xdr:row>41</xdr:row>
                    <xdr:rowOff>209550</xdr:rowOff>
                  </to>
                </anchor>
              </controlPr>
            </control>
          </mc:Choice>
        </mc:AlternateContent>
        <mc:AlternateContent xmlns:mc="http://schemas.openxmlformats.org/markup-compatibility/2006">
          <mc:Choice Requires="x14">
            <control shapeId="5217" r:id="rId73" name="Option Button 97">
              <controlPr defaultSize="0" autoFill="0" autoLine="0" autoPict="0">
                <anchor moveWithCells="1">
                  <from>
                    <xdr:col>14</xdr:col>
                    <xdr:colOff>0</xdr:colOff>
                    <xdr:row>41</xdr:row>
                    <xdr:rowOff>0</xdr:rowOff>
                  </from>
                  <to>
                    <xdr:col>15</xdr:col>
                    <xdr:colOff>104775</xdr:colOff>
                    <xdr:row>41</xdr:row>
                    <xdr:rowOff>209550</xdr:rowOff>
                  </to>
                </anchor>
              </controlPr>
            </control>
          </mc:Choice>
        </mc:AlternateContent>
        <mc:AlternateContent xmlns:mc="http://schemas.openxmlformats.org/markup-compatibility/2006">
          <mc:Choice Requires="x14">
            <control shapeId="5218" r:id="rId74" name="Option Button 98">
              <controlPr defaultSize="0" autoFill="0" autoLine="0" autoPict="0">
                <anchor moveWithCells="1">
                  <from>
                    <xdr:col>5</xdr:col>
                    <xdr:colOff>9525</xdr:colOff>
                    <xdr:row>44</xdr:row>
                    <xdr:rowOff>9525</xdr:rowOff>
                  </from>
                  <to>
                    <xdr:col>6</xdr:col>
                    <xdr:colOff>114300</xdr:colOff>
                    <xdr:row>45</xdr:row>
                    <xdr:rowOff>0</xdr:rowOff>
                  </to>
                </anchor>
              </controlPr>
            </control>
          </mc:Choice>
        </mc:AlternateContent>
        <mc:AlternateContent xmlns:mc="http://schemas.openxmlformats.org/markup-compatibility/2006">
          <mc:Choice Requires="x14">
            <control shapeId="5219" r:id="rId75" name="Option Button 99">
              <controlPr defaultSize="0" autoFill="0" autoLine="0" autoPict="0">
                <anchor moveWithCells="1">
                  <from>
                    <xdr:col>5</xdr:col>
                    <xdr:colOff>9525</xdr:colOff>
                    <xdr:row>45</xdr:row>
                    <xdr:rowOff>0</xdr:rowOff>
                  </from>
                  <to>
                    <xdr:col>6</xdr:col>
                    <xdr:colOff>114300</xdr:colOff>
                    <xdr:row>45</xdr:row>
                    <xdr:rowOff>209550</xdr:rowOff>
                  </to>
                </anchor>
              </controlPr>
            </control>
          </mc:Choice>
        </mc:AlternateContent>
        <mc:AlternateContent xmlns:mc="http://schemas.openxmlformats.org/markup-compatibility/2006">
          <mc:Choice Requires="x14">
            <control shapeId="5220" r:id="rId76" name="Option Button 100">
              <controlPr defaultSize="0" autoFill="0" autoLine="0" autoPict="0">
                <anchor moveWithCells="1">
                  <from>
                    <xdr:col>12</xdr:col>
                    <xdr:colOff>0</xdr:colOff>
                    <xdr:row>44</xdr:row>
                    <xdr:rowOff>9525</xdr:rowOff>
                  </from>
                  <to>
                    <xdr:col>13</xdr:col>
                    <xdr:colOff>104775</xdr:colOff>
                    <xdr:row>45</xdr:row>
                    <xdr:rowOff>0</xdr:rowOff>
                  </to>
                </anchor>
              </controlPr>
            </control>
          </mc:Choice>
        </mc:AlternateContent>
        <mc:AlternateContent xmlns:mc="http://schemas.openxmlformats.org/markup-compatibility/2006">
          <mc:Choice Requires="x14">
            <control shapeId="5223" r:id="rId77" name="Option Button 103">
              <controlPr defaultSize="0" autoFill="0" autoLine="0" autoPict="0">
                <anchor moveWithCells="1">
                  <from>
                    <xdr:col>4</xdr:col>
                    <xdr:colOff>0</xdr:colOff>
                    <xdr:row>25</xdr:row>
                    <xdr:rowOff>19050</xdr:rowOff>
                  </from>
                  <to>
                    <xdr:col>5</xdr:col>
                    <xdr:colOff>104775</xdr:colOff>
                    <xdr:row>26</xdr:row>
                    <xdr:rowOff>0</xdr:rowOff>
                  </to>
                </anchor>
              </controlPr>
            </control>
          </mc:Choice>
        </mc:AlternateContent>
        <mc:AlternateContent xmlns:mc="http://schemas.openxmlformats.org/markup-compatibility/2006">
          <mc:Choice Requires="x14">
            <control shapeId="5225" r:id="rId78" name="Group Box 105">
              <controlPr defaultSize="0" print="0" autoFill="0" autoPict="0">
                <anchor moveWithCells="1">
                  <from>
                    <xdr:col>0</xdr:col>
                    <xdr:colOff>0</xdr:colOff>
                    <xdr:row>39</xdr:row>
                    <xdr:rowOff>209550</xdr:rowOff>
                  </from>
                  <to>
                    <xdr:col>21</xdr:col>
                    <xdr:colOff>0</xdr:colOff>
                    <xdr:row>42</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indexed="43"/>
  </sheetPr>
  <dimension ref="A1:BU161"/>
  <sheetViews>
    <sheetView view="pageBreakPreview" zoomScaleNormal="100" workbookViewId="0">
      <selection activeCell="BF6" sqref="BF6"/>
    </sheetView>
  </sheetViews>
  <sheetFormatPr defaultRowHeight="12.75" x14ac:dyDescent="0.25"/>
  <cols>
    <col min="1" max="1" width="3.59765625" customWidth="1"/>
    <col min="2" max="38" width="2.59765625" customWidth="1"/>
    <col min="39" max="39" width="3.59765625" customWidth="1"/>
    <col min="40" max="79" width="2.59765625" customWidth="1"/>
  </cols>
  <sheetData>
    <row r="1" spans="1:60" ht="27.75" customHeight="1" x14ac:dyDescent="0.4">
      <c r="B1" s="376" t="s">
        <v>144</v>
      </c>
      <c r="C1" s="381"/>
      <c r="D1" s="381"/>
      <c r="E1" s="381"/>
      <c r="F1" s="381"/>
      <c r="G1" s="381"/>
      <c r="H1" s="381"/>
      <c r="I1" s="381"/>
      <c r="J1" s="382"/>
      <c r="K1" s="382"/>
      <c r="L1" s="382"/>
      <c r="M1" s="382"/>
      <c r="N1" s="381"/>
      <c r="O1" s="381"/>
      <c r="P1" s="381"/>
      <c r="Q1" s="381"/>
      <c r="R1" s="381"/>
      <c r="S1" s="381"/>
      <c r="T1" s="381"/>
      <c r="U1" s="381"/>
      <c r="V1" s="381"/>
      <c r="W1" s="381"/>
      <c r="X1" s="382"/>
      <c r="Y1" s="382"/>
      <c r="Z1" s="383"/>
      <c r="AA1" s="383"/>
      <c r="AB1" s="382"/>
      <c r="AC1" s="382"/>
      <c r="AD1" s="382"/>
      <c r="AE1" s="382"/>
      <c r="AF1" s="382"/>
      <c r="AG1" s="382"/>
      <c r="AH1" s="384" t="str">
        <f>受注仕様書!C4</f>
        <v>Vol.2.5</v>
      </c>
      <c r="AI1" s="385"/>
      <c r="AJ1" s="385"/>
      <c r="AK1" s="72"/>
      <c r="AL1" s="72"/>
      <c r="AM1" s="72"/>
      <c r="AN1" s="72"/>
      <c r="AO1" s="39"/>
      <c r="AP1" s="40"/>
      <c r="AQ1" s="41" t="s">
        <v>38</v>
      </c>
      <c r="AR1" s="888">
        <f>受注仕様書!AM2</f>
        <v>43257</v>
      </c>
      <c r="AS1" s="889"/>
      <c r="AT1" s="889"/>
      <c r="AU1" s="889"/>
      <c r="AV1" s="889"/>
      <c r="AW1" s="889"/>
      <c r="AX1" s="889"/>
      <c r="AY1" s="889"/>
      <c r="AZ1" s="889"/>
      <c r="BA1" s="889"/>
      <c r="BB1" s="889"/>
      <c r="BC1" s="39"/>
    </row>
    <row r="2" spans="1:60" ht="17.25" customHeight="1" x14ac:dyDescent="0.25">
      <c r="A2" s="41" t="s">
        <v>145</v>
      </c>
      <c r="B2" s="386" t="s">
        <v>43</v>
      </c>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M2" s="72"/>
      <c r="AN2" s="72"/>
      <c r="AO2" s="43"/>
      <c r="AP2" s="43"/>
      <c r="AQ2" s="43"/>
      <c r="AR2" s="43"/>
      <c r="AS2" s="43"/>
      <c r="AT2" s="44" t="s">
        <v>39</v>
      </c>
      <c r="AU2" s="43"/>
      <c r="AV2" s="43"/>
      <c r="AW2" s="43"/>
      <c r="AX2" s="43"/>
      <c r="AY2" s="43"/>
      <c r="AZ2" s="43"/>
      <c r="BA2" s="43"/>
      <c r="BB2" s="43"/>
      <c r="BC2" s="43"/>
    </row>
    <row r="3" spans="1:60" ht="17.25" customHeight="1" thickBot="1" x14ac:dyDescent="0.3">
      <c r="J3" s="72"/>
      <c r="K3" s="72"/>
      <c r="L3" s="72"/>
      <c r="M3" s="72"/>
      <c r="W3" s="797" t="s">
        <v>656</v>
      </c>
      <c r="X3" s="797"/>
      <c r="Y3" s="797"/>
      <c r="Z3" s="797"/>
      <c r="AA3" s="797"/>
      <c r="AB3" s="980" t="s">
        <v>1549</v>
      </c>
      <c r="AC3" s="980"/>
      <c r="AD3" s="980"/>
      <c r="AM3" s="72"/>
      <c r="AN3" s="72"/>
      <c r="AO3" s="72"/>
      <c r="AR3" s="72"/>
      <c r="AS3" s="72"/>
      <c r="BH3" s="42"/>
    </row>
    <row r="4" spans="1:60" ht="17.25" customHeight="1" x14ac:dyDescent="0.25">
      <c r="A4" s="867" t="s">
        <v>45</v>
      </c>
      <c r="B4" s="873" t="s">
        <v>305</v>
      </c>
      <c r="C4" s="873"/>
      <c r="D4" s="873"/>
      <c r="E4" s="873"/>
      <c r="F4" s="873"/>
      <c r="G4" s="873"/>
      <c r="H4" s="870"/>
      <c r="I4" s="870" t="str">
        <f>塗装仕様書!I6</f>
        <v>171963</v>
      </c>
      <c r="J4" s="871"/>
      <c r="K4" s="871"/>
      <c r="L4" s="871"/>
      <c r="M4" s="871"/>
      <c r="N4" s="871"/>
      <c r="O4" s="871"/>
      <c r="P4" s="871"/>
      <c r="Q4" s="871"/>
      <c r="R4" s="871"/>
      <c r="S4" s="871"/>
      <c r="T4" s="872"/>
      <c r="U4" s="133"/>
      <c r="V4" s="55"/>
      <c r="W4" s="42" t="s">
        <v>146</v>
      </c>
      <c r="X4" s="42"/>
      <c r="Y4" s="134"/>
      <c r="Z4" s="134"/>
      <c r="AA4" s="55"/>
      <c r="AR4" s="113"/>
      <c r="AS4" s="113"/>
      <c r="BH4" s="42"/>
    </row>
    <row r="5" spans="1:60" ht="17.25" customHeight="1" x14ac:dyDescent="0.25">
      <c r="A5" s="868"/>
      <c r="B5" s="797" t="s">
        <v>50</v>
      </c>
      <c r="C5" s="797"/>
      <c r="D5" s="797"/>
      <c r="E5" s="797"/>
      <c r="F5" s="797"/>
      <c r="G5" s="797"/>
      <c r="H5" s="866"/>
      <c r="I5" s="866" t="str">
        <f>塗装仕様書!I7</f>
        <v>大八清掃社</v>
      </c>
      <c r="J5" s="856"/>
      <c r="K5" s="856"/>
      <c r="L5" s="856"/>
      <c r="M5" s="856"/>
      <c r="N5" s="856"/>
      <c r="O5" s="856"/>
      <c r="P5" s="856"/>
      <c r="Q5" s="856"/>
      <c r="R5" s="856"/>
      <c r="S5" s="856"/>
      <c r="T5" s="54" t="s">
        <v>308</v>
      </c>
      <c r="U5" s="133"/>
      <c r="V5" s="55"/>
      <c r="W5" s="42" t="s">
        <v>147</v>
      </c>
      <c r="X5" s="42"/>
      <c r="Y5" s="134"/>
      <c r="Z5" s="55"/>
      <c r="AA5" s="55"/>
      <c r="AB5" s="135"/>
      <c r="AC5" s="135"/>
      <c r="AD5" s="135"/>
      <c r="AE5" s="135"/>
      <c r="AF5" s="135"/>
      <c r="AG5" s="135"/>
      <c r="AH5" s="135"/>
      <c r="AI5" s="135"/>
      <c r="AJ5" s="135"/>
      <c r="AK5" s="135"/>
      <c r="AL5" s="135"/>
      <c r="AM5" s="135"/>
      <c r="AN5" s="135"/>
      <c r="AO5" s="135"/>
      <c r="AP5" s="135"/>
      <c r="AQ5" s="135"/>
      <c r="AR5" s="135"/>
      <c r="AS5" s="135"/>
      <c r="BH5" s="136"/>
    </row>
    <row r="6" spans="1:60" ht="17.25" customHeight="1" x14ac:dyDescent="0.25">
      <c r="A6" s="868"/>
      <c r="B6" s="886" t="s">
        <v>52</v>
      </c>
      <c r="C6" s="886"/>
      <c r="D6" s="886"/>
      <c r="E6" s="886"/>
      <c r="F6" s="886"/>
      <c r="G6" s="886"/>
      <c r="H6" s="887"/>
      <c r="I6" s="866" t="str">
        <f>塗装仕様書!I8</f>
        <v>日野</v>
      </c>
      <c r="J6" s="856"/>
      <c r="K6" s="856"/>
      <c r="L6" s="856"/>
      <c r="M6" s="856"/>
      <c r="N6" s="63" t="s">
        <v>53</v>
      </c>
      <c r="O6" s="856">
        <f>塗装仕様書!O8</f>
        <v>0</v>
      </c>
      <c r="P6" s="856"/>
      <c r="Q6" s="856"/>
      <c r="R6" s="856"/>
      <c r="S6" s="856"/>
      <c r="T6" s="54" t="s">
        <v>54</v>
      </c>
      <c r="U6" s="133"/>
      <c r="V6" s="55"/>
      <c r="W6" s="42" t="s">
        <v>148</v>
      </c>
      <c r="X6" s="134"/>
      <c r="Y6" s="137"/>
      <c r="Z6" s="134"/>
      <c r="AA6" s="134"/>
      <c r="AB6" s="138"/>
      <c r="AC6" s="138"/>
      <c r="AD6" s="138"/>
      <c r="AE6" s="138"/>
      <c r="AF6" s="138"/>
      <c r="AG6" s="138"/>
      <c r="AH6" s="138"/>
      <c r="AI6" s="138"/>
      <c r="AJ6" s="138"/>
      <c r="AK6" s="138"/>
      <c r="AL6" s="138"/>
      <c r="AM6" s="138"/>
      <c r="AN6" s="138"/>
      <c r="AO6" s="138"/>
      <c r="AP6" s="139"/>
      <c r="AQ6" s="139"/>
      <c r="AR6" s="139"/>
      <c r="AS6" s="139"/>
      <c r="BH6" s="42"/>
    </row>
    <row r="7" spans="1:60" ht="17.25" customHeight="1" thickBot="1" x14ac:dyDescent="0.3">
      <c r="A7" s="869"/>
      <c r="B7" s="939" t="s">
        <v>57</v>
      </c>
      <c r="C7" s="939"/>
      <c r="D7" s="939"/>
      <c r="E7" s="939"/>
      <c r="F7" s="939"/>
      <c r="G7" s="939"/>
      <c r="H7" s="878"/>
      <c r="I7" s="944" t="str">
        <f>塗装仕様書!I9</f>
        <v>PB681E-N(8.1)</v>
      </c>
      <c r="J7" s="945"/>
      <c r="K7" s="945"/>
      <c r="L7" s="945"/>
      <c r="M7" s="945"/>
      <c r="N7" s="945"/>
      <c r="O7" s="945"/>
      <c r="P7" s="945"/>
      <c r="Q7" s="945"/>
      <c r="R7" s="945"/>
      <c r="S7" s="945"/>
      <c r="T7" s="946"/>
      <c r="U7" s="133"/>
      <c r="V7" s="140"/>
      <c r="W7" s="42" t="s">
        <v>149</v>
      </c>
      <c r="X7" s="42" t="s">
        <v>43</v>
      </c>
      <c r="Y7" s="134"/>
      <c r="Z7" s="134"/>
      <c r="AA7" s="134"/>
      <c r="AB7" s="138"/>
      <c r="AC7" s="138"/>
      <c r="AD7" s="138"/>
      <c r="AE7" s="138"/>
      <c r="AF7" s="138"/>
      <c r="AG7" s="138"/>
      <c r="AH7" s="138"/>
      <c r="AI7" s="138"/>
      <c r="AJ7" s="138"/>
      <c r="AK7" s="138"/>
      <c r="AL7" s="138"/>
      <c r="AM7" s="138"/>
      <c r="AN7" s="138"/>
      <c r="AO7" s="138"/>
      <c r="AP7" s="141"/>
      <c r="AQ7" s="141"/>
      <c r="AR7" s="141"/>
      <c r="AS7" s="141"/>
    </row>
    <row r="8" spans="1:60" ht="17.25" customHeight="1" x14ac:dyDescent="0.25">
      <c r="A8" s="142"/>
      <c r="B8" s="143"/>
      <c r="C8" s="143"/>
      <c r="D8" s="143"/>
      <c r="E8" s="143"/>
      <c r="F8" s="144"/>
      <c r="G8" s="144"/>
      <c r="H8" s="144"/>
      <c r="I8" s="144"/>
      <c r="J8" s="144"/>
      <c r="K8" s="144"/>
      <c r="L8" s="144"/>
      <c r="M8" s="144"/>
      <c r="N8" s="144"/>
      <c r="O8" s="144"/>
      <c r="P8" s="144"/>
      <c r="Q8" s="144"/>
      <c r="R8" s="144"/>
      <c r="S8" s="144"/>
      <c r="T8" s="144"/>
      <c r="U8" s="144"/>
      <c r="V8" s="145"/>
      <c r="W8" s="145"/>
      <c r="X8" s="145"/>
      <c r="Y8" s="145"/>
      <c r="Z8" s="146"/>
      <c r="AA8" s="145"/>
      <c r="AB8" s="145"/>
      <c r="AC8" s="145"/>
      <c r="AD8" s="145"/>
      <c r="AE8" s="145"/>
      <c r="AF8" s="145"/>
      <c r="AG8" s="145"/>
      <c r="AH8" s="145"/>
      <c r="AI8" s="145"/>
      <c r="AJ8" s="145"/>
      <c r="AK8" s="145"/>
      <c r="AL8" s="145"/>
      <c r="AM8" s="145"/>
      <c r="AN8" s="145"/>
      <c r="AO8" s="145"/>
      <c r="AP8" s="145"/>
      <c r="AQ8" s="145"/>
      <c r="AR8" s="145"/>
      <c r="AS8" s="145"/>
      <c r="AT8" s="147"/>
      <c r="AU8" s="147"/>
      <c r="AV8" s="147"/>
      <c r="AW8" s="147"/>
      <c r="AX8" s="147"/>
      <c r="AY8" s="147"/>
      <c r="AZ8" s="147"/>
      <c r="BA8" s="147"/>
      <c r="BB8" s="148"/>
    </row>
    <row r="9" spans="1:60" ht="17.25" customHeight="1" x14ac:dyDescent="0.25">
      <c r="A9" s="149"/>
      <c r="B9" s="150"/>
      <c r="C9" s="150"/>
      <c r="D9" s="150"/>
      <c r="E9" s="150"/>
      <c r="F9" s="151"/>
      <c r="G9" s="151"/>
      <c r="H9" s="151"/>
      <c r="I9" s="151"/>
      <c r="J9" s="151"/>
      <c r="K9" s="151"/>
      <c r="L9" s="151"/>
      <c r="M9" s="151"/>
      <c r="N9" s="151"/>
      <c r="O9" s="151"/>
      <c r="P9" s="151"/>
      <c r="Q9" s="151"/>
      <c r="R9" s="151"/>
      <c r="S9" s="151"/>
      <c r="T9" s="151"/>
      <c r="U9" s="151"/>
      <c r="V9" s="152"/>
      <c r="W9" s="152"/>
      <c r="X9" s="152"/>
      <c r="Y9" s="152"/>
      <c r="Z9" s="152"/>
      <c r="AA9" s="152"/>
      <c r="AB9" s="152"/>
      <c r="AC9" s="152"/>
      <c r="AD9" s="152"/>
      <c r="AE9" s="152"/>
      <c r="AF9" s="152"/>
      <c r="AG9" s="152"/>
      <c r="AH9" s="152"/>
      <c r="AI9" s="152"/>
      <c r="AJ9" s="152"/>
      <c r="AK9" s="152"/>
      <c r="AL9" s="152"/>
      <c r="AM9" s="152"/>
      <c r="AN9" s="152"/>
      <c r="AO9" s="152"/>
      <c r="AP9" s="152"/>
      <c r="AQ9" s="152"/>
      <c r="AR9" s="152"/>
      <c r="AS9" s="152"/>
      <c r="AT9" s="124"/>
      <c r="AU9" s="124"/>
      <c r="AV9" s="124"/>
      <c r="AW9" s="124"/>
      <c r="AX9" s="124"/>
      <c r="AY9" s="124"/>
      <c r="AZ9" s="124"/>
      <c r="BA9" s="124"/>
      <c r="BB9" s="125"/>
    </row>
    <row r="10" spans="1:60" ht="17.25" customHeight="1" x14ac:dyDescent="0.25">
      <c r="A10" s="149"/>
      <c r="B10" s="150"/>
      <c r="C10" s="150"/>
      <c r="D10" s="150"/>
      <c r="E10" s="150"/>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24"/>
      <c r="AU10" s="124"/>
      <c r="AV10" s="124"/>
      <c r="AW10" s="124"/>
      <c r="AX10" s="124"/>
      <c r="AY10" s="124"/>
      <c r="AZ10" s="124"/>
      <c r="BA10" s="124"/>
      <c r="BB10" s="125"/>
    </row>
    <row r="11" spans="1:60" ht="17.25" customHeight="1" x14ac:dyDescent="0.25">
      <c r="A11" s="149"/>
      <c r="B11" s="150"/>
      <c r="C11" s="150"/>
      <c r="D11" s="150"/>
      <c r="E11" s="150"/>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375"/>
      <c r="AU11" s="375"/>
      <c r="AV11" s="375"/>
      <c r="AW11" s="375"/>
      <c r="AX11" s="375"/>
      <c r="AY11" s="375"/>
      <c r="AZ11" s="375"/>
      <c r="BA11" s="375"/>
      <c r="BB11" s="125"/>
    </row>
    <row r="12" spans="1:60" ht="17.25" customHeight="1" x14ac:dyDescent="0.25">
      <c r="A12" s="149"/>
      <c r="B12" s="150"/>
      <c r="C12" s="150"/>
      <c r="D12" s="150"/>
      <c r="E12" s="150"/>
      <c r="F12" s="150"/>
      <c r="G12" s="150"/>
      <c r="H12" s="150"/>
      <c r="I12" s="152"/>
      <c r="J12" s="152"/>
      <c r="K12" s="152"/>
      <c r="L12" s="152"/>
      <c r="M12" s="152"/>
      <c r="N12" s="152"/>
      <c r="O12" s="152"/>
      <c r="P12" s="152"/>
      <c r="Q12" s="152"/>
      <c r="R12" s="152"/>
      <c r="S12" s="152"/>
      <c r="T12" s="152"/>
      <c r="U12" s="152"/>
      <c r="V12" s="152"/>
      <c r="W12" s="152"/>
      <c r="X12" s="152"/>
      <c r="Y12" s="153"/>
      <c r="Z12" s="153"/>
      <c r="AA12" s="153"/>
      <c r="AB12" s="153"/>
      <c r="AC12" s="153"/>
      <c r="AD12" s="153"/>
      <c r="AE12" s="153"/>
      <c r="AF12" s="153"/>
      <c r="AG12" s="153"/>
      <c r="AH12" s="153"/>
      <c r="AI12" s="153"/>
      <c r="AJ12" s="153"/>
      <c r="AK12" s="153"/>
      <c r="AL12" s="153"/>
      <c r="AM12" s="153"/>
      <c r="AN12" s="153"/>
      <c r="AO12" s="153"/>
      <c r="AP12" s="153"/>
      <c r="AQ12" s="153"/>
      <c r="AR12" s="153"/>
      <c r="AS12" s="153"/>
      <c r="AT12" s="124"/>
      <c r="AU12" s="124"/>
      <c r="AV12" s="124"/>
      <c r="AW12" s="124"/>
      <c r="AX12" s="124"/>
      <c r="AY12" s="124"/>
      <c r="AZ12" s="124"/>
      <c r="BA12" s="124"/>
      <c r="BB12" s="125"/>
    </row>
    <row r="13" spans="1:60" ht="17.25" customHeight="1" x14ac:dyDescent="0.25">
      <c r="A13" s="154"/>
      <c r="B13" s="152"/>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0"/>
      <c r="AQ13" s="150"/>
      <c r="AR13" s="150"/>
      <c r="AS13" s="150"/>
      <c r="AT13" s="124"/>
      <c r="AU13" s="124"/>
      <c r="AV13" s="124"/>
      <c r="AW13" s="124"/>
      <c r="AX13" s="124"/>
      <c r="AY13" s="124"/>
      <c r="AZ13" s="124"/>
      <c r="BA13" s="124"/>
      <c r="BB13" s="125"/>
    </row>
    <row r="14" spans="1:60" ht="17.25" customHeight="1" x14ac:dyDescent="0.25">
      <c r="A14" s="154"/>
      <c r="B14" s="152"/>
      <c r="C14" s="152"/>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52"/>
      <c r="AB14" s="152"/>
      <c r="AC14" s="152"/>
      <c r="AD14" s="152"/>
      <c r="AE14" s="152"/>
      <c r="AF14" s="152"/>
      <c r="AG14" s="152"/>
      <c r="AH14" s="152"/>
      <c r="AI14" s="152"/>
      <c r="AJ14" s="152"/>
      <c r="AK14" s="152"/>
      <c r="AL14" s="152"/>
      <c r="AM14" s="152"/>
      <c r="AN14" s="152"/>
      <c r="AO14" s="152"/>
      <c r="AP14" s="155"/>
      <c r="AQ14" s="155"/>
      <c r="AR14" s="155"/>
      <c r="AS14" s="155"/>
      <c r="AT14" s="124"/>
      <c r="AU14" s="124"/>
      <c r="AV14" s="124"/>
      <c r="AW14" s="124"/>
      <c r="AX14" s="124"/>
      <c r="AY14" s="124"/>
      <c r="AZ14" s="124"/>
      <c r="BA14" s="124"/>
      <c r="BB14" s="125"/>
    </row>
    <row r="15" spans="1:60" ht="17.25" customHeight="1" x14ac:dyDescent="0.25">
      <c r="A15" s="154"/>
      <c r="B15" s="152"/>
      <c r="C15" s="152"/>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52"/>
      <c r="AB15" s="152"/>
      <c r="AC15" s="152"/>
      <c r="AD15" s="152"/>
      <c r="AE15" s="152"/>
      <c r="AF15" s="152"/>
      <c r="AG15" s="152"/>
      <c r="AH15" s="152"/>
      <c r="AI15" s="152"/>
      <c r="AJ15" s="152"/>
      <c r="AK15" s="152"/>
      <c r="AL15" s="152"/>
      <c r="AM15" s="152"/>
      <c r="AN15" s="152"/>
      <c r="AO15" s="152"/>
      <c r="AP15" s="152"/>
      <c r="AQ15" s="152"/>
      <c r="AR15" s="152"/>
      <c r="AS15" s="152"/>
      <c r="AT15" s="124"/>
      <c r="AU15" s="124"/>
      <c r="AV15" s="124"/>
      <c r="AW15" s="124"/>
      <c r="AX15" s="124"/>
      <c r="AY15" s="124"/>
      <c r="AZ15" s="124"/>
      <c r="BA15" s="124"/>
      <c r="BB15" s="125"/>
    </row>
    <row r="16" spans="1:60" ht="17.25" customHeight="1" x14ac:dyDescent="0.25">
      <c r="A16" s="154"/>
      <c r="B16" s="152"/>
      <c r="C16" s="152"/>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2"/>
      <c r="AB16" s="152"/>
      <c r="AC16" s="152"/>
      <c r="AD16" s="152"/>
      <c r="AE16" s="152"/>
      <c r="AF16" s="152"/>
      <c r="AG16" s="152"/>
      <c r="AH16" s="152"/>
      <c r="AI16" s="152"/>
      <c r="AJ16" s="152"/>
      <c r="AK16" s="152"/>
      <c r="AL16" s="152"/>
      <c r="AM16" s="152"/>
      <c r="AN16" s="152"/>
      <c r="AO16" s="152"/>
      <c r="AP16" s="152"/>
      <c r="AQ16" s="152"/>
      <c r="AR16" s="152"/>
      <c r="AS16" s="152"/>
      <c r="AT16" s="124"/>
      <c r="AU16" s="124"/>
      <c r="AV16" s="124"/>
      <c r="AW16" s="124"/>
      <c r="AX16" s="124"/>
      <c r="AY16" s="124"/>
      <c r="AZ16" s="124"/>
      <c r="BA16" s="124"/>
      <c r="BB16" s="125"/>
    </row>
    <row r="17" spans="1:73" ht="17.25" customHeight="1" x14ac:dyDescent="0.25">
      <c r="A17" s="154"/>
      <c r="B17" s="152"/>
      <c r="C17" s="152"/>
      <c r="D17" s="152"/>
      <c r="E17" s="152"/>
      <c r="F17" s="152"/>
      <c r="G17" s="152"/>
      <c r="H17" s="152"/>
      <c r="I17" s="152"/>
      <c r="J17" s="152"/>
      <c r="K17" s="152"/>
      <c r="L17" s="152"/>
      <c r="M17" s="152"/>
      <c r="N17" s="152"/>
      <c r="O17" s="152"/>
      <c r="P17" s="152"/>
      <c r="Q17" s="152"/>
      <c r="R17" s="152"/>
      <c r="S17" s="152"/>
      <c r="T17" s="152"/>
      <c r="U17" s="152"/>
      <c r="V17" s="152"/>
      <c r="W17" s="152"/>
      <c r="X17" s="152"/>
      <c r="Y17" s="152"/>
      <c r="Z17" s="152"/>
      <c r="AA17" s="152"/>
      <c r="AB17" s="152"/>
      <c r="AC17" s="152"/>
      <c r="AD17" s="152"/>
      <c r="AE17" s="152"/>
      <c r="AF17" s="152"/>
      <c r="AG17" s="152"/>
      <c r="AH17" s="152"/>
      <c r="AI17" s="152"/>
      <c r="AJ17" s="152"/>
      <c r="AK17" s="152"/>
      <c r="AL17" s="152"/>
      <c r="AM17" s="152"/>
      <c r="AN17" s="152"/>
      <c r="AO17" s="152"/>
      <c r="AP17" s="152"/>
      <c r="AQ17" s="152"/>
      <c r="AR17" s="152"/>
      <c r="AS17" s="152"/>
      <c r="AT17" s="124"/>
      <c r="AU17" s="124"/>
      <c r="AV17" s="124"/>
      <c r="AW17" s="124"/>
      <c r="AX17" s="124"/>
      <c r="AY17" s="124"/>
      <c r="AZ17" s="124"/>
      <c r="BA17" s="124"/>
      <c r="BB17" s="125"/>
    </row>
    <row r="18" spans="1:73" ht="17.25" customHeight="1" x14ac:dyDescent="0.25">
      <c r="A18" s="154"/>
      <c r="B18" s="152"/>
      <c r="C18" s="152"/>
      <c r="D18" s="152"/>
      <c r="E18" s="152"/>
      <c r="F18" s="152"/>
      <c r="G18" s="152"/>
      <c r="H18" s="152"/>
      <c r="I18" s="152"/>
      <c r="J18" s="152"/>
      <c r="K18" s="152"/>
      <c r="L18" s="152"/>
      <c r="M18" s="152"/>
      <c r="N18" s="152"/>
      <c r="O18" s="152"/>
      <c r="P18" s="152"/>
      <c r="Q18" s="152"/>
      <c r="R18" s="152"/>
      <c r="S18" s="152"/>
      <c r="T18" s="152"/>
      <c r="U18" s="152"/>
      <c r="V18" s="152"/>
      <c r="W18" s="152"/>
      <c r="X18" s="152"/>
      <c r="Y18" s="152"/>
      <c r="Z18" s="152"/>
      <c r="AA18" s="152"/>
      <c r="AB18" s="152"/>
      <c r="AC18" s="152"/>
      <c r="AD18" s="152"/>
      <c r="AE18" s="152"/>
      <c r="AF18" s="152"/>
      <c r="AG18" s="152"/>
      <c r="AH18" s="152"/>
      <c r="AI18" s="152"/>
      <c r="AJ18" s="152"/>
      <c r="AK18" s="152"/>
      <c r="AL18" s="152"/>
      <c r="AM18" s="152"/>
      <c r="AN18" s="152"/>
      <c r="AO18" s="152"/>
      <c r="AP18" s="152"/>
      <c r="AQ18" s="152"/>
      <c r="AR18" s="152"/>
      <c r="AS18" s="152"/>
      <c r="AT18" s="124"/>
      <c r="AU18" s="124"/>
      <c r="AV18" s="124"/>
      <c r="AW18" s="124"/>
      <c r="AX18" s="124"/>
      <c r="AY18" s="124"/>
      <c r="AZ18" s="124"/>
      <c r="BA18" s="124"/>
      <c r="BB18" s="125"/>
    </row>
    <row r="19" spans="1:73" ht="17.25" customHeight="1" x14ac:dyDescent="0.25">
      <c r="A19" s="156"/>
      <c r="B19" s="153"/>
      <c r="C19" s="153"/>
      <c r="D19" s="153"/>
      <c r="E19" s="153"/>
      <c r="F19" s="153"/>
      <c r="G19" s="153"/>
      <c r="H19" s="153"/>
      <c r="I19" s="153"/>
      <c r="J19" s="153"/>
      <c r="K19" s="153"/>
      <c r="L19" s="153"/>
      <c r="M19" s="153"/>
      <c r="N19" s="153"/>
      <c r="O19" s="153"/>
      <c r="P19" s="153"/>
      <c r="Q19" s="153"/>
      <c r="R19" s="153"/>
      <c r="S19" s="153"/>
      <c r="T19" s="153"/>
      <c r="U19" s="153"/>
      <c r="V19" s="152"/>
      <c r="W19" s="152"/>
      <c r="X19" s="152"/>
      <c r="Y19" s="153"/>
      <c r="Z19" s="153"/>
      <c r="AA19" s="153"/>
      <c r="AB19" s="153"/>
      <c r="AC19" s="153"/>
      <c r="AD19" s="153"/>
      <c r="AE19" s="153"/>
      <c r="AF19" s="153"/>
      <c r="AG19" s="153"/>
      <c r="AH19" s="153"/>
      <c r="AI19" s="153"/>
      <c r="AJ19" s="153"/>
      <c r="AK19" s="153"/>
      <c r="AL19" s="153"/>
      <c r="AM19" s="153"/>
      <c r="AN19" s="153"/>
      <c r="AO19" s="153"/>
      <c r="AP19" s="153"/>
      <c r="AQ19" s="153"/>
      <c r="AR19" s="153"/>
      <c r="AS19" s="153"/>
      <c r="AT19" s="124"/>
      <c r="AU19" s="124"/>
      <c r="AV19" s="124"/>
      <c r="AW19" s="124"/>
      <c r="AX19" s="124"/>
      <c r="AY19" s="124"/>
      <c r="AZ19" s="124"/>
      <c r="BA19" s="124"/>
      <c r="BB19" s="125"/>
    </row>
    <row r="20" spans="1:73" ht="17.25" customHeight="1" x14ac:dyDescent="0.25">
      <c r="A20" s="154"/>
      <c r="B20" s="152"/>
      <c r="C20" s="152"/>
      <c r="D20" s="152"/>
      <c r="E20" s="152"/>
      <c r="F20" s="152"/>
      <c r="G20" s="152"/>
      <c r="H20" s="152"/>
      <c r="I20" s="152"/>
      <c r="J20" s="152"/>
      <c r="K20" s="152"/>
      <c r="L20" s="152"/>
      <c r="M20" s="152"/>
      <c r="N20" s="152"/>
      <c r="O20" s="152"/>
      <c r="P20" s="152"/>
      <c r="Q20" s="152"/>
      <c r="R20" s="150"/>
      <c r="S20" s="150"/>
      <c r="T20" s="150"/>
      <c r="U20" s="150"/>
      <c r="V20" s="152"/>
      <c r="W20" s="152"/>
      <c r="X20" s="152"/>
      <c r="Y20" s="152"/>
      <c r="Z20" s="152"/>
      <c r="AA20" s="152"/>
      <c r="AB20" s="152"/>
      <c r="AC20" s="152"/>
      <c r="AD20" s="152"/>
      <c r="AE20" s="152"/>
      <c r="AF20" s="152"/>
      <c r="AG20" s="152"/>
      <c r="AH20" s="152"/>
      <c r="AI20" s="152"/>
      <c r="AJ20" s="152"/>
      <c r="AK20" s="152"/>
      <c r="AL20" s="152"/>
      <c r="AM20" s="152"/>
      <c r="AN20" s="152"/>
      <c r="AO20" s="152"/>
      <c r="AP20" s="150"/>
      <c r="AQ20" s="150"/>
      <c r="AR20" s="150"/>
      <c r="AS20" s="150"/>
      <c r="AT20" s="124"/>
      <c r="AU20" s="124"/>
      <c r="AV20" s="124"/>
      <c r="AW20" s="124"/>
      <c r="AX20" s="124"/>
      <c r="AY20" s="124"/>
      <c r="AZ20" s="124"/>
      <c r="BA20" s="124"/>
      <c r="BB20" s="125"/>
    </row>
    <row r="21" spans="1:73" ht="17.25" customHeight="1" x14ac:dyDescent="0.25">
      <c r="A21" s="157"/>
      <c r="B21" s="158"/>
      <c r="C21" s="152"/>
      <c r="D21" s="152"/>
      <c r="E21" s="152"/>
      <c r="F21" s="152"/>
      <c r="G21" s="152"/>
      <c r="H21" s="152"/>
      <c r="I21" s="152"/>
      <c r="J21" s="152"/>
      <c r="K21" s="152"/>
      <c r="L21" s="152"/>
      <c r="M21" s="152"/>
      <c r="N21" s="152"/>
      <c r="O21" s="152"/>
      <c r="P21" s="152"/>
      <c r="Q21" s="152"/>
      <c r="R21" s="155"/>
      <c r="S21" s="155"/>
      <c r="T21" s="155"/>
      <c r="U21" s="155"/>
      <c r="V21" s="152"/>
      <c r="W21" s="152"/>
      <c r="X21" s="152"/>
      <c r="Y21" s="152"/>
      <c r="Z21" s="152"/>
      <c r="AA21" s="152"/>
      <c r="AB21" s="152"/>
      <c r="AC21" s="152"/>
      <c r="AD21" s="152"/>
      <c r="AE21" s="152"/>
      <c r="AF21" s="152"/>
      <c r="AG21" s="152"/>
      <c r="AH21" s="152"/>
      <c r="AI21" s="152"/>
      <c r="AJ21" s="152"/>
      <c r="AK21" s="152"/>
      <c r="AL21" s="152"/>
      <c r="AM21" s="152"/>
      <c r="AN21" s="152"/>
      <c r="AO21" s="152"/>
      <c r="AP21" s="155"/>
      <c r="AQ21" s="155"/>
      <c r="AR21" s="155"/>
      <c r="AS21" s="155"/>
      <c r="AT21" s="124"/>
      <c r="AU21" s="124"/>
      <c r="AV21" s="124"/>
      <c r="AW21" s="124"/>
      <c r="AX21" s="124"/>
      <c r="AY21" s="124"/>
      <c r="AZ21" s="124"/>
      <c r="BA21" s="124"/>
      <c r="BB21" s="125"/>
    </row>
    <row r="22" spans="1:73" ht="17.25" customHeight="1" x14ac:dyDescent="0.25">
      <c r="A22" s="154"/>
      <c r="B22" s="158"/>
      <c r="C22" s="152"/>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24"/>
      <c r="AU22" s="124"/>
      <c r="AV22" s="124"/>
      <c r="AW22" s="124"/>
      <c r="AX22" s="124"/>
      <c r="AY22" s="124"/>
      <c r="AZ22" s="124"/>
      <c r="BA22" s="124"/>
      <c r="BB22" s="125"/>
    </row>
    <row r="23" spans="1:73" ht="17.25" customHeight="1" x14ac:dyDescent="0.25">
      <c r="A23" s="154"/>
      <c r="B23" s="152"/>
      <c r="C23" s="152"/>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152"/>
      <c r="AB23" s="152"/>
      <c r="AC23" s="152"/>
      <c r="AD23" s="152"/>
      <c r="AE23" s="152"/>
      <c r="AF23" s="152"/>
      <c r="AG23" s="152"/>
      <c r="AH23" s="152"/>
      <c r="AI23" s="152"/>
      <c r="AJ23" s="152"/>
      <c r="AK23" s="152"/>
      <c r="AL23" s="152"/>
      <c r="AM23" s="152"/>
      <c r="AN23" s="152"/>
      <c r="AO23" s="152"/>
      <c r="AP23" s="152"/>
      <c r="AQ23" s="152"/>
      <c r="AR23" s="152"/>
      <c r="AS23" s="152"/>
      <c r="AT23" s="124"/>
      <c r="AU23" s="124"/>
      <c r="AV23" s="124"/>
      <c r="AW23" s="124"/>
      <c r="AX23" s="124"/>
      <c r="AY23" s="124"/>
      <c r="AZ23" s="124"/>
      <c r="BA23" s="124"/>
      <c r="BB23" s="125"/>
    </row>
    <row r="24" spans="1:73" ht="17.25" customHeight="1" x14ac:dyDescent="0.25">
      <c r="A24" s="154"/>
      <c r="B24" s="152"/>
      <c r="C24" s="152"/>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152"/>
      <c r="AB24" s="152"/>
      <c r="AC24" s="152"/>
      <c r="AD24" s="152"/>
      <c r="AE24" s="152"/>
      <c r="AF24" s="152"/>
      <c r="AG24" s="152"/>
      <c r="AH24" s="152"/>
      <c r="AI24" s="152"/>
      <c r="AJ24" s="152"/>
      <c r="AK24" s="152"/>
      <c r="AL24" s="152"/>
      <c r="AM24" s="152"/>
      <c r="AN24" s="152"/>
      <c r="AO24" s="152"/>
      <c r="AP24" s="152"/>
      <c r="AQ24" s="152"/>
      <c r="AR24" s="152"/>
      <c r="AS24" s="152"/>
      <c r="AT24" s="124"/>
      <c r="AU24" s="124"/>
      <c r="AV24" s="124"/>
      <c r="AW24" s="124"/>
      <c r="AX24" s="124"/>
      <c r="AY24" s="124"/>
      <c r="AZ24" s="124"/>
      <c r="BA24" s="124"/>
      <c r="BB24" s="125"/>
    </row>
    <row r="25" spans="1:73" ht="17.25" customHeight="1" x14ac:dyDescent="0.25">
      <c r="A25" s="159"/>
      <c r="B25" s="124"/>
      <c r="C25" s="124"/>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5"/>
    </row>
    <row r="26" spans="1:73" ht="17.25" customHeight="1" x14ac:dyDescent="0.25">
      <c r="A26" s="159"/>
      <c r="B26" s="124"/>
      <c r="C26" s="124"/>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5"/>
      <c r="BC26" s="72"/>
      <c r="BD26" s="72"/>
      <c r="BE26" s="72"/>
      <c r="BF26" s="72"/>
      <c r="BG26" s="72"/>
      <c r="BH26" s="72"/>
      <c r="BI26" s="72"/>
      <c r="BJ26" s="72"/>
      <c r="BK26" s="72"/>
      <c r="BL26" s="72"/>
      <c r="BM26" s="72"/>
      <c r="BN26" s="72"/>
      <c r="BO26" s="72"/>
      <c r="BP26" s="72"/>
      <c r="BQ26" s="72"/>
      <c r="BR26" s="72"/>
      <c r="BS26" s="72"/>
      <c r="BT26" s="72"/>
      <c r="BU26" s="72"/>
    </row>
    <row r="27" spans="1:73" ht="17.25" customHeight="1" x14ac:dyDescent="0.25">
      <c r="A27" s="159"/>
      <c r="B27" s="124"/>
      <c r="C27" s="124"/>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5"/>
      <c r="BC27" s="72"/>
      <c r="BD27" s="72"/>
      <c r="BE27" s="72"/>
      <c r="BF27" s="72"/>
      <c r="BG27" s="72"/>
      <c r="BH27" s="72"/>
      <c r="BI27" s="72"/>
      <c r="BJ27" s="72"/>
      <c r="BK27" s="72"/>
      <c r="BL27" s="72"/>
      <c r="BM27" s="72"/>
      <c r="BN27" s="72"/>
      <c r="BO27" s="72"/>
      <c r="BP27" s="72"/>
      <c r="BQ27" s="72"/>
      <c r="BR27" s="72"/>
      <c r="BS27" s="72"/>
      <c r="BT27" s="72"/>
      <c r="BU27" s="72"/>
    </row>
    <row r="28" spans="1:73" ht="17.25" customHeight="1" x14ac:dyDescent="0.25">
      <c r="A28" s="159"/>
      <c r="B28" s="124"/>
      <c r="C28" s="124"/>
      <c r="D28" s="124"/>
      <c r="E28" s="124"/>
      <c r="F28" s="124"/>
      <c r="G28" s="124"/>
      <c r="H28" s="124"/>
      <c r="I28" s="124"/>
      <c r="J28" s="124"/>
      <c r="K28" s="124"/>
      <c r="L28" s="124"/>
      <c r="M28" s="124"/>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5"/>
      <c r="BC28" s="72"/>
      <c r="BD28" s="72"/>
      <c r="BE28" s="72"/>
      <c r="BF28" s="72"/>
      <c r="BG28" s="72"/>
      <c r="BH28" s="95"/>
      <c r="BI28" s="55"/>
      <c r="BJ28" s="72"/>
      <c r="BK28" s="72"/>
      <c r="BL28" s="72"/>
      <c r="BM28" s="72"/>
      <c r="BN28" s="72"/>
      <c r="BO28" s="72"/>
      <c r="BP28" s="72"/>
      <c r="BQ28" s="96"/>
      <c r="BR28" s="72"/>
      <c r="BS28" s="72"/>
      <c r="BT28" s="72"/>
      <c r="BU28" s="72"/>
    </row>
    <row r="29" spans="1:73" ht="17.25" customHeight="1" x14ac:dyDescent="0.25">
      <c r="A29" s="159"/>
      <c r="B29" s="124"/>
      <c r="C29" s="124"/>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5"/>
      <c r="BC29" s="72"/>
      <c r="BD29" s="72"/>
      <c r="BE29" s="55"/>
      <c r="BF29" s="72"/>
      <c r="BG29" s="72"/>
      <c r="BH29" s="55"/>
      <c r="BI29" s="55"/>
      <c r="BJ29" s="72"/>
      <c r="BK29" s="72"/>
      <c r="BL29" s="72"/>
      <c r="BM29" s="72"/>
      <c r="BN29" s="72"/>
      <c r="BO29" s="72"/>
      <c r="BP29" s="72"/>
      <c r="BQ29" s="96"/>
      <c r="BR29" s="72"/>
      <c r="BS29" s="72"/>
      <c r="BT29" s="72"/>
      <c r="BU29" s="72"/>
    </row>
    <row r="30" spans="1:73" ht="17.25" customHeight="1" x14ac:dyDescent="0.25">
      <c r="A30" s="159"/>
      <c r="B30" s="124"/>
      <c r="C30" s="124"/>
      <c r="D30" s="124"/>
      <c r="E30" s="124"/>
      <c r="F30" s="124"/>
      <c r="G30" s="124"/>
      <c r="H30" s="124"/>
      <c r="I30" s="124"/>
      <c r="J30" s="124"/>
      <c r="K30" s="124"/>
      <c r="L30" s="124"/>
      <c r="M30" s="124"/>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5"/>
      <c r="BC30" s="72"/>
      <c r="BD30" s="72"/>
      <c r="BE30" s="72"/>
      <c r="BF30" s="72"/>
      <c r="BG30" s="72"/>
      <c r="BH30" s="72"/>
      <c r="BI30" s="72"/>
      <c r="BJ30" s="72"/>
      <c r="BK30" s="72"/>
      <c r="BL30" s="72"/>
      <c r="BM30" s="72"/>
      <c r="BN30" s="72"/>
      <c r="BO30" s="72"/>
      <c r="BP30" s="72"/>
      <c r="BQ30" s="72"/>
      <c r="BR30" s="72"/>
      <c r="BS30" s="72"/>
      <c r="BT30" s="72"/>
      <c r="BU30" s="72"/>
    </row>
    <row r="31" spans="1:73" ht="17.25" customHeight="1" x14ac:dyDescent="0.25">
      <c r="A31" s="159"/>
      <c r="B31" s="124"/>
      <c r="C31" s="124"/>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5"/>
    </row>
    <row r="32" spans="1:73" ht="17.25" customHeight="1" thickBot="1" x14ac:dyDescent="0.3">
      <c r="A32" s="160"/>
      <c r="B32" s="130"/>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1"/>
    </row>
    <row r="33" spans="1:60" ht="17.25" customHeight="1" x14ac:dyDescent="0.25"/>
    <row r="34" spans="1:60" ht="27.75" customHeight="1" x14ac:dyDescent="0.4">
      <c r="B34" s="376" t="s">
        <v>144</v>
      </c>
      <c r="C34" s="381"/>
      <c r="D34" s="381"/>
      <c r="E34" s="381"/>
      <c r="F34" s="381"/>
      <c r="G34" s="381"/>
      <c r="H34" s="381"/>
      <c r="I34" s="381"/>
      <c r="J34" s="382"/>
      <c r="K34" s="382"/>
      <c r="L34" s="382"/>
      <c r="M34" s="382"/>
      <c r="N34" s="381"/>
      <c r="O34" s="381"/>
      <c r="P34" s="381"/>
      <c r="Q34" s="381"/>
      <c r="R34" s="381"/>
      <c r="S34" s="381"/>
      <c r="T34" s="381"/>
      <c r="U34" s="381"/>
      <c r="V34" s="381"/>
      <c r="W34" s="381"/>
      <c r="X34" s="382"/>
      <c r="Y34" s="382"/>
      <c r="Z34" s="383"/>
      <c r="AA34" s="383"/>
      <c r="AB34" s="382"/>
      <c r="AC34" s="382"/>
      <c r="AD34" s="382"/>
      <c r="AE34" s="382"/>
      <c r="AF34" s="382"/>
      <c r="AG34" s="382"/>
      <c r="AH34" s="384" t="str">
        <f>AH1</f>
        <v>Vol.2.5</v>
      </c>
      <c r="AI34" s="385"/>
      <c r="AJ34" s="385"/>
      <c r="AK34" s="72"/>
      <c r="AL34" s="72"/>
      <c r="AM34" s="72"/>
      <c r="AN34" s="72"/>
      <c r="AO34" s="39"/>
      <c r="AP34" s="40"/>
      <c r="AQ34" s="41" t="s">
        <v>38</v>
      </c>
      <c r="AR34" s="888">
        <f>AR1</f>
        <v>43257</v>
      </c>
      <c r="AS34" s="889"/>
      <c r="AT34" s="889"/>
      <c r="AU34" s="889"/>
      <c r="AV34" s="889"/>
      <c r="AW34" s="889"/>
      <c r="AX34" s="889"/>
      <c r="AY34" s="889"/>
      <c r="AZ34" s="889"/>
      <c r="BA34" s="889"/>
      <c r="BB34" s="889"/>
      <c r="BC34" s="39"/>
    </row>
    <row r="35" spans="1:60" ht="17.25" customHeight="1" x14ac:dyDescent="0.25">
      <c r="A35" s="41" t="s">
        <v>145</v>
      </c>
      <c r="B35" s="46" t="s">
        <v>43</v>
      </c>
      <c r="J35" s="72"/>
      <c r="K35" s="72"/>
      <c r="L35" s="72"/>
      <c r="M35" s="72"/>
      <c r="X35" s="72"/>
      <c r="Y35" s="72"/>
      <c r="Z35" s="72"/>
      <c r="AM35" s="72"/>
      <c r="AN35" s="72"/>
      <c r="AO35" s="43"/>
      <c r="AP35" s="43"/>
      <c r="AQ35" s="43"/>
      <c r="AR35" s="43"/>
      <c r="AS35" s="43"/>
      <c r="AT35" s="44" t="s">
        <v>39</v>
      </c>
      <c r="AU35" s="43"/>
      <c r="AV35" s="43"/>
      <c r="AW35" s="43"/>
      <c r="AX35" s="43"/>
      <c r="AY35" s="43"/>
      <c r="AZ35" s="43"/>
      <c r="BA35" s="43"/>
      <c r="BB35" s="43"/>
      <c r="BC35" s="43"/>
    </row>
    <row r="36" spans="1:60" ht="17.25" customHeight="1" thickBot="1" x14ac:dyDescent="0.3">
      <c r="J36" s="72"/>
      <c r="K36" s="72"/>
      <c r="L36" s="72"/>
      <c r="M36" s="72"/>
      <c r="W36" s="797" t="s">
        <v>656</v>
      </c>
      <c r="X36" s="797"/>
      <c r="Y36" s="797"/>
      <c r="Z36" s="797"/>
      <c r="AA36" s="797"/>
      <c r="AB36" s="980"/>
      <c r="AC36" s="980"/>
      <c r="AD36" s="980"/>
      <c r="AM36" s="72"/>
      <c r="AN36" s="72"/>
      <c r="AO36" s="72"/>
      <c r="AR36" s="72"/>
      <c r="AS36" s="72"/>
      <c r="BH36" s="42"/>
    </row>
    <row r="37" spans="1:60" ht="17.25" customHeight="1" x14ac:dyDescent="0.25">
      <c r="A37" s="867" t="s">
        <v>45</v>
      </c>
      <c r="B37" s="873" t="s">
        <v>305</v>
      </c>
      <c r="C37" s="873"/>
      <c r="D37" s="873"/>
      <c r="E37" s="873"/>
      <c r="F37" s="873"/>
      <c r="G37" s="873"/>
      <c r="H37" s="870"/>
      <c r="I37" s="870" t="str">
        <f>I4</f>
        <v>171963</v>
      </c>
      <c r="J37" s="871"/>
      <c r="K37" s="871"/>
      <c r="L37" s="871"/>
      <c r="M37" s="871"/>
      <c r="N37" s="871"/>
      <c r="O37" s="871"/>
      <c r="P37" s="871"/>
      <c r="Q37" s="871"/>
      <c r="R37" s="871"/>
      <c r="S37" s="871"/>
      <c r="T37" s="872"/>
      <c r="U37" s="133"/>
      <c r="V37" s="55"/>
      <c r="W37" s="42" t="s">
        <v>146</v>
      </c>
      <c r="X37" s="42"/>
      <c r="Y37" s="134"/>
      <c r="Z37" s="134"/>
      <c r="AA37" s="55"/>
      <c r="AR37" s="113"/>
      <c r="AS37" s="113"/>
      <c r="BH37" s="42"/>
    </row>
    <row r="38" spans="1:60" ht="17.25" customHeight="1" x14ac:dyDescent="0.25">
      <c r="A38" s="868"/>
      <c r="B38" s="797" t="s">
        <v>50</v>
      </c>
      <c r="C38" s="797"/>
      <c r="D38" s="797"/>
      <c r="E38" s="797"/>
      <c r="F38" s="797"/>
      <c r="G38" s="797"/>
      <c r="H38" s="866"/>
      <c r="I38" s="866" t="str">
        <f>I5</f>
        <v>大八清掃社</v>
      </c>
      <c r="J38" s="856"/>
      <c r="K38" s="856"/>
      <c r="L38" s="856"/>
      <c r="M38" s="856"/>
      <c r="N38" s="856"/>
      <c r="O38" s="856"/>
      <c r="P38" s="856"/>
      <c r="Q38" s="856"/>
      <c r="R38" s="856"/>
      <c r="S38" s="856"/>
      <c r="T38" s="54" t="s">
        <v>308</v>
      </c>
      <c r="U38" s="133"/>
      <c r="V38" s="55"/>
      <c r="W38" s="42" t="s">
        <v>147</v>
      </c>
      <c r="X38" s="42"/>
      <c r="Y38" s="134"/>
      <c r="Z38" s="55"/>
      <c r="AA38" s="55"/>
      <c r="AB38" s="135"/>
      <c r="AC38" s="135"/>
      <c r="AD38" s="135"/>
      <c r="AE38" s="135"/>
      <c r="AF38" s="135"/>
      <c r="AG38" s="135"/>
      <c r="AH38" s="135"/>
      <c r="AI38" s="135"/>
      <c r="AJ38" s="135"/>
      <c r="AK38" s="135"/>
      <c r="AL38" s="135"/>
      <c r="AM38" s="135"/>
      <c r="AN38" s="135"/>
      <c r="AO38" s="135"/>
      <c r="AP38" s="135"/>
      <c r="AQ38" s="135"/>
      <c r="AR38" s="135"/>
      <c r="AS38" s="135"/>
      <c r="BH38" s="136"/>
    </row>
    <row r="39" spans="1:60" ht="17.25" customHeight="1" x14ac:dyDescent="0.25">
      <c r="A39" s="868"/>
      <c r="B39" s="886" t="s">
        <v>52</v>
      </c>
      <c r="C39" s="886"/>
      <c r="D39" s="886"/>
      <c r="E39" s="886"/>
      <c r="F39" s="886"/>
      <c r="G39" s="886"/>
      <c r="H39" s="887"/>
      <c r="I39" s="866" t="str">
        <f>I6</f>
        <v>日野</v>
      </c>
      <c r="J39" s="856"/>
      <c r="K39" s="856"/>
      <c r="L39" s="856"/>
      <c r="M39" s="856"/>
      <c r="N39" s="63" t="s">
        <v>53</v>
      </c>
      <c r="O39" s="856">
        <f>O6</f>
        <v>0</v>
      </c>
      <c r="P39" s="856"/>
      <c r="Q39" s="856"/>
      <c r="R39" s="856"/>
      <c r="S39" s="856"/>
      <c r="T39" s="54" t="s">
        <v>54</v>
      </c>
      <c r="U39" s="133"/>
      <c r="V39" s="55"/>
      <c r="W39" s="42" t="s">
        <v>148</v>
      </c>
      <c r="X39" s="134"/>
      <c r="Y39" s="137"/>
      <c r="Z39" s="134"/>
      <c r="AA39" s="134"/>
      <c r="AB39" s="138"/>
      <c r="AC39" s="138"/>
      <c r="AD39" s="138"/>
      <c r="AE39" s="138"/>
      <c r="AF39" s="138"/>
      <c r="AG39" s="138"/>
      <c r="AH39" s="138"/>
      <c r="AI39" s="138"/>
      <c r="AJ39" s="138"/>
      <c r="AK39" s="138"/>
      <c r="AL39" s="138"/>
      <c r="AM39" s="138"/>
      <c r="AN39" s="138"/>
      <c r="AO39" s="138"/>
      <c r="AP39" s="139"/>
      <c r="AQ39" s="139"/>
      <c r="AR39" s="139"/>
      <c r="AS39" s="139"/>
      <c r="BH39" s="42"/>
    </row>
    <row r="40" spans="1:60" ht="17.25" customHeight="1" thickBot="1" x14ac:dyDescent="0.3">
      <c r="A40" s="869"/>
      <c r="B40" s="939" t="s">
        <v>57</v>
      </c>
      <c r="C40" s="939"/>
      <c r="D40" s="939"/>
      <c r="E40" s="939"/>
      <c r="F40" s="939"/>
      <c r="G40" s="939"/>
      <c r="H40" s="878"/>
      <c r="I40" s="944" t="str">
        <f>I7</f>
        <v>PB681E-N(8.1)</v>
      </c>
      <c r="J40" s="945"/>
      <c r="K40" s="945"/>
      <c r="L40" s="945"/>
      <c r="M40" s="945"/>
      <c r="N40" s="945"/>
      <c r="O40" s="945"/>
      <c r="P40" s="945"/>
      <c r="Q40" s="945"/>
      <c r="R40" s="945"/>
      <c r="S40" s="945"/>
      <c r="T40" s="946"/>
      <c r="U40" s="133"/>
      <c r="V40" s="140"/>
      <c r="W40" s="42" t="s">
        <v>149</v>
      </c>
      <c r="X40" s="42" t="s">
        <v>43</v>
      </c>
      <c r="Y40" s="134"/>
      <c r="Z40" s="134"/>
      <c r="AA40" s="134"/>
      <c r="AB40" s="138"/>
      <c r="AC40" s="138"/>
      <c r="AD40" s="138"/>
      <c r="AE40" s="138"/>
      <c r="AF40" s="138"/>
      <c r="AG40" s="138"/>
      <c r="AH40" s="138"/>
      <c r="AI40" s="138"/>
      <c r="AJ40" s="138"/>
      <c r="AK40" s="138"/>
      <c r="AL40" s="138"/>
      <c r="AM40" s="138"/>
      <c r="AN40" s="138"/>
      <c r="AO40" s="138"/>
      <c r="AP40" s="141"/>
      <c r="AQ40" s="141"/>
      <c r="AR40" s="141"/>
      <c r="AS40" s="141"/>
    </row>
    <row r="41" spans="1:60" ht="17.25" customHeight="1" x14ac:dyDescent="0.25">
      <c r="A41" s="142"/>
      <c r="B41" s="143"/>
      <c r="C41" s="143"/>
      <c r="D41" s="143"/>
      <c r="E41" s="143"/>
      <c r="F41" s="144"/>
      <c r="G41" s="144"/>
      <c r="H41" s="144"/>
      <c r="I41" s="144"/>
      <c r="J41" s="144"/>
      <c r="K41" s="144"/>
      <c r="L41" s="144"/>
      <c r="M41" s="144"/>
      <c r="N41" s="144"/>
      <c r="O41" s="144"/>
      <c r="P41" s="144"/>
      <c r="Q41" s="144"/>
      <c r="R41" s="144"/>
      <c r="S41" s="144"/>
      <c r="T41" s="144"/>
      <c r="U41" s="144"/>
      <c r="V41" s="145"/>
      <c r="W41" s="145"/>
      <c r="X41" s="145"/>
      <c r="Y41" s="145"/>
      <c r="Z41" s="146"/>
      <c r="AA41" s="145"/>
      <c r="AB41" s="145"/>
      <c r="AC41" s="145"/>
      <c r="AD41" s="145"/>
      <c r="AE41" s="145"/>
      <c r="AF41" s="145"/>
      <c r="AG41" s="145"/>
      <c r="AH41" s="145"/>
      <c r="AI41" s="145"/>
      <c r="AJ41" s="145"/>
      <c r="AK41" s="145"/>
      <c r="AL41" s="145"/>
      <c r="AM41" s="145"/>
      <c r="AN41" s="145"/>
      <c r="AO41" s="145"/>
      <c r="AP41" s="145"/>
      <c r="AQ41" s="145"/>
      <c r="AR41" s="145"/>
      <c r="AS41" s="145"/>
      <c r="AT41" s="147"/>
      <c r="AU41" s="147"/>
      <c r="AV41" s="147"/>
      <c r="AW41" s="147"/>
      <c r="AX41" s="147"/>
      <c r="AY41" s="147"/>
      <c r="AZ41" s="147"/>
      <c r="BA41" s="147"/>
      <c r="BB41" s="148"/>
    </row>
    <row r="42" spans="1:60" ht="17.25" customHeight="1" x14ac:dyDescent="0.25">
      <c r="A42" s="149"/>
      <c r="B42" s="150"/>
      <c r="C42" s="150"/>
      <c r="D42" s="150"/>
      <c r="E42" s="150"/>
      <c r="F42" s="151"/>
      <c r="G42" s="151"/>
      <c r="H42" s="151"/>
      <c r="I42" s="151"/>
      <c r="J42" s="151"/>
      <c r="K42" s="151"/>
      <c r="L42" s="151"/>
      <c r="M42" s="151"/>
      <c r="N42" s="151"/>
      <c r="O42" s="151"/>
      <c r="P42" s="151"/>
      <c r="Q42" s="151"/>
      <c r="R42" s="151"/>
      <c r="S42" s="151"/>
      <c r="T42" s="151"/>
      <c r="U42" s="151"/>
      <c r="V42" s="152"/>
      <c r="W42" s="152"/>
      <c r="X42" s="152"/>
      <c r="Y42" s="152"/>
      <c r="Z42" s="152"/>
      <c r="AA42" s="152"/>
      <c r="AB42" s="152"/>
      <c r="AC42" s="152"/>
      <c r="AD42" s="152"/>
      <c r="AE42" s="152"/>
      <c r="AF42" s="152"/>
      <c r="AG42" s="152"/>
      <c r="AH42" s="152"/>
      <c r="AI42" s="152"/>
      <c r="AJ42" s="152"/>
      <c r="AK42" s="152"/>
      <c r="AL42" s="152"/>
      <c r="AM42" s="152"/>
      <c r="AN42" s="152"/>
      <c r="AO42" s="152"/>
      <c r="AP42" s="152"/>
      <c r="AQ42" s="152"/>
      <c r="AR42" s="152"/>
      <c r="AS42" s="152"/>
      <c r="AT42" s="124"/>
      <c r="AU42" s="124"/>
      <c r="AV42" s="124"/>
      <c r="AW42" s="124"/>
      <c r="AX42" s="124"/>
      <c r="AY42" s="124"/>
      <c r="AZ42" s="124"/>
      <c r="BA42" s="124"/>
      <c r="BB42" s="125"/>
    </row>
    <row r="43" spans="1:60" ht="17.25" customHeight="1" x14ac:dyDescent="0.25">
      <c r="A43" s="149"/>
      <c r="B43" s="150"/>
      <c r="C43" s="150"/>
      <c r="D43" s="150"/>
      <c r="E43" s="150"/>
      <c r="F43" s="152"/>
      <c r="G43" s="152"/>
      <c r="H43" s="152"/>
      <c r="I43" s="152"/>
      <c r="J43" s="152"/>
      <c r="K43" s="152"/>
      <c r="L43" s="152"/>
      <c r="M43" s="152"/>
      <c r="N43" s="152"/>
      <c r="O43" s="152"/>
      <c r="P43" s="152"/>
      <c r="Q43" s="152"/>
      <c r="R43" s="152"/>
      <c r="S43" s="152"/>
      <c r="T43" s="152"/>
      <c r="U43" s="152"/>
      <c r="V43" s="152"/>
      <c r="W43" s="152"/>
      <c r="X43" s="152"/>
      <c r="Y43" s="152"/>
      <c r="Z43" s="152"/>
      <c r="AA43" s="152"/>
      <c r="AB43" s="152"/>
      <c r="AC43" s="152"/>
      <c r="AD43" s="152"/>
      <c r="AE43" s="152"/>
      <c r="AF43" s="152"/>
      <c r="AG43" s="152"/>
      <c r="AH43" s="152"/>
      <c r="AI43" s="152"/>
      <c r="AJ43" s="152"/>
      <c r="AK43" s="152"/>
      <c r="AL43" s="152"/>
      <c r="AM43" s="152"/>
      <c r="AN43" s="152"/>
      <c r="AO43" s="152"/>
      <c r="AP43" s="152"/>
      <c r="AQ43" s="152"/>
      <c r="AR43" s="152"/>
      <c r="AS43" s="152"/>
      <c r="AT43" s="124"/>
      <c r="AU43" s="124"/>
      <c r="AV43" s="124"/>
      <c r="AW43" s="124"/>
      <c r="AX43" s="124"/>
      <c r="AY43" s="124"/>
      <c r="AZ43" s="124"/>
      <c r="BA43" s="124"/>
      <c r="BB43" s="125"/>
    </row>
    <row r="44" spans="1:60" ht="17.25" customHeight="1" x14ac:dyDescent="0.25">
      <c r="A44" s="149"/>
      <c r="B44" s="150"/>
      <c r="C44" s="150"/>
      <c r="D44" s="150"/>
      <c r="E44" s="150"/>
      <c r="F44" s="152"/>
      <c r="G44" s="152"/>
      <c r="H44" s="152"/>
      <c r="I44" s="152"/>
      <c r="J44" s="152"/>
      <c r="K44" s="152"/>
      <c r="L44" s="152"/>
      <c r="M44" s="152"/>
      <c r="N44" s="152"/>
      <c r="O44" s="152"/>
      <c r="P44" s="152"/>
      <c r="Q44" s="152"/>
      <c r="R44" s="152"/>
      <c r="S44" s="152"/>
      <c r="T44" s="152"/>
      <c r="U44" s="152"/>
      <c r="V44" s="152"/>
      <c r="W44" s="152"/>
      <c r="X44" s="152"/>
      <c r="Y44" s="152"/>
      <c r="Z44" s="152"/>
      <c r="AA44" s="152"/>
      <c r="AB44" s="152"/>
      <c r="AC44" s="152"/>
      <c r="AD44" s="152"/>
      <c r="AE44" s="152"/>
      <c r="AF44" s="152"/>
      <c r="AG44" s="152"/>
      <c r="AH44" s="152"/>
      <c r="AI44" s="152"/>
      <c r="AJ44" s="152"/>
      <c r="AK44" s="152"/>
      <c r="AL44" s="152"/>
      <c r="AM44" s="152"/>
      <c r="AN44" s="152"/>
      <c r="AO44" s="152"/>
      <c r="AP44" s="152"/>
      <c r="AQ44" s="152"/>
      <c r="AR44" s="152"/>
      <c r="AS44" s="152"/>
      <c r="AT44" s="124"/>
      <c r="AU44" s="124"/>
      <c r="AV44" s="124"/>
      <c r="AW44" s="124"/>
      <c r="AX44" s="124"/>
      <c r="AY44" s="124"/>
      <c r="AZ44" s="124"/>
      <c r="BA44" s="124"/>
      <c r="BB44" s="125"/>
    </row>
    <row r="45" spans="1:60" ht="17.25" customHeight="1" x14ac:dyDescent="0.25">
      <c r="A45" s="149"/>
      <c r="B45" s="150"/>
      <c r="C45" s="150"/>
      <c r="D45" s="150"/>
      <c r="E45" s="150"/>
      <c r="F45" s="150"/>
      <c r="G45" s="150"/>
      <c r="H45" s="150"/>
      <c r="I45" s="152"/>
      <c r="J45" s="152"/>
      <c r="K45" s="152"/>
      <c r="L45" s="152"/>
      <c r="M45" s="152"/>
      <c r="N45" s="152"/>
      <c r="O45" s="152"/>
      <c r="P45" s="152"/>
      <c r="Q45" s="152"/>
      <c r="R45" s="152"/>
      <c r="S45" s="152"/>
      <c r="T45" s="152"/>
      <c r="U45" s="152"/>
      <c r="V45" s="152"/>
      <c r="W45" s="152"/>
      <c r="X45" s="152"/>
      <c r="Y45" s="153"/>
      <c r="Z45" s="153"/>
      <c r="AA45" s="153"/>
      <c r="AB45" s="153"/>
      <c r="AC45" s="153"/>
      <c r="AD45" s="153"/>
      <c r="AE45" s="153"/>
      <c r="AF45" s="153"/>
      <c r="AG45" s="153"/>
      <c r="AH45" s="153"/>
      <c r="AI45" s="153"/>
      <c r="AJ45" s="153"/>
      <c r="AK45" s="153"/>
      <c r="AL45" s="153"/>
      <c r="AM45" s="153"/>
      <c r="AN45" s="153"/>
      <c r="AO45" s="153"/>
      <c r="AP45" s="153"/>
      <c r="AQ45" s="153"/>
      <c r="AR45" s="153"/>
      <c r="AS45" s="153"/>
      <c r="AT45" s="124"/>
      <c r="AU45" s="124"/>
      <c r="AV45" s="124"/>
      <c r="AW45" s="124"/>
      <c r="AX45" s="124"/>
      <c r="AY45" s="124"/>
      <c r="AZ45" s="124"/>
      <c r="BA45" s="124"/>
      <c r="BB45" s="125"/>
    </row>
    <row r="46" spans="1:60" ht="17.25" customHeight="1" x14ac:dyDescent="0.25">
      <c r="A46" s="154"/>
      <c r="B46" s="152"/>
      <c r="C46" s="152"/>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52"/>
      <c r="AB46" s="152"/>
      <c r="AC46" s="152"/>
      <c r="AD46" s="152"/>
      <c r="AE46" s="152"/>
      <c r="AF46" s="152"/>
      <c r="AG46" s="152"/>
      <c r="AH46" s="152"/>
      <c r="AI46" s="152"/>
      <c r="AJ46" s="152"/>
      <c r="AK46" s="152"/>
      <c r="AL46" s="152"/>
      <c r="AM46" s="152"/>
      <c r="AN46" s="152"/>
      <c r="AO46" s="152"/>
      <c r="AP46" s="150"/>
      <c r="AQ46" s="150"/>
      <c r="AR46" s="150"/>
      <c r="AS46" s="150"/>
      <c r="AT46" s="124"/>
      <c r="AU46" s="124"/>
      <c r="AV46" s="124"/>
      <c r="AW46" s="124"/>
      <c r="AX46" s="124"/>
      <c r="AY46" s="124"/>
      <c r="AZ46" s="124"/>
      <c r="BA46" s="124"/>
      <c r="BB46" s="125"/>
    </row>
    <row r="47" spans="1:60" ht="17.25" customHeight="1" x14ac:dyDescent="0.25">
      <c r="A47" s="154"/>
      <c r="B47" s="152"/>
      <c r="C47" s="152"/>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152"/>
      <c r="AB47" s="152"/>
      <c r="AC47" s="152"/>
      <c r="AD47" s="152"/>
      <c r="AE47" s="152"/>
      <c r="AF47" s="152"/>
      <c r="AG47" s="152"/>
      <c r="AH47" s="152"/>
      <c r="AI47" s="152"/>
      <c r="AJ47" s="152"/>
      <c r="AK47" s="152"/>
      <c r="AL47" s="152"/>
      <c r="AM47" s="152"/>
      <c r="AN47" s="152"/>
      <c r="AO47" s="152"/>
      <c r="AP47" s="155"/>
      <c r="AQ47" s="155"/>
      <c r="AR47" s="155"/>
      <c r="AS47" s="155"/>
      <c r="AT47" s="124"/>
      <c r="AU47" s="124"/>
      <c r="AV47" s="124"/>
      <c r="AW47" s="124"/>
      <c r="AX47" s="124"/>
      <c r="AY47" s="124"/>
      <c r="AZ47" s="124"/>
      <c r="BA47" s="124"/>
      <c r="BB47" s="125"/>
    </row>
    <row r="48" spans="1:60" ht="17.25" customHeight="1" x14ac:dyDescent="0.25">
      <c r="A48" s="154"/>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c r="AK48" s="152"/>
      <c r="AL48" s="152"/>
      <c r="AM48" s="152"/>
      <c r="AN48" s="152"/>
      <c r="AO48" s="152"/>
      <c r="AP48" s="152"/>
      <c r="AQ48" s="152"/>
      <c r="AR48" s="152"/>
      <c r="AS48" s="152"/>
      <c r="AT48" s="124"/>
      <c r="AU48" s="124"/>
      <c r="AV48" s="124"/>
      <c r="AW48" s="124"/>
      <c r="AX48" s="124"/>
      <c r="AY48" s="124"/>
      <c r="AZ48" s="124"/>
      <c r="BA48" s="124"/>
      <c r="BB48" s="125"/>
    </row>
    <row r="49" spans="1:73" ht="17.25" customHeight="1" x14ac:dyDescent="0.25">
      <c r="A49" s="154"/>
      <c r="B49" s="152"/>
      <c r="C49" s="152"/>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152"/>
      <c r="AB49" s="152"/>
      <c r="AC49" s="152"/>
      <c r="AD49" s="152"/>
      <c r="AE49" s="152"/>
      <c r="AF49" s="152"/>
      <c r="AG49" s="152"/>
      <c r="AH49" s="152"/>
      <c r="AI49" s="152"/>
      <c r="AJ49" s="152"/>
      <c r="AK49" s="152"/>
      <c r="AL49" s="152"/>
      <c r="AM49" s="152"/>
      <c r="AN49" s="152"/>
      <c r="AO49" s="152"/>
      <c r="AP49" s="152"/>
      <c r="AQ49" s="152"/>
      <c r="AR49" s="152"/>
      <c r="AS49" s="152"/>
      <c r="AT49" s="124"/>
      <c r="AU49" s="124"/>
      <c r="AV49" s="124"/>
      <c r="AW49" s="124"/>
      <c r="AX49" s="124"/>
      <c r="AY49" s="124"/>
      <c r="AZ49" s="124"/>
      <c r="BA49" s="124"/>
      <c r="BB49" s="125"/>
    </row>
    <row r="50" spans="1:73" ht="17.25" customHeight="1" x14ac:dyDescent="0.25">
      <c r="A50" s="154"/>
      <c r="B50" s="152"/>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c r="AB50" s="152"/>
      <c r="AC50" s="152"/>
      <c r="AD50" s="152"/>
      <c r="AE50" s="152"/>
      <c r="AF50" s="152"/>
      <c r="AG50" s="152"/>
      <c r="AH50" s="152"/>
      <c r="AI50" s="152"/>
      <c r="AJ50" s="152"/>
      <c r="AK50" s="152"/>
      <c r="AL50" s="152"/>
      <c r="AM50" s="152"/>
      <c r="AN50" s="152"/>
      <c r="AO50" s="152"/>
      <c r="AP50" s="152"/>
      <c r="AQ50" s="152"/>
      <c r="AR50" s="152"/>
      <c r="AS50" s="152"/>
      <c r="AT50" s="124"/>
      <c r="AU50" s="124"/>
      <c r="AV50" s="124"/>
      <c r="AW50" s="124"/>
      <c r="AX50" s="124"/>
      <c r="AY50" s="124"/>
      <c r="AZ50" s="124"/>
      <c r="BA50" s="124"/>
      <c r="BB50" s="125"/>
    </row>
    <row r="51" spans="1:73" ht="17.25" customHeight="1" x14ac:dyDescent="0.25">
      <c r="A51" s="154"/>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c r="AQ51" s="152"/>
      <c r="AR51" s="152"/>
      <c r="AS51" s="152"/>
      <c r="AT51" s="124"/>
      <c r="AU51" s="124"/>
      <c r="AV51" s="124"/>
      <c r="AW51" s="124"/>
      <c r="AX51" s="124"/>
      <c r="AY51" s="124"/>
      <c r="AZ51" s="124"/>
      <c r="BA51" s="124"/>
      <c r="BB51" s="125"/>
    </row>
    <row r="52" spans="1:73" ht="17.25" customHeight="1" x14ac:dyDescent="0.25">
      <c r="A52" s="156"/>
      <c r="B52" s="153"/>
      <c r="C52" s="153"/>
      <c r="D52" s="153"/>
      <c r="E52" s="153"/>
      <c r="F52" s="153"/>
      <c r="G52" s="153"/>
      <c r="H52" s="153"/>
      <c r="I52" s="153"/>
      <c r="J52" s="153"/>
      <c r="K52" s="153"/>
      <c r="L52" s="153"/>
      <c r="M52" s="153"/>
      <c r="N52" s="153"/>
      <c r="O52" s="153"/>
      <c r="P52" s="153"/>
      <c r="Q52" s="153"/>
      <c r="R52" s="153"/>
      <c r="S52" s="153"/>
      <c r="T52" s="153"/>
      <c r="U52" s="153"/>
      <c r="V52" s="152"/>
      <c r="W52" s="152"/>
      <c r="X52" s="152"/>
      <c r="Y52" s="153"/>
      <c r="Z52" s="153"/>
      <c r="AA52" s="153"/>
      <c r="AB52" s="153"/>
      <c r="AC52" s="153"/>
      <c r="AD52" s="153"/>
      <c r="AE52" s="153"/>
      <c r="AF52" s="153"/>
      <c r="AG52" s="153"/>
      <c r="AH52" s="153"/>
      <c r="AI52" s="153"/>
      <c r="AJ52" s="153"/>
      <c r="AK52" s="153"/>
      <c r="AL52" s="153"/>
      <c r="AM52" s="153"/>
      <c r="AN52" s="153"/>
      <c r="AO52" s="153"/>
      <c r="AP52" s="153"/>
      <c r="AQ52" s="153"/>
      <c r="AR52" s="153"/>
      <c r="AS52" s="153"/>
      <c r="AT52" s="124"/>
      <c r="AU52" s="124"/>
      <c r="AV52" s="124"/>
      <c r="AW52" s="124"/>
      <c r="AX52" s="124"/>
      <c r="AY52" s="124"/>
      <c r="AZ52" s="124"/>
      <c r="BA52" s="124"/>
      <c r="BB52" s="125"/>
    </row>
    <row r="53" spans="1:73" ht="17.25" customHeight="1" x14ac:dyDescent="0.25">
      <c r="A53" s="154"/>
      <c r="B53" s="152"/>
      <c r="C53" s="152"/>
      <c r="D53" s="152"/>
      <c r="E53" s="152"/>
      <c r="F53" s="152"/>
      <c r="G53" s="152"/>
      <c r="H53" s="152"/>
      <c r="I53" s="152"/>
      <c r="J53" s="152"/>
      <c r="K53" s="152"/>
      <c r="L53" s="152"/>
      <c r="M53" s="152"/>
      <c r="N53" s="152"/>
      <c r="O53" s="152"/>
      <c r="P53" s="152"/>
      <c r="Q53" s="152"/>
      <c r="R53" s="150"/>
      <c r="S53" s="150"/>
      <c r="T53" s="150"/>
      <c r="U53" s="150"/>
      <c r="V53" s="152"/>
      <c r="W53" s="152"/>
      <c r="X53" s="152"/>
      <c r="Y53" s="152"/>
      <c r="Z53" s="152"/>
      <c r="AA53" s="152"/>
      <c r="AB53" s="152"/>
      <c r="AC53" s="152"/>
      <c r="AD53" s="152"/>
      <c r="AE53" s="152"/>
      <c r="AF53" s="152"/>
      <c r="AG53" s="152"/>
      <c r="AH53" s="152"/>
      <c r="AI53" s="152"/>
      <c r="AJ53" s="152"/>
      <c r="AK53" s="152"/>
      <c r="AL53" s="152"/>
      <c r="AM53" s="152"/>
      <c r="AN53" s="152"/>
      <c r="AO53" s="152"/>
      <c r="AP53" s="150"/>
      <c r="AQ53" s="150"/>
      <c r="AR53" s="150"/>
      <c r="AS53" s="150"/>
      <c r="AT53" s="124"/>
      <c r="AU53" s="124"/>
      <c r="AV53" s="124"/>
      <c r="AW53" s="124"/>
      <c r="AX53" s="124"/>
      <c r="AY53" s="124"/>
      <c r="AZ53" s="124"/>
      <c r="BA53" s="124"/>
      <c r="BB53" s="125"/>
    </row>
    <row r="54" spans="1:73" ht="17.25" customHeight="1" x14ac:dyDescent="0.25">
      <c r="A54" s="157"/>
      <c r="B54" s="158"/>
      <c r="C54" s="152"/>
      <c r="D54" s="152"/>
      <c r="E54" s="152"/>
      <c r="F54" s="152"/>
      <c r="G54" s="152"/>
      <c r="H54" s="152"/>
      <c r="I54" s="152"/>
      <c r="J54" s="152"/>
      <c r="K54" s="152"/>
      <c r="L54" s="152"/>
      <c r="M54" s="152"/>
      <c r="N54" s="152"/>
      <c r="O54" s="152"/>
      <c r="P54" s="152"/>
      <c r="Q54" s="152"/>
      <c r="R54" s="155"/>
      <c r="S54" s="155"/>
      <c r="T54" s="155"/>
      <c r="U54" s="155"/>
      <c r="V54" s="152"/>
      <c r="W54" s="152"/>
      <c r="X54" s="152"/>
      <c r="Y54" s="152"/>
      <c r="Z54" s="152"/>
      <c r="AA54" s="152"/>
      <c r="AB54" s="152"/>
      <c r="AC54" s="152"/>
      <c r="AD54" s="152"/>
      <c r="AE54" s="152"/>
      <c r="AF54" s="152"/>
      <c r="AG54" s="152"/>
      <c r="AH54" s="152"/>
      <c r="AI54" s="152"/>
      <c r="AJ54" s="152"/>
      <c r="AK54" s="152"/>
      <c r="AL54" s="152"/>
      <c r="AM54" s="152"/>
      <c r="AN54" s="152"/>
      <c r="AO54" s="152"/>
      <c r="AP54" s="155"/>
      <c r="AQ54" s="155"/>
      <c r="AR54" s="155"/>
      <c r="AS54" s="155"/>
      <c r="AT54" s="124"/>
      <c r="AU54" s="124"/>
      <c r="AV54" s="124"/>
      <c r="AW54" s="124"/>
      <c r="AX54" s="124"/>
      <c r="AY54" s="124"/>
      <c r="AZ54" s="124"/>
      <c r="BA54" s="124"/>
      <c r="BB54" s="125"/>
    </row>
    <row r="55" spans="1:73" ht="17.25" customHeight="1" x14ac:dyDescent="0.25">
      <c r="A55" s="154"/>
      <c r="B55" s="158"/>
      <c r="C55" s="152"/>
      <c r="D55" s="152"/>
      <c r="E55" s="152"/>
      <c r="F55" s="152"/>
      <c r="G55" s="152"/>
      <c r="H55" s="152"/>
      <c r="I55" s="152"/>
      <c r="J55" s="152"/>
      <c r="K55" s="152"/>
      <c r="L55" s="152"/>
      <c r="M55" s="152"/>
      <c r="N55" s="152"/>
      <c r="O55" s="152"/>
      <c r="P55" s="152"/>
      <c r="Q55" s="152"/>
      <c r="R55" s="152"/>
      <c r="S55" s="152"/>
      <c r="T55" s="152"/>
      <c r="U55" s="152"/>
      <c r="V55" s="152"/>
      <c r="W55" s="152"/>
      <c r="X55" s="152"/>
      <c r="Y55" s="152"/>
      <c r="Z55" s="152"/>
      <c r="AA55" s="152"/>
      <c r="AB55" s="152"/>
      <c r="AC55" s="152"/>
      <c r="AD55" s="152"/>
      <c r="AE55" s="152"/>
      <c r="AF55" s="152"/>
      <c r="AG55" s="152"/>
      <c r="AH55" s="152"/>
      <c r="AI55" s="152"/>
      <c r="AJ55" s="152"/>
      <c r="AK55" s="152"/>
      <c r="AL55" s="152"/>
      <c r="AM55" s="152"/>
      <c r="AN55" s="152"/>
      <c r="AO55" s="152"/>
      <c r="AP55" s="152"/>
      <c r="AQ55" s="152"/>
      <c r="AR55" s="152"/>
      <c r="AS55" s="152"/>
      <c r="AT55" s="124"/>
      <c r="AU55" s="124"/>
      <c r="AV55" s="124"/>
      <c r="AW55" s="124"/>
      <c r="AX55" s="124"/>
      <c r="AY55" s="124"/>
      <c r="AZ55" s="124"/>
      <c r="BA55" s="124"/>
      <c r="BB55" s="125"/>
    </row>
    <row r="56" spans="1:73" ht="17.25" customHeight="1" x14ac:dyDescent="0.25">
      <c r="A56" s="154"/>
      <c r="B56" s="152"/>
      <c r="C56" s="152"/>
      <c r="D56" s="152"/>
      <c r="E56" s="152"/>
      <c r="F56" s="152"/>
      <c r="G56" s="152"/>
      <c r="H56" s="152"/>
      <c r="I56" s="152"/>
      <c r="J56" s="152"/>
      <c r="K56" s="152"/>
      <c r="L56" s="152"/>
      <c r="M56" s="152"/>
      <c r="N56" s="152"/>
      <c r="O56" s="152"/>
      <c r="P56" s="152"/>
      <c r="Q56" s="152"/>
      <c r="R56" s="152"/>
      <c r="S56" s="152"/>
      <c r="T56" s="152"/>
      <c r="U56" s="152"/>
      <c r="V56" s="152"/>
      <c r="W56" s="152"/>
      <c r="X56" s="152"/>
      <c r="Y56" s="152"/>
      <c r="Z56" s="152"/>
      <c r="AA56" s="152"/>
      <c r="AB56" s="152"/>
      <c r="AC56" s="152"/>
      <c r="AD56" s="152"/>
      <c r="AE56" s="152"/>
      <c r="AF56" s="152"/>
      <c r="AG56" s="152"/>
      <c r="AH56" s="152"/>
      <c r="AI56" s="152"/>
      <c r="AJ56" s="152"/>
      <c r="AK56" s="152"/>
      <c r="AL56" s="152"/>
      <c r="AM56" s="152"/>
      <c r="AN56" s="152"/>
      <c r="AO56" s="152"/>
      <c r="AP56" s="152"/>
      <c r="AQ56" s="152"/>
      <c r="AR56" s="152"/>
      <c r="AS56" s="152"/>
      <c r="AT56" s="124"/>
      <c r="AU56" s="124"/>
      <c r="AV56" s="124"/>
      <c r="AW56" s="124"/>
      <c r="AX56" s="124"/>
      <c r="AY56" s="124"/>
      <c r="AZ56" s="124"/>
      <c r="BA56" s="124"/>
      <c r="BB56" s="125"/>
    </row>
    <row r="57" spans="1:73" ht="17.25" customHeight="1" x14ac:dyDescent="0.25">
      <c r="A57" s="154"/>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c r="AQ57" s="152"/>
      <c r="AR57" s="152"/>
      <c r="AS57" s="152"/>
      <c r="AT57" s="124"/>
      <c r="AU57" s="124"/>
      <c r="AV57" s="124"/>
      <c r="AW57" s="124"/>
      <c r="AX57" s="124"/>
      <c r="AY57" s="124"/>
      <c r="AZ57" s="124"/>
      <c r="BA57" s="124"/>
      <c r="BB57" s="125"/>
    </row>
    <row r="58" spans="1:73" ht="17.25" customHeight="1" x14ac:dyDescent="0.25">
      <c r="A58" s="159"/>
      <c r="B58" s="124"/>
      <c r="C58" s="124"/>
      <c r="D58" s="124"/>
      <c r="E58" s="124"/>
      <c r="F58" s="124"/>
      <c r="G58" s="124"/>
      <c r="H58" s="124"/>
      <c r="I58" s="124"/>
      <c r="J58" s="124"/>
      <c r="K58" s="124"/>
      <c r="L58" s="124"/>
      <c r="M58" s="124"/>
      <c r="N58" s="124"/>
      <c r="O58" s="124"/>
      <c r="P58" s="124"/>
      <c r="Q58" s="124"/>
      <c r="R58" s="124"/>
      <c r="S58" s="124"/>
      <c r="T58" s="124"/>
      <c r="U58" s="124"/>
      <c r="V58" s="124"/>
      <c r="W58" s="124"/>
      <c r="X58" s="124"/>
      <c r="Y58" s="124"/>
      <c r="Z58" s="124"/>
      <c r="AA58" s="124"/>
      <c r="AB58" s="124"/>
      <c r="AC58" s="124"/>
      <c r="AD58" s="124"/>
      <c r="AE58" s="124"/>
      <c r="AF58" s="124"/>
      <c r="AG58" s="124"/>
      <c r="AH58" s="124"/>
      <c r="AI58" s="124"/>
      <c r="AJ58" s="124"/>
      <c r="AK58" s="124"/>
      <c r="AL58" s="124"/>
      <c r="AM58" s="124"/>
      <c r="AN58" s="124"/>
      <c r="AO58" s="124"/>
      <c r="AP58" s="124"/>
      <c r="AQ58" s="124"/>
      <c r="AR58" s="124"/>
      <c r="AS58" s="124"/>
      <c r="AT58" s="124"/>
      <c r="AU58" s="124"/>
      <c r="AV58" s="124"/>
      <c r="AW58" s="124"/>
      <c r="AX58" s="124"/>
      <c r="AY58" s="124"/>
      <c r="AZ58" s="124"/>
      <c r="BA58" s="124"/>
      <c r="BB58" s="125"/>
    </row>
    <row r="59" spans="1:73" ht="17.25" customHeight="1" x14ac:dyDescent="0.25">
      <c r="A59" s="159"/>
      <c r="B59" s="124"/>
      <c r="C59" s="124"/>
      <c r="D59" s="124"/>
      <c r="E59" s="124"/>
      <c r="F59" s="124"/>
      <c r="G59" s="124"/>
      <c r="H59" s="124"/>
      <c r="I59" s="124"/>
      <c r="J59" s="124"/>
      <c r="K59" s="124"/>
      <c r="L59" s="124"/>
      <c r="M59" s="124"/>
      <c r="N59" s="124"/>
      <c r="O59" s="124"/>
      <c r="P59" s="124"/>
      <c r="Q59" s="124"/>
      <c r="R59" s="124"/>
      <c r="S59" s="124"/>
      <c r="T59" s="124"/>
      <c r="U59" s="124"/>
      <c r="V59" s="124"/>
      <c r="W59" s="124"/>
      <c r="X59" s="124"/>
      <c r="Y59" s="124"/>
      <c r="Z59" s="124"/>
      <c r="AA59" s="124"/>
      <c r="AB59" s="124"/>
      <c r="AC59" s="124"/>
      <c r="AD59" s="124"/>
      <c r="AE59" s="124"/>
      <c r="AF59" s="124"/>
      <c r="AG59" s="124"/>
      <c r="AH59" s="124"/>
      <c r="AI59" s="124"/>
      <c r="AJ59" s="124"/>
      <c r="AK59" s="124"/>
      <c r="AL59" s="124"/>
      <c r="AM59" s="124"/>
      <c r="AN59" s="124"/>
      <c r="AO59" s="124"/>
      <c r="AP59" s="124"/>
      <c r="AQ59" s="124"/>
      <c r="AR59" s="124"/>
      <c r="AS59" s="124"/>
      <c r="AT59" s="124"/>
      <c r="AU59" s="124"/>
      <c r="AV59" s="124"/>
      <c r="AW59" s="124"/>
      <c r="AX59" s="124"/>
      <c r="AY59" s="124"/>
      <c r="AZ59" s="124"/>
      <c r="BA59" s="124"/>
      <c r="BB59" s="125"/>
    </row>
    <row r="60" spans="1:73" ht="17.25" customHeight="1" x14ac:dyDescent="0.25">
      <c r="A60" s="159"/>
      <c r="B60" s="124"/>
      <c r="C60" s="124"/>
      <c r="D60" s="124"/>
      <c r="E60" s="124"/>
      <c r="F60" s="124"/>
      <c r="G60" s="124"/>
      <c r="H60" s="124"/>
      <c r="I60" s="124"/>
      <c r="J60" s="124"/>
      <c r="K60" s="124"/>
      <c r="L60" s="124"/>
      <c r="M60" s="124"/>
      <c r="N60" s="124"/>
      <c r="O60" s="124"/>
      <c r="P60" s="124"/>
      <c r="Q60" s="124"/>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4"/>
      <c r="AR60" s="124"/>
      <c r="AS60" s="124"/>
      <c r="AT60" s="124"/>
      <c r="AU60" s="124"/>
      <c r="AV60" s="124"/>
      <c r="AW60" s="124"/>
      <c r="AX60" s="124"/>
      <c r="AY60" s="124"/>
      <c r="AZ60" s="124"/>
      <c r="BA60" s="124"/>
      <c r="BB60" s="125"/>
      <c r="BC60" s="72"/>
      <c r="BD60" s="72"/>
      <c r="BE60" s="72"/>
      <c r="BF60" s="72"/>
      <c r="BG60" s="72"/>
      <c r="BH60" s="72"/>
      <c r="BI60" s="72"/>
      <c r="BJ60" s="72"/>
      <c r="BK60" s="72"/>
      <c r="BL60" s="72"/>
      <c r="BM60" s="72"/>
      <c r="BN60" s="72"/>
      <c r="BO60" s="72"/>
      <c r="BP60" s="72"/>
      <c r="BQ60" s="72"/>
      <c r="BR60" s="72"/>
      <c r="BS60" s="72"/>
      <c r="BT60" s="72"/>
      <c r="BU60" s="72"/>
    </row>
    <row r="61" spans="1:73" ht="17.25" customHeight="1" x14ac:dyDescent="0.25">
      <c r="A61" s="159"/>
      <c r="B61" s="124"/>
      <c r="C61" s="124"/>
      <c r="D61" s="124"/>
      <c r="E61" s="124"/>
      <c r="F61" s="124"/>
      <c r="G61" s="124"/>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5"/>
      <c r="BC61" s="72"/>
      <c r="BD61" s="72"/>
      <c r="BE61" s="72"/>
      <c r="BF61" s="72"/>
      <c r="BG61" s="72"/>
      <c r="BH61" s="95"/>
      <c r="BI61" s="55"/>
      <c r="BJ61" s="72"/>
      <c r="BK61" s="72"/>
      <c r="BL61" s="72"/>
      <c r="BM61" s="72"/>
      <c r="BN61" s="72"/>
      <c r="BO61" s="72"/>
      <c r="BP61" s="72"/>
      <c r="BQ61" s="96"/>
      <c r="BR61" s="72"/>
      <c r="BS61" s="72"/>
      <c r="BT61" s="72"/>
      <c r="BU61" s="72"/>
    </row>
    <row r="62" spans="1:73" ht="17.25" customHeight="1" x14ac:dyDescent="0.25">
      <c r="A62" s="159"/>
      <c r="B62" s="124"/>
      <c r="C62" s="124"/>
      <c r="D62" s="124"/>
      <c r="E62" s="124"/>
      <c r="F62" s="124"/>
      <c r="G62" s="124"/>
      <c r="H62" s="124"/>
      <c r="I62" s="124"/>
      <c r="J62" s="124"/>
      <c r="K62" s="124"/>
      <c r="L62" s="124"/>
      <c r="M62" s="124"/>
      <c r="N62" s="124"/>
      <c r="O62" s="124"/>
      <c r="P62" s="124"/>
      <c r="Q62" s="124"/>
      <c r="R62" s="124"/>
      <c r="S62" s="124"/>
      <c r="T62" s="124"/>
      <c r="U62" s="124"/>
      <c r="V62" s="124"/>
      <c r="W62" s="124"/>
      <c r="X62" s="124"/>
      <c r="Y62" s="124"/>
      <c r="Z62" s="124"/>
      <c r="AA62" s="124"/>
      <c r="AB62" s="124"/>
      <c r="AC62" s="124"/>
      <c r="AD62" s="124"/>
      <c r="AE62" s="124"/>
      <c r="AF62" s="124"/>
      <c r="AG62" s="124"/>
      <c r="AH62" s="124"/>
      <c r="AI62" s="124"/>
      <c r="AJ62" s="124"/>
      <c r="AK62" s="124"/>
      <c r="AL62" s="124"/>
      <c r="AM62" s="124"/>
      <c r="AN62" s="124"/>
      <c r="AO62" s="124"/>
      <c r="AP62" s="124"/>
      <c r="AQ62" s="124"/>
      <c r="AR62" s="124"/>
      <c r="AS62" s="124"/>
      <c r="AT62" s="124"/>
      <c r="AU62" s="124"/>
      <c r="AV62" s="124"/>
      <c r="AW62" s="124"/>
      <c r="AX62" s="124"/>
      <c r="AY62" s="124"/>
      <c r="AZ62" s="124"/>
      <c r="BA62" s="124"/>
      <c r="BB62" s="125"/>
      <c r="BC62" s="72"/>
      <c r="BD62" s="72"/>
      <c r="BE62" s="55"/>
      <c r="BF62" s="72"/>
      <c r="BG62" s="72"/>
      <c r="BH62" s="55"/>
      <c r="BI62" s="55"/>
      <c r="BJ62" s="72"/>
      <c r="BK62" s="72"/>
      <c r="BL62" s="72"/>
      <c r="BM62" s="72"/>
      <c r="BN62" s="72"/>
      <c r="BO62" s="72"/>
      <c r="BP62" s="72"/>
      <c r="BQ62" s="96"/>
      <c r="BR62" s="72"/>
      <c r="BS62" s="72"/>
      <c r="BT62" s="72"/>
      <c r="BU62" s="72"/>
    </row>
    <row r="63" spans="1:73" ht="17.25" customHeight="1" x14ac:dyDescent="0.25">
      <c r="A63" s="159"/>
      <c r="B63" s="124"/>
      <c r="C63" s="124"/>
      <c r="D63" s="124"/>
      <c r="E63" s="124"/>
      <c r="F63" s="124"/>
      <c r="G63" s="124"/>
      <c r="H63" s="124"/>
      <c r="I63" s="124"/>
      <c r="J63" s="124"/>
      <c r="K63" s="124"/>
      <c r="L63" s="124"/>
      <c r="M63" s="124"/>
      <c r="N63" s="124"/>
      <c r="O63" s="124"/>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4"/>
      <c r="AP63" s="124"/>
      <c r="AQ63" s="124"/>
      <c r="AR63" s="124"/>
      <c r="AS63" s="124"/>
      <c r="AT63" s="124"/>
      <c r="AU63" s="124"/>
      <c r="AV63" s="124"/>
      <c r="AW63" s="124"/>
      <c r="AX63" s="124"/>
      <c r="AY63" s="124"/>
      <c r="AZ63" s="124"/>
      <c r="BA63" s="124"/>
      <c r="BB63" s="125"/>
      <c r="BC63" s="72"/>
      <c r="BD63" s="72"/>
      <c r="BE63" s="72"/>
      <c r="BF63" s="72"/>
      <c r="BG63" s="72"/>
      <c r="BH63" s="72"/>
      <c r="BI63" s="72"/>
      <c r="BJ63" s="72"/>
      <c r="BK63" s="72"/>
      <c r="BL63" s="72"/>
      <c r="BM63" s="72"/>
      <c r="BN63" s="72"/>
      <c r="BO63" s="72"/>
      <c r="BP63" s="72"/>
      <c r="BQ63" s="72"/>
      <c r="BR63" s="72"/>
      <c r="BS63" s="72"/>
      <c r="BT63" s="72"/>
      <c r="BU63" s="72"/>
    </row>
    <row r="64" spans="1:73" ht="17.25" customHeight="1" x14ac:dyDescent="0.25">
      <c r="A64" s="159"/>
      <c r="B64" s="124"/>
      <c r="C64" s="124"/>
      <c r="D64" s="12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4"/>
      <c r="AF64" s="124"/>
      <c r="AG64" s="124"/>
      <c r="AH64" s="124"/>
      <c r="AI64" s="124"/>
      <c r="AJ64" s="124"/>
      <c r="AK64" s="124"/>
      <c r="AL64" s="124"/>
      <c r="AM64" s="124"/>
      <c r="AN64" s="124"/>
      <c r="AO64" s="124"/>
      <c r="AP64" s="124"/>
      <c r="AQ64" s="124"/>
      <c r="AR64" s="124"/>
      <c r="AS64" s="124"/>
      <c r="AT64" s="124"/>
      <c r="AU64" s="124"/>
      <c r="AV64" s="124"/>
      <c r="AW64" s="124"/>
      <c r="AX64" s="124"/>
      <c r="AY64" s="124"/>
      <c r="AZ64" s="124"/>
      <c r="BA64" s="124"/>
      <c r="BB64" s="125"/>
    </row>
    <row r="65" spans="1:55" ht="17.25" customHeight="1" thickBot="1" x14ac:dyDescent="0.3">
      <c r="A65" s="160"/>
      <c r="B65" s="130"/>
      <c r="C65" s="130"/>
      <c r="D65" s="130"/>
      <c r="E65" s="130"/>
      <c r="F65" s="130"/>
      <c r="G65" s="130"/>
      <c r="H65" s="130"/>
      <c r="I65" s="130"/>
      <c r="J65" s="130"/>
      <c r="K65" s="130"/>
      <c r="L65" s="130"/>
      <c r="M65" s="130"/>
      <c r="N65" s="130"/>
      <c r="O65" s="130"/>
      <c r="P65" s="130"/>
      <c r="Q65" s="130"/>
      <c r="R65" s="130"/>
      <c r="S65" s="130"/>
      <c r="T65" s="130"/>
      <c r="U65" s="130"/>
      <c r="V65" s="130"/>
      <c r="W65" s="130"/>
      <c r="X65" s="130"/>
      <c r="Y65" s="130"/>
      <c r="Z65" s="130"/>
      <c r="AA65" s="130"/>
      <c r="AB65" s="130"/>
      <c r="AC65" s="130"/>
      <c r="AD65" s="130"/>
      <c r="AE65" s="130"/>
      <c r="AF65" s="130"/>
      <c r="AG65" s="130"/>
      <c r="AH65" s="130"/>
      <c r="AI65" s="130"/>
      <c r="AJ65" s="130"/>
      <c r="AK65" s="130"/>
      <c r="AL65" s="130"/>
      <c r="AM65" s="130"/>
      <c r="AN65" s="130"/>
      <c r="AO65" s="130"/>
      <c r="AP65" s="130"/>
      <c r="AQ65" s="130"/>
      <c r="AR65" s="130"/>
      <c r="AS65" s="130"/>
      <c r="AT65" s="130"/>
      <c r="AU65" s="130"/>
      <c r="AV65" s="130"/>
      <c r="AW65" s="130"/>
      <c r="AX65" s="130"/>
      <c r="AY65" s="130"/>
      <c r="AZ65" s="130"/>
      <c r="BA65" s="130"/>
      <c r="BB65" s="131"/>
    </row>
    <row r="66" spans="1:55" ht="17.25" customHeight="1" x14ac:dyDescent="0.25"/>
    <row r="67" spans="1:55" ht="17.25" customHeight="1" x14ac:dyDescent="0.25">
      <c r="BC67" s="72"/>
    </row>
    <row r="68" spans="1:55" ht="17.25" customHeight="1" x14ac:dyDescent="0.25">
      <c r="BC68" s="72"/>
    </row>
    <row r="69" spans="1:55" ht="17.25" customHeight="1" x14ac:dyDescent="0.25"/>
    <row r="70" spans="1:55" ht="17.25" customHeight="1" x14ac:dyDescent="0.25"/>
    <row r="71" spans="1:55" ht="17.25" customHeight="1" x14ac:dyDescent="0.25"/>
    <row r="72" spans="1:55" ht="17.25" customHeight="1" x14ac:dyDescent="0.25"/>
    <row r="73" spans="1:55" ht="17.25" customHeight="1" x14ac:dyDescent="0.25"/>
    <row r="74" spans="1:55" ht="17.25" customHeight="1" x14ac:dyDescent="0.25"/>
    <row r="75" spans="1:55" ht="17.25" customHeight="1" x14ac:dyDescent="0.25"/>
    <row r="76" spans="1:55" ht="17.25" customHeight="1" x14ac:dyDescent="0.25"/>
    <row r="77" spans="1:55" ht="17.25" customHeight="1" x14ac:dyDescent="0.25"/>
    <row r="78" spans="1:55" ht="17.25" customHeight="1" x14ac:dyDescent="0.25"/>
    <row r="79" spans="1:55" ht="17.25" customHeight="1" x14ac:dyDescent="0.25"/>
    <row r="80" spans="1:55" ht="17.25" customHeight="1" x14ac:dyDescent="0.25"/>
    <row r="81" ht="17.25" customHeight="1" x14ac:dyDescent="0.25"/>
    <row r="82" ht="17.25" customHeight="1" x14ac:dyDescent="0.25"/>
    <row r="83" ht="17.25" customHeight="1" x14ac:dyDescent="0.25"/>
    <row r="84" ht="17.25" customHeight="1" x14ac:dyDescent="0.25"/>
    <row r="85" ht="17.25" customHeight="1" x14ac:dyDescent="0.25"/>
    <row r="86" ht="17.25" customHeight="1" x14ac:dyDescent="0.25"/>
    <row r="87" ht="17.25" customHeight="1" x14ac:dyDescent="0.25"/>
    <row r="88" ht="17.25" customHeight="1" x14ac:dyDescent="0.25"/>
    <row r="89" ht="17.25" customHeight="1" x14ac:dyDescent="0.25"/>
    <row r="90" ht="17.25" customHeight="1" x14ac:dyDescent="0.25"/>
    <row r="91" ht="17.25" customHeight="1" x14ac:dyDescent="0.25"/>
    <row r="92" ht="17.25" customHeight="1" x14ac:dyDescent="0.25"/>
    <row r="93" ht="17.25" customHeight="1" x14ac:dyDescent="0.25"/>
    <row r="94" ht="17.25" customHeight="1" x14ac:dyDescent="0.25"/>
    <row r="95" ht="17.25" customHeight="1" x14ac:dyDescent="0.25"/>
    <row r="96" ht="17.25" customHeight="1" x14ac:dyDescent="0.25"/>
    <row r="97" ht="17.25" customHeight="1" x14ac:dyDescent="0.25"/>
    <row r="98" ht="17.25" customHeight="1" x14ac:dyDescent="0.25"/>
    <row r="99" ht="17.25" customHeight="1" x14ac:dyDescent="0.25"/>
    <row r="100" ht="17.25" customHeight="1" x14ac:dyDescent="0.25"/>
    <row r="101" ht="17.25" customHeight="1" x14ac:dyDescent="0.25"/>
    <row r="102" ht="17.25" customHeight="1" x14ac:dyDescent="0.25"/>
    <row r="103" ht="17.25" customHeight="1" x14ac:dyDescent="0.25"/>
    <row r="104" ht="17.25" customHeight="1" x14ac:dyDescent="0.25"/>
    <row r="105" ht="17.25" customHeight="1" x14ac:dyDescent="0.25"/>
    <row r="106" ht="17.25" customHeight="1" x14ac:dyDescent="0.25"/>
    <row r="107" ht="17.25" customHeight="1" x14ac:dyDescent="0.25"/>
    <row r="108" ht="17.25" customHeight="1" x14ac:dyDescent="0.25"/>
    <row r="109" ht="17.25" customHeight="1" x14ac:dyDescent="0.25"/>
    <row r="110" ht="17.25" customHeight="1" x14ac:dyDescent="0.25"/>
    <row r="111" ht="17.25" customHeight="1" x14ac:dyDescent="0.25"/>
    <row r="112" ht="17.25" customHeight="1" x14ac:dyDescent="0.25"/>
    <row r="113" ht="17.25" customHeight="1" x14ac:dyDescent="0.25"/>
    <row r="114" ht="17.25" customHeight="1" x14ac:dyDescent="0.25"/>
    <row r="115" ht="17.25" customHeight="1" x14ac:dyDescent="0.25"/>
    <row r="116" ht="17.25" customHeight="1" x14ac:dyDescent="0.25"/>
    <row r="117" ht="17.25" customHeight="1" x14ac:dyDescent="0.25"/>
    <row r="118" ht="17.25" customHeight="1" x14ac:dyDescent="0.25"/>
    <row r="119" ht="17.25" customHeight="1" x14ac:dyDescent="0.25"/>
    <row r="120" ht="17.25" customHeight="1" x14ac:dyDescent="0.25"/>
    <row r="121" ht="17.25" customHeight="1" x14ac:dyDescent="0.25"/>
    <row r="122" ht="17.25" customHeight="1" x14ac:dyDescent="0.25"/>
    <row r="123" ht="17.25" customHeight="1" x14ac:dyDescent="0.25"/>
    <row r="124" ht="17.25" customHeight="1" x14ac:dyDescent="0.25"/>
    <row r="125" ht="17.25" customHeight="1" x14ac:dyDescent="0.25"/>
    <row r="126" ht="17.25" customHeight="1" x14ac:dyDescent="0.25"/>
    <row r="127" ht="17.25" customHeight="1" x14ac:dyDescent="0.25"/>
    <row r="128" ht="17.25" customHeight="1" x14ac:dyDescent="0.25"/>
    <row r="129" ht="17.25" customHeight="1" x14ac:dyDescent="0.25"/>
    <row r="130" ht="17.25" customHeight="1" x14ac:dyDescent="0.25"/>
    <row r="131" ht="17.25" customHeight="1" x14ac:dyDescent="0.25"/>
    <row r="132" ht="17.25" customHeight="1" x14ac:dyDescent="0.25"/>
    <row r="133" ht="17.25" customHeight="1" x14ac:dyDescent="0.25"/>
    <row r="134" ht="17.25" customHeight="1" x14ac:dyDescent="0.25"/>
    <row r="135" ht="17.25" customHeight="1" x14ac:dyDescent="0.25"/>
    <row r="136" ht="17.25" customHeight="1" x14ac:dyDescent="0.25"/>
    <row r="137" ht="17.25" customHeight="1" x14ac:dyDescent="0.25"/>
    <row r="138" ht="17.25" customHeight="1" x14ac:dyDescent="0.25"/>
    <row r="139" ht="17.25" customHeight="1" x14ac:dyDescent="0.25"/>
    <row r="140" ht="17.25" customHeight="1" x14ac:dyDescent="0.25"/>
    <row r="141" ht="17.25" customHeight="1" x14ac:dyDescent="0.25"/>
    <row r="142" ht="17.25" customHeight="1" x14ac:dyDescent="0.25"/>
    <row r="143" ht="17.25" customHeight="1" x14ac:dyDescent="0.25"/>
    <row r="144" ht="17.25" customHeight="1" x14ac:dyDescent="0.25"/>
    <row r="145" ht="17.25" customHeight="1" x14ac:dyDescent="0.25"/>
    <row r="146" ht="17.25" customHeight="1" x14ac:dyDescent="0.25"/>
    <row r="147" ht="17.25" customHeight="1" x14ac:dyDescent="0.25"/>
    <row r="148" ht="17.25" customHeight="1" x14ac:dyDescent="0.25"/>
    <row r="149" ht="17.25" customHeight="1" x14ac:dyDescent="0.25"/>
    <row r="150" ht="17.25" customHeight="1" x14ac:dyDescent="0.25"/>
    <row r="151" ht="17.25" customHeight="1" x14ac:dyDescent="0.25"/>
    <row r="152" ht="17.25" customHeight="1" x14ac:dyDescent="0.25"/>
    <row r="153" ht="17.25" customHeight="1" x14ac:dyDescent="0.25"/>
    <row r="154" ht="17.25" customHeight="1" x14ac:dyDescent="0.25"/>
    <row r="155" ht="17.25" customHeight="1" x14ac:dyDescent="0.25"/>
    <row r="156" ht="17.25" customHeight="1" x14ac:dyDescent="0.25"/>
    <row r="157" ht="17.25" customHeight="1" x14ac:dyDescent="0.25"/>
    <row r="158" ht="17.25" customHeight="1" x14ac:dyDescent="0.25"/>
    <row r="159" ht="17.25" customHeight="1" x14ac:dyDescent="0.25"/>
    <row r="160" ht="17.25" customHeight="1" x14ac:dyDescent="0.25"/>
    <row r="161" ht="17.25" customHeight="1" x14ac:dyDescent="0.25"/>
  </sheetData>
  <mergeCells count="26">
    <mergeCell ref="W3:AA3"/>
    <mergeCell ref="AB3:AD3"/>
    <mergeCell ref="W36:AA36"/>
    <mergeCell ref="AB36:AD36"/>
    <mergeCell ref="AR1:BB1"/>
    <mergeCell ref="A4:A7"/>
    <mergeCell ref="A37:A40"/>
    <mergeCell ref="I6:M6"/>
    <mergeCell ref="O6:S6"/>
    <mergeCell ref="I4:T4"/>
    <mergeCell ref="I5:S5"/>
    <mergeCell ref="B4:H4"/>
    <mergeCell ref="B39:H39"/>
    <mergeCell ref="B6:H6"/>
    <mergeCell ref="B38:H38"/>
    <mergeCell ref="B5:H5"/>
    <mergeCell ref="B40:H40"/>
    <mergeCell ref="I40:T40"/>
    <mergeCell ref="B37:H37"/>
    <mergeCell ref="I39:M39"/>
    <mergeCell ref="O39:S39"/>
    <mergeCell ref="I38:S38"/>
    <mergeCell ref="B7:H7"/>
    <mergeCell ref="I7:T7"/>
    <mergeCell ref="I37:T37"/>
    <mergeCell ref="AR34:BB34"/>
  </mergeCells>
  <phoneticPr fontId="2"/>
  <conditionalFormatting sqref="I4:T7 I37:T40">
    <cfRule type="cellIs" dxfId="0" priority="1" stopIfTrue="1" operator="equal">
      <formula>0</formula>
    </cfRule>
  </conditionalFormatting>
  <pageMargins left="0.25" right="0.19" top="0.54" bottom="0.32" header="0.2" footer="0.2"/>
  <pageSetup paperSize="9" scale="99" orientation="landscape" r:id="rId1"/>
  <headerFooter alignWithMargins="0"/>
  <rowBreaks count="1" manualBreakCount="1">
    <brk id="33"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写真の挿入">
                <anchor moveWithCells="1" sizeWithCells="1">
                  <from>
                    <xdr:col>32</xdr:col>
                    <xdr:colOff>66675</xdr:colOff>
                    <xdr:row>7</xdr:row>
                    <xdr:rowOff>142875</xdr:rowOff>
                  </from>
                  <to>
                    <xdr:col>53</xdr:col>
                    <xdr:colOff>57150</xdr:colOff>
                    <xdr:row>8</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indexed="43"/>
  </sheetPr>
  <dimension ref="B2:G257"/>
  <sheetViews>
    <sheetView workbookViewId="0">
      <selection activeCell="G2" sqref="G2"/>
    </sheetView>
  </sheetViews>
  <sheetFormatPr defaultRowHeight="12.75" x14ac:dyDescent="0.25"/>
  <cols>
    <col min="1" max="1" width="2.86328125" customWidth="1"/>
    <col min="2" max="2" width="15.265625" style="188" customWidth="1"/>
    <col min="3" max="3" width="11.46484375" style="188" customWidth="1"/>
    <col min="4" max="4" width="26.46484375" style="188" customWidth="1"/>
    <col min="5" max="5" width="3.59765625" customWidth="1"/>
    <col min="6" max="6" width="15.1328125" customWidth="1"/>
    <col min="7" max="7" width="30.265625" customWidth="1"/>
  </cols>
  <sheetData>
    <row r="2" spans="2:7" ht="18.75" x14ac:dyDescent="0.25">
      <c r="G2" s="189" t="s">
        <v>819</v>
      </c>
    </row>
    <row r="3" spans="2:7" ht="19.149999999999999" thickBot="1" x14ac:dyDescent="0.3">
      <c r="G3" s="189"/>
    </row>
    <row r="4" spans="2:7" ht="13.15" thickBot="1" x14ac:dyDescent="0.3">
      <c r="F4" s="190" t="s">
        <v>820</v>
      </c>
      <c r="G4" s="191" t="s">
        <v>1468</v>
      </c>
    </row>
    <row r="5" spans="2:7" ht="13.15" thickBot="1" x14ac:dyDescent="0.3"/>
    <row r="6" spans="2:7" ht="13.15" thickBot="1" x14ac:dyDescent="0.3">
      <c r="B6" s="410" t="s">
        <v>821</v>
      </c>
      <c r="C6" s="412" t="s">
        <v>822</v>
      </c>
      <c r="D6" s="411" t="s">
        <v>438</v>
      </c>
    </row>
    <row r="7" spans="2:7" x14ac:dyDescent="0.25">
      <c r="B7" s="426" t="s">
        <v>1005</v>
      </c>
      <c r="C7" s="423" t="s">
        <v>170</v>
      </c>
      <c r="D7" s="427" t="s">
        <v>972</v>
      </c>
    </row>
    <row r="8" spans="2:7" x14ac:dyDescent="0.25">
      <c r="B8" s="426" t="s">
        <v>1005</v>
      </c>
      <c r="C8" s="423" t="s">
        <v>170</v>
      </c>
      <c r="D8" s="427" t="s">
        <v>973</v>
      </c>
    </row>
    <row r="9" spans="2:7" x14ac:dyDescent="0.25">
      <c r="B9" s="426" t="s">
        <v>1005</v>
      </c>
      <c r="C9" s="423" t="s">
        <v>170</v>
      </c>
      <c r="D9" s="427" t="s">
        <v>974</v>
      </c>
    </row>
    <row r="10" spans="2:7" x14ac:dyDescent="0.25">
      <c r="B10" s="426" t="s">
        <v>1005</v>
      </c>
      <c r="C10" s="423" t="s">
        <v>170</v>
      </c>
      <c r="D10" s="427" t="s">
        <v>975</v>
      </c>
    </row>
    <row r="11" spans="2:7" x14ac:dyDescent="0.25">
      <c r="B11" s="426" t="s">
        <v>1005</v>
      </c>
      <c r="C11" s="423" t="s">
        <v>1006</v>
      </c>
      <c r="D11" s="427" t="s">
        <v>1178</v>
      </c>
    </row>
    <row r="12" spans="2:7" x14ac:dyDescent="0.25">
      <c r="B12" s="426" t="s">
        <v>1005</v>
      </c>
      <c r="C12" s="423" t="s">
        <v>1006</v>
      </c>
      <c r="D12" s="427" t="s">
        <v>1179</v>
      </c>
    </row>
    <row r="13" spans="2:7" x14ac:dyDescent="0.25">
      <c r="B13" s="426" t="s">
        <v>1005</v>
      </c>
      <c r="C13" s="423" t="s">
        <v>823</v>
      </c>
      <c r="D13" s="427" t="s">
        <v>1180</v>
      </c>
    </row>
    <row r="14" spans="2:7" x14ac:dyDescent="0.25">
      <c r="B14" s="426" t="s">
        <v>1005</v>
      </c>
      <c r="C14" s="423" t="s">
        <v>823</v>
      </c>
      <c r="D14" s="427" t="s">
        <v>1181</v>
      </c>
    </row>
    <row r="15" spans="2:7" x14ac:dyDescent="0.25">
      <c r="B15" s="426" t="s">
        <v>1005</v>
      </c>
      <c r="C15" s="423" t="s">
        <v>824</v>
      </c>
      <c r="D15" s="427" t="s">
        <v>978</v>
      </c>
    </row>
    <row r="16" spans="2:7" x14ac:dyDescent="0.25">
      <c r="B16" s="426" t="s">
        <v>1005</v>
      </c>
      <c r="C16" s="423" t="s">
        <v>824</v>
      </c>
      <c r="D16" s="427" t="s">
        <v>979</v>
      </c>
    </row>
    <row r="17" spans="2:4" x14ac:dyDescent="0.25">
      <c r="B17" s="426" t="s">
        <v>1005</v>
      </c>
      <c r="C17" s="423" t="s">
        <v>824</v>
      </c>
      <c r="D17" s="427" t="s">
        <v>980</v>
      </c>
    </row>
    <row r="18" spans="2:4" x14ac:dyDescent="0.25">
      <c r="B18" s="426" t="s">
        <v>1005</v>
      </c>
      <c r="C18" s="423" t="s">
        <v>824</v>
      </c>
      <c r="D18" s="427" t="s">
        <v>981</v>
      </c>
    </row>
    <row r="19" spans="2:4" x14ac:dyDescent="0.25">
      <c r="B19" s="426" t="s">
        <v>1005</v>
      </c>
      <c r="C19" s="423" t="s">
        <v>825</v>
      </c>
      <c r="D19" s="427" t="s">
        <v>1182</v>
      </c>
    </row>
    <row r="20" spans="2:4" x14ac:dyDescent="0.25">
      <c r="B20" s="426" t="s">
        <v>1005</v>
      </c>
      <c r="C20" s="423" t="s">
        <v>825</v>
      </c>
      <c r="D20" s="427" t="s">
        <v>1183</v>
      </c>
    </row>
    <row r="21" spans="2:4" x14ac:dyDescent="0.25">
      <c r="B21" s="426" t="s">
        <v>1005</v>
      </c>
      <c r="C21" s="423" t="s">
        <v>826</v>
      </c>
      <c r="D21" s="427" t="s">
        <v>1007</v>
      </c>
    </row>
    <row r="22" spans="2:4" x14ac:dyDescent="0.25">
      <c r="B22" s="426" t="s">
        <v>1005</v>
      </c>
      <c r="C22" s="423" t="s">
        <v>826</v>
      </c>
      <c r="D22" s="427" t="s">
        <v>1370</v>
      </c>
    </row>
    <row r="23" spans="2:4" x14ac:dyDescent="0.25">
      <c r="B23" s="426" t="s">
        <v>1005</v>
      </c>
      <c r="C23" s="423" t="s">
        <v>827</v>
      </c>
      <c r="D23" s="427" t="s">
        <v>1008</v>
      </c>
    </row>
    <row r="24" spans="2:4" x14ac:dyDescent="0.25">
      <c r="B24" s="426" t="s">
        <v>1005</v>
      </c>
      <c r="C24" s="423" t="s">
        <v>827</v>
      </c>
      <c r="D24" s="427" t="s">
        <v>1371</v>
      </c>
    </row>
    <row r="25" spans="2:4" x14ac:dyDescent="0.25">
      <c r="B25" s="426" t="s">
        <v>1005</v>
      </c>
      <c r="C25" s="423" t="s">
        <v>170</v>
      </c>
      <c r="D25" s="427" t="s">
        <v>976</v>
      </c>
    </row>
    <row r="26" spans="2:4" x14ac:dyDescent="0.25">
      <c r="B26" s="426" t="s">
        <v>1005</v>
      </c>
      <c r="C26" s="423" t="s">
        <v>170</v>
      </c>
      <c r="D26" s="427" t="s">
        <v>977</v>
      </c>
    </row>
    <row r="27" spans="2:4" x14ac:dyDescent="0.25">
      <c r="B27" s="426" t="s">
        <v>1005</v>
      </c>
      <c r="C27" s="423" t="s">
        <v>1006</v>
      </c>
      <c r="D27" s="427" t="s">
        <v>1184</v>
      </c>
    </row>
    <row r="28" spans="2:4" x14ac:dyDescent="0.25">
      <c r="B28" s="426" t="s">
        <v>1005</v>
      </c>
      <c r="C28" s="423" t="s">
        <v>1006</v>
      </c>
      <c r="D28" s="427" t="s">
        <v>1185</v>
      </c>
    </row>
    <row r="29" spans="2:4" x14ac:dyDescent="0.25">
      <c r="B29" s="426" t="s">
        <v>1005</v>
      </c>
      <c r="C29" s="423" t="s">
        <v>823</v>
      </c>
      <c r="D29" s="427" t="s">
        <v>1186</v>
      </c>
    </row>
    <row r="30" spans="2:4" x14ac:dyDescent="0.25">
      <c r="B30" s="426" t="s">
        <v>1005</v>
      </c>
      <c r="C30" s="423" t="s">
        <v>823</v>
      </c>
      <c r="D30" s="427" t="s">
        <v>1187</v>
      </c>
    </row>
    <row r="31" spans="2:4" x14ac:dyDescent="0.25">
      <c r="B31" s="426" t="s">
        <v>1005</v>
      </c>
      <c r="C31" s="423" t="s">
        <v>824</v>
      </c>
      <c r="D31" s="427" t="s">
        <v>982</v>
      </c>
    </row>
    <row r="32" spans="2:4" x14ac:dyDescent="0.25">
      <c r="B32" s="426" t="s">
        <v>1005</v>
      </c>
      <c r="C32" s="423" t="s">
        <v>824</v>
      </c>
      <c r="D32" s="427" t="s">
        <v>983</v>
      </c>
    </row>
    <row r="33" spans="2:4" x14ac:dyDescent="0.25">
      <c r="B33" s="426" t="s">
        <v>1005</v>
      </c>
      <c r="C33" s="423" t="s">
        <v>825</v>
      </c>
      <c r="D33" s="427" t="s">
        <v>1188</v>
      </c>
    </row>
    <row r="34" spans="2:4" x14ac:dyDescent="0.25">
      <c r="B34" s="426" t="s">
        <v>1005</v>
      </c>
      <c r="C34" s="423" t="s">
        <v>825</v>
      </c>
      <c r="D34" s="427" t="s">
        <v>1189</v>
      </c>
    </row>
    <row r="35" spans="2:4" x14ac:dyDescent="0.25">
      <c r="B35" s="426" t="s">
        <v>1005</v>
      </c>
      <c r="C35" s="423" t="s">
        <v>826</v>
      </c>
      <c r="D35" s="427" t="s">
        <v>1009</v>
      </c>
    </row>
    <row r="36" spans="2:4" x14ac:dyDescent="0.25">
      <c r="B36" s="426" t="s">
        <v>1005</v>
      </c>
      <c r="C36" s="423" t="s">
        <v>826</v>
      </c>
      <c r="D36" s="427" t="s">
        <v>1372</v>
      </c>
    </row>
    <row r="37" spans="2:4" x14ac:dyDescent="0.25">
      <c r="B37" s="426" t="s">
        <v>1005</v>
      </c>
      <c r="C37" s="423" t="s">
        <v>826</v>
      </c>
      <c r="D37" s="427" t="s">
        <v>1010</v>
      </c>
    </row>
    <row r="38" spans="2:4" x14ac:dyDescent="0.25">
      <c r="B38" s="426" t="s">
        <v>1005</v>
      </c>
      <c r="C38" s="423" t="s">
        <v>827</v>
      </c>
      <c r="D38" s="427" t="s">
        <v>1011</v>
      </c>
    </row>
    <row r="39" spans="2:4" x14ac:dyDescent="0.25">
      <c r="B39" s="426" t="s">
        <v>1005</v>
      </c>
      <c r="C39" s="423" t="s">
        <v>827</v>
      </c>
      <c r="D39" s="428" t="s">
        <v>1373</v>
      </c>
    </row>
    <row r="40" spans="2:4" x14ac:dyDescent="0.25">
      <c r="B40" s="426" t="s">
        <v>1005</v>
      </c>
      <c r="C40" s="423" t="s">
        <v>827</v>
      </c>
      <c r="D40" s="428" t="s">
        <v>1012</v>
      </c>
    </row>
    <row r="41" spans="2:4" x14ac:dyDescent="0.25">
      <c r="B41" s="426" t="s">
        <v>1013</v>
      </c>
      <c r="C41" s="423" t="s">
        <v>170</v>
      </c>
      <c r="D41" s="428" t="s">
        <v>974</v>
      </c>
    </row>
    <row r="42" spans="2:4" x14ac:dyDescent="0.25">
      <c r="B42" s="426" t="s">
        <v>1013</v>
      </c>
      <c r="C42" s="423" t="s">
        <v>170</v>
      </c>
      <c r="D42" s="428" t="s">
        <v>975</v>
      </c>
    </row>
    <row r="43" spans="2:4" x14ac:dyDescent="0.25">
      <c r="B43" s="426" t="s">
        <v>1013</v>
      </c>
      <c r="C43" s="423" t="s">
        <v>827</v>
      </c>
      <c r="D43" s="429" t="s">
        <v>1008</v>
      </c>
    </row>
    <row r="44" spans="2:4" x14ac:dyDescent="0.25">
      <c r="B44" s="426" t="s">
        <v>1014</v>
      </c>
      <c r="C44" s="423" t="s">
        <v>170</v>
      </c>
      <c r="D44" s="429" t="s">
        <v>984</v>
      </c>
    </row>
    <row r="45" spans="2:4" x14ac:dyDescent="0.25">
      <c r="B45" s="426" t="s">
        <v>1014</v>
      </c>
      <c r="C45" s="423" t="s">
        <v>170</v>
      </c>
      <c r="D45" s="429" t="s">
        <v>985</v>
      </c>
    </row>
    <row r="46" spans="2:4" x14ac:dyDescent="0.25">
      <c r="B46" s="426" t="s">
        <v>1014</v>
      </c>
      <c r="C46" s="423" t="s">
        <v>824</v>
      </c>
      <c r="D46" s="429" t="s">
        <v>986</v>
      </c>
    </row>
    <row r="47" spans="2:4" x14ac:dyDescent="0.25">
      <c r="B47" s="426" t="s">
        <v>1014</v>
      </c>
      <c r="C47" s="423" t="s">
        <v>824</v>
      </c>
      <c r="D47" s="429" t="s">
        <v>987</v>
      </c>
    </row>
    <row r="48" spans="2:4" x14ac:dyDescent="0.25">
      <c r="B48" s="426" t="s">
        <v>1014</v>
      </c>
      <c r="C48" s="423" t="s">
        <v>825</v>
      </c>
      <c r="D48" s="429" t="s">
        <v>1190</v>
      </c>
    </row>
    <row r="49" spans="2:4" x14ac:dyDescent="0.25">
      <c r="B49" s="426" t="s">
        <v>1014</v>
      </c>
      <c r="C49" s="423" t="s">
        <v>825</v>
      </c>
      <c r="D49" s="429" t="s">
        <v>1191</v>
      </c>
    </row>
    <row r="50" spans="2:4" x14ac:dyDescent="0.25">
      <c r="B50" s="426" t="s">
        <v>1014</v>
      </c>
      <c r="C50" s="423" t="s">
        <v>826</v>
      </c>
      <c r="D50" s="429" t="s">
        <v>1015</v>
      </c>
    </row>
    <row r="51" spans="2:4" x14ac:dyDescent="0.25">
      <c r="B51" s="426" t="s">
        <v>1014</v>
      </c>
      <c r="C51" s="423" t="s">
        <v>827</v>
      </c>
      <c r="D51" s="429" t="s">
        <v>1016</v>
      </c>
    </row>
    <row r="52" spans="2:4" x14ac:dyDescent="0.25">
      <c r="B52" s="426" t="s">
        <v>1014</v>
      </c>
      <c r="C52" s="423" t="s">
        <v>170</v>
      </c>
      <c r="D52" s="429" t="s">
        <v>560</v>
      </c>
    </row>
    <row r="53" spans="2:4" x14ac:dyDescent="0.25">
      <c r="B53" s="426" t="s">
        <v>1014</v>
      </c>
      <c r="C53" s="423" t="s">
        <v>170</v>
      </c>
      <c r="D53" s="427" t="s">
        <v>561</v>
      </c>
    </row>
    <row r="54" spans="2:4" x14ac:dyDescent="0.25">
      <c r="B54" s="426" t="s">
        <v>1014</v>
      </c>
      <c r="C54" s="423" t="s">
        <v>824</v>
      </c>
      <c r="D54" s="427" t="s">
        <v>1017</v>
      </c>
    </row>
    <row r="55" spans="2:4" ht="13.15" thickBot="1" x14ac:dyDescent="0.3">
      <c r="B55" s="466" t="s">
        <v>1014</v>
      </c>
      <c r="C55" s="467" t="s">
        <v>824</v>
      </c>
      <c r="D55" s="468" t="s">
        <v>1018</v>
      </c>
    </row>
    <row r="56" spans="2:4" x14ac:dyDescent="0.25">
      <c r="B56" s="469" t="s">
        <v>1082</v>
      </c>
      <c r="C56" s="470" t="s">
        <v>170</v>
      </c>
      <c r="D56" s="471" t="s">
        <v>972</v>
      </c>
    </row>
    <row r="57" spans="2:4" x14ac:dyDescent="0.25">
      <c r="B57" s="426" t="s">
        <v>1082</v>
      </c>
      <c r="C57" s="423" t="s">
        <v>170</v>
      </c>
      <c r="D57" s="427" t="s">
        <v>973</v>
      </c>
    </row>
    <row r="58" spans="2:4" x14ac:dyDescent="0.25">
      <c r="B58" s="426" t="s">
        <v>1082</v>
      </c>
      <c r="C58" s="423" t="s">
        <v>170</v>
      </c>
      <c r="D58" s="427" t="s">
        <v>974</v>
      </c>
    </row>
    <row r="59" spans="2:4" x14ac:dyDescent="0.25">
      <c r="B59" s="426" t="s">
        <v>1082</v>
      </c>
      <c r="C59" s="423" t="s">
        <v>170</v>
      </c>
      <c r="D59" s="427" t="s">
        <v>975</v>
      </c>
    </row>
    <row r="60" spans="2:4" x14ac:dyDescent="0.25">
      <c r="B60" s="426" t="s">
        <v>1082</v>
      </c>
      <c r="C60" s="423" t="s">
        <v>1006</v>
      </c>
      <c r="D60" s="427" t="s">
        <v>1178</v>
      </c>
    </row>
    <row r="61" spans="2:4" x14ac:dyDescent="0.25">
      <c r="B61" s="426" t="s">
        <v>1082</v>
      </c>
      <c r="C61" s="423" t="s">
        <v>1006</v>
      </c>
      <c r="D61" s="427" t="s">
        <v>1179</v>
      </c>
    </row>
    <row r="62" spans="2:4" x14ac:dyDescent="0.25">
      <c r="B62" s="426" t="s">
        <v>1082</v>
      </c>
      <c r="C62" s="423" t="s">
        <v>823</v>
      </c>
      <c r="D62" s="427" t="s">
        <v>1180</v>
      </c>
    </row>
    <row r="63" spans="2:4" x14ac:dyDescent="0.25">
      <c r="B63" s="426" t="s">
        <v>1082</v>
      </c>
      <c r="C63" s="423" t="s">
        <v>823</v>
      </c>
      <c r="D63" s="427" t="s">
        <v>1181</v>
      </c>
    </row>
    <row r="64" spans="2:4" x14ac:dyDescent="0.25">
      <c r="B64" s="426" t="s">
        <v>1082</v>
      </c>
      <c r="C64" s="423" t="s">
        <v>824</v>
      </c>
      <c r="D64" s="427" t="s">
        <v>978</v>
      </c>
    </row>
    <row r="65" spans="2:4" x14ac:dyDescent="0.25">
      <c r="B65" s="426" t="s">
        <v>1082</v>
      </c>
      <c r="C65" s="423" t="s">
        <v>824</v>
      </c>
      <c r="D65" s="427" t="s">
        <v>979</v>
      </c>
    </row>
    <row r="66" spans="2:4" x14ac:dyDescent="0.25">
      <c r="B66" s="426" t="s">
        <v>1082</v>
      </c>
      <c r="C66" s="423" t="s">
        <v>824</v>
      </c>
      <c r="D66" s="427" t="s">
        <v>980</v>
      </c>
    </row>
    <row r="67" spans="2:4" x14ac:dyDescent="0.25">
      <c r="B67" s="426" t="s">
        <v>1082</v>
      </c>
      <c r="C67" s="423" t="s">
        <v>824</v>
      </c>
      <c r="D67" s="427" t="s">
        <v>981</v>
      </c>
    </row>
    <row r="68" spans="2:4" x14ac:dyDescent="0.25">
      <c r="B68" s="426" t="s">
        <v>1082</v>
      </c>
      <c r="C68" s="423" t="s">
        <v>825</v>
      </c>
      <c r="D68" s="427" t="s">
        <v>1182</v>
      </c>
    </row>
    <row r="69" spans="2:4" x14ac:dyDescent="0.25">
      <c r="B69" s="426" t="s">
        <v>1082</v>
      </c>
      <c r="C69" s="423" t="s">
        <v>825</v>
      </c>
      <c r="D69" s="427" t="s">
        <v>1183</v>
      </c>
    </row>
    <row r="70" spans="2:4" x14ac:dyDescent="0.25">
      <c r="B70" s="426" t="s">
        <v>1082</v>
      </c>
      <c r="C70" s="423" t="s">
        <v>826</v>
      </c>
      <c r="D70" s="427" t="s">
        <v>1007</v>
      </c>
    </row>
    <row r="71" spans="2:4" x14ac:dyDescent="0.25">
      <c r="B71" s="426" t="s">
        <v>1082</v>
      </c>
      <c r="C71" s="423" t="s">
        <v>826</v>
      </c>
      <c r="D71" s="427" t="s">
        <v>1370</v>
      </c>
    </row>
    <row r="72" spans="2:4" x14ac:dyDescent="0.25">
      <c r="B72" s="426" t="s">
        <v>1082</v>
      </c>
      <c r="C72" s="423" t="s">
        <v>827</v>
      </c>
      <c r="D72" s="427" t="s">
        <v>1008</v>
      </c>
    </row>
    <row r="73" spans="2:4" x14ac:dyDescent="0.25">
      <c r="B73" s="426" t="s">
        <v>1082</v>
      </c>
      <c r="C73" s="423" t="s">
        <v>827</v>
      </c>
      <c r="D73" s="427" t="s">
        <v>1371</v>
      </c>
    </row>
    <row r="74" spans="2:4" x14ac:dyDescent="0.25">
      <c r="B74" s="426" t="s">
        <v>1082</v>
      </c>
      <c r="C74" s="423" t="s">
        <v>170</v>
      </c>
      <c r="D74" s="427" t="s">
        <v>976</v>
      </c>
    </row>
    <row r="75" spans="2:4" x14ac:dyDescent="0.25">
      <c r="B75" s="426" t="s">
        <v>1082</v>
      </c>
      <c r="C75" s="423" t="s">
        <v>170</v>
      </c>
      <c r="D75" s="427" t="s">
        <v>977</v>
      </c>
    </row>
    <row r="76" spans="2:4" x14ac:dyDescent="0.25">
      <c r="B76" s="426" t="s">
        <v>1082</v>
      </c>
      <c r="C76" s="423" t="s">
        <v>1006</v>
      </c>
      <c r="D76" s="427" t="s">
        <v>1184</v>
      </c>
    </row>
    <row r="77" spans="2:4" x14ac:dyDescent="0.25">
      <c r="B77" s="426" t="s">
        <v>1082</v>
      </c>
      <c r="C77" s="423" t="s">
        <v>1006</v>
      </c>
      <c r="D77" s="427" t="s">
        <v>1185</v>
      </c>
    </row>
    <row r="78" spans="2:4" x14ac:dyDescent="0.25">
      <c r="B78" s="426" t="s">
        <v>1082</v>
      </c>
      <c r="C78" s="423" t="s">
        <v>823</v>
      </c>
      <c r="D78" s="429" t="s">
        <v>1186</v>
      </c>
    </row>
    <row r="79" spans="2:4" x14ac:dyDescent="0.25">
      <c r="B79" s="426" t="s">
        <v>1082</v>
      </c>
      <c r="C79" s="423" t="s">
        <v>823</v>
      </c>
      <c r="D79" s="429" t="s">
        <v>1187</v>
      </c>
    </row>
    <row r="80" spans="2:4" x14ac:dyDescent="0.25">
      <c r="B80" s="426" t="s">
        <v>1082</v>
      </c>
      <c r="C80" s="423" t="s">
        <v>824</v>
      </c>
      <c r="D80" s="429" t="s">
        <v>982</v>
      </c>
    </row>
    <row r="81" spans="2:4" x14ac:dyDescent="0.25">
      <c r="B81" s="426" t="s">
        <v>1082</v>
      </c>
      <c r="C81" s="423" t="s">
        <v>824</v>
      </c>
      <c r="D81" s="429" t="s">
        <v>983</v>
      </c>
    </row>
    <row r="82" spans="2:4" x14ac:dyDescent="0.25">
      <c r="B82" s="426" t="s">
        <v>1082</v>
      </c>
      <c r="C82" s="423" t="s">
        <v>825</v>
      </c>
      <c r="D82" s="429" t="s">
        <v>1188</v>
      </c>
    </row>
    <row r="83" spans="2:4" x14ac:dyDescent="0.25">
      <c r="B83" s="426" t="s">
        <v>1082</v>
      </c>
      <c r="C83" s="423" t="s">
        <v>825</v>
      </c>
      <c r="D83" s="429" t="s">
        <v>1189</v>
      </c>
    </row>
    <row r="84" spans="2:4" x14ac:dyDescent="0.25">
      <c r="B84" s="426" t="s">
        <v>1082</v>
      </c>
      <c r="C84" s="423" t="s">
        <v>826</v>
      </c>
      <c r="D84" s="429" t="s">
        <v>1009</v>
      </c>
    </row>
    <row r="85" spans="2:4" x14ac:dyDescent="0.25">
      <c r="B85" s="426" t="s">
        <v>1082</v>
      </c>
      <c r="C85" s="423" t="s">
        <v>826</v>
      </c>
      <c r="D85" s="429" t="s">
        <v>1372</v>
      </c>
    </row>
    <row r="86" spans="2:4" x14ac:dyDescent="0.25">
      <c r="B86" s="426" t="s">
        <v>1082</v>
      </c>
      <c r="C86" s="423" t="s">
        <v>826</v>
      </c>
      <c r="D86" s="429" t="s">
        <v>1010</v>
      </c>
    </row>
    <row r="87" spans="2:4" x14ac:dyDescent="0.25">
      <c r="B87" s="426" t="s">
        <v>1082</v>
      </c>
      <c r="C87" s="423" t="s">
        <v>827</v>
      </c>
      <c r="D87" s="429" t="s">
        <v>1011</v>
      </c>
    </row>
    <row r="88" spans="2:4" x14ac:dyDescent="0.25">
      <c r="B88" s="426" t="s">
        <v>1082</v>
      </c>
      <c r="C88" s="423" t="s">
        <v>827</v>
      </c>
      <c r="D88" s="429" t="s">
        <v>1373</v>
      </c>
    </row>
    <row r="89" spans="2:4" x14ac:dyDescent="0.25">
      <c r="B89" s="426" t="s">
        <v>1082</v>
      </c>
      <c r="C89" s="423" t="s">
        <v>827</v>
      </c>
      <c r="D89" s="429" t="s">
        <v>1012</v>
      </c>
    </row>
    <row r="90" spans="2:4" x14ac:dyDescent="0.25">
      <c r="B90" s="426" t="s">
        <v>1374</v>
      </c>
      <c r="C90" s="423" t="s">
        <v>170</v>
      </c>
      <c r="D90" s="429" t="s">
        <v>974</v>
      </c>
    </row>
    <row r="91" spans="2:4" x14ac:dyDescent="0.25">
      <c r="B91" s="426" t="s">
        <v>1374</v>
      </c>
      <c r="C91" s="423" t="s">
        <v>170</v>
      </c>
      <c r="D91" s="429" t="s">
        <v>975</v>
      </c>
    </row>
    <row r="92" spans="2:4" x14ac:dyDescent="0.25">
      <c r="B92" s="426" t="s">
        <v>1374</v>
      </c>
      <c r="C92" s="423" t="s">
        <v>827</v>
      </c>
      <c r="D92" s="429" t="s">
        <v>1008</v>
      </c>
    </row>
    <row r="93" spans="2:4" x14ac:dyDescent="0.25">
      <c r="B93" s="426" t="s">
        <v>1375</v>
      </c>
      <c r="C93" s="423" t="s">
        <v>170</v>
      </c>
      <c r="D93" s="429" t="s">
        <v>984</v>
      </c>
    </row>
    <row r="94" spans="2:4" x14ac:dyDescent="0.25">
      <c r="B94" s="426" t="s">
        <v>1375</v>
      </c>
      <c r="C94" s="423" t="s">
        <v>170</v>
      </c>
      <c r="D94" s="429" t="s">
        <v>985</v>
      </c>
    </row>
    <row r="95" spans="2:4" x14ac:dyDescent="0.25">
      <c r="B95" s="426" t="s">
        <v>1375</v>
      </c>
      <c r="C95" s="423" t="s">
        <v>824</v>
      </c>
      <c r="D95" s="429" t="s">
        <v>986</v>
      </c>
    </row>
    <row r="96" spans="2:4" x14ac:dyDescent="0.25">
      <c r="B96" s="426" t="s">
        <v>1375</v>
      </c>
      <c r="C96" s="423" t="s">
        <v>824</v>
      </c>
      <c r="D96" s="429" t="s">
        <v>987</v>
      </c>
    </row>
    <row r="97" spans="2:4" x14ac:dyDescent="0.25">
      <c r="B97" s="426" t="s">
        <v>1375</v>
      </c>
      <c r="C97" s="423" t="s">
        <v>825</v>
      </c>
      <c r="D97" s="429" t="s">
        <v>1190</v>
      </c>
    </row>
    <row r="98" spans="2:4" x14ac:dyDescent="0.25">
      <c r="B98" s="426" t="s">
        <v>1375</v>
      </c>
      <c r="C98" s="423" t="s">
        <v>825</v>
      </c>
      <c r="D98" s="429" t="s">
        <v>1191</v>
      </c>
    </row>
    <row r="99" spans="2:4" x14ac:dyDescent="0.25">
      <c r="B99" s="426" t="s">
        <v>1375</v>
      </c>
      <c r="C99" s="423" t="s">
        <v>826</v>
      </c>
      <c r="D99" s="429" t="s">
        <v>1015</v>
      </c>
    </row>
    <row r="100" spans="2:4" x14ac:dyDescent="0.25">
      <c r="B100" s="426" t="s">
        <v>1375</v>
      </c>
      <c r="C100" s="423" t="s">
        <v>827</v>
      </c>
      <c r="D100" s="429" t="s">
        <v>1016</v>
      </c>
    </row>
    <row r="101" spans="2:4" x14ac:dyDescent="0.25">
      <c r="B101" s="426" t="s">
        <v>1375</v>
      </c>
      <c r="C101" s="423" t="s">
        <v>170</v>
      </c>
      <c r="D101" s="429" t="s">
        <v>1376</v>
      </c>
    </row>
    <row r="102" spans="2:4" x14ac:dyDescent="0.25">
      <c r="B102" s="426" t="s">
        <v>1375</v>
      </c>
      <c r="C102" s="423" t="s">
        <v>170</v>
      </c>
      <c r="D102" s="427" t="s">
        <v>1377</v>
      </c>
    </row>
    <row r="103" spans="2:4" x14ac:dyDescent="0.25">
      <c r="B103" s="426" t="s">
        <v>1375</v>
      </c>
      <c r="C103" s="423" t="s">
        <v>824</v>
      </c>
      <c r="D103" s="427" t="s">
        <v>1378</v>
      </c>
    </row>
    <row r="104" spans="2:4" ht="13.15" thickBot="1" x14ac:dyDescent="0.3">
      <c r="B104" s="432" t="s">
        <v>1375</v>
      </c>
      <c r="C104" s="424" t="s">
        <v>824</v>
      </c>
      <c r="D104" s="433" t="s">
        <v>1379</v>
      </c>
    </row>
    <row r="105" spans="2:4" x14ac:dyDescent="0.25">
      <c r="B105" s="461" t="s">
        <v>1019</v>
      </c>
      <c r="C105" s="462" t="s">
        <v>170</v>
      </c>
      <c r="D105" s="427" t="s">
        <v>1342</v>
      </c>
    </row>
    <row r="106" spans="2:4" x14ac:dyDescent="0.25">
      <c r="B106" s="426" t="s">
        <v>1019</v>
      </c>
      <c r="C106" s="423" t="s">
        <v>170</v>
      </c>
      <c r="D106" s="427" t="s">
        <v>1343</v>
      </c>
    </row>
    <row r="107" spans="2:4" x14ac:dyDescent="0.25">
      <c r="B107" s="426" t="s">
        <v>1019</v>
      </c>
      <c r="C107" s="423" t="s">
        <v>1006</v>
      </c>
      <c r="D107" s="427" t="s">
        <v>1192</v>
      </c>
    </row>
    <row r="108" spans="2:4" x14ac:dyDescent="0.25">
      <c r="B108" s="426" t="s">
        <v>1019</v>
      </c>
      <c r="C108" s="423" t="s">
        <v>1006</v>
      </c>
      <c r="D108" s="427" t="s">
        <v>1193</v>
      </c>
    </row>
    <row r="109" spans="2:4" x14ac:dyDescent="0.25">
      <c r="B109" s="426" t="s">
        <v>1019</v>
      </c>
      <c r="C109" s="423" t="s">
        <v>823</v>
      </c>
      <c r="D109" s="427" t="s">
        <v>1194</v>
      </c>
    </row>
    <row r="110" spans="2:4" x14ac:dyDescent="0.25">
      <c r="B110" s="426" t="s">
        <v>1019</v>
      </c>
      <c r="C110" s="423" t="s">
        <v>823</v>
      </c>
      <c r="D110" s="427" t="s">
        <v>1195</v>
      </c>
    </row>
    <row r="111" spans="2:4" x14ac:dyDescent="0.25">
      <c r="B111" s="426" t="s">
        <v>1019</v>
      </c>
      <c r="C111" s="423" t="s">
        <v>824</v>
      </c>
      <c r="D111" s="427" t="s">
        <v>1380</v>
      </c>
    </row>
    <row r="112" spans="2:4" x14ac:dyDescent="0.25">
      <c r="B112" s="426" t="s">
        <v>1019</v>
      </c>
      <c r="C112" s="423" t="s">
        <v>824</v>
      </c>
      <c r="D112" s="428" t="s">
        <v>1381</v>
      </c>
    </row>
    <row r="113" spans="2:4" x14ac:dyDescent="0.25">
      <c r="B113" s="426" t="s">
        <v>1019</v>
      </c>
      <c r="C113" s="423" t="s">
        <v>825</v>
      </c>
      <c r="D113" s="428" t="s">
        <v>1345</v>
      </c>
    </row>
    <row r="114" spans="2:4" x14ac:dyDescent="0.25">
      <c r="B114" s="465" t="s">
        <v>1019</v>
      </c>
      <c r="C114" s="423" t="s">
        <v>825</v>
      </c>
      <c r="D114" s="428" t="s">
        <v>1346</v>
      </c>
    </row>
    <row r="115" spans="2:4" x14ac:dyDescent="0.25">
      <c r="B115" s="465" t="s">
        <v>1019</v>
      </c>
      <c r="C115" s="423" t="s">
        <v>826</v>
      </c>
      <c r="D115" s="428" t="s">
        <v>1349</v>
      </c>
    </row>
    <row r="116" spans="2:4" x14ac:dyDescent="0.25">
      <c r="B116" s="465" t="s">
        <v>1019</v>
      </c>
      <c r="C116" s="423" t="s">
        <v>826</v>
      </c>
      <c r="D116" s="429" t="s">
        <v>1382</v>
      </c>
    </row>
    <row r="117" spans="2:4" x14ac:dyDescent="0.25">
      <c r="B117" s="465" t="s">
        <v>1019</v>
      </c>
      <c r="C117" s="423" t="s">
        <v>827</v>
      </c>
      <c r="D117" s="429" t="s">
        <v>1347</v>
      </c>
    </row>
    <row r="118" spans="2:4" x14ac:dyDescent="0.25">
      <c r="B118" s="465" t="s">
        <v>1019</v>
      </c>
      <c r="C118" s="423" t="s">
        <v>827</v>
      </c>
      <c r="D118" s="429" t="s">
        <v>1383</v>
      </c>
    </row>
    <row r="119" spans="2:4" x14ac:dyDescent="0.25">
      <c r="B119" s="465" t="s">
        <v>1019</v>
      </c>
      <c r="C119" s="423" t="s">
        <v>826</v>
      </c>
      <c r="D119" s="429" t="s">
        <v>1350</v>
      </c>
    </row>
    <row r="120" spans="2:4" x14ac:dyDescent="0.25">
      <c r="B120" s="465" t="s">
        <v>1019</v>
      </c>
      <c r="C120" s="423" t="s">
        <v>827</v>
      </c>
      <c r="D120" s="429" t="s">
        <v>1348</v>
      </c>
    </row>
    <row r="121" spans="2:4" x14ac:dyDescent="0.25">
      <c r="B121" s="465" t="s">
        <v>1020</v>
      </c>
      <c r="C121" s="423" t="s">
        <v>170</v>
      </c>
      <c r="D121" s="429" t="s">
        <v>1351</v>
      </c>
    </row>
    <row r="122" spans="2:4" x14ac:dyDescent="0.25">
      <c r="B122" s="465" t="s">
        <v>1020</v>
      </c>
      <c r="C122" s="423" t="s">
        <v>170</v>
      </c>
      <c r="D122" s="429" t="s">
        <v>1384</v>
      </c>
    </row>
    <row r="123" spans="2:4" x14ac:dyDescent="0.25">
      <c r="B123" s="465" t="s">
        <v>1020</v>
      </c>
      <c r="C123" s="423" t="s">
        <v>170</v>
      </c>
      <c r="D123" s="429" t="s">
        <v>1385</v>
      </c>
    </row>
    <row r="124" spans="2:4" x14ac:dyDescent="0.25">
      <c r="B124" s="465" t="s">
        <v>1020</v>
      </c>
      <c r="C124" s="423" t="s">
        <v>170</v>
      </c>
      <c r="D124" s="429" t="s">
        <v>1352</v>
      </c>
    </row>
    <row r="125" spans="2:4" x14ac:dyDescent="0.25">
      <c r="B125" s="465" t="s">
        <v>1020</v>
      </c>
      <c r="C125" s="423" t="s">
        <v>823</v>
      </c>
      <c r="D125" s="429" t="s">
        <v>1196</v>
      </c>
    </row>
    <row r="126" spans="2:4" x14ac:dyDescent="0.25">
      <c r="B126" s="465" t="s">
        <v>1020</v>
      </c>
      <c r="C126" s="423" t="s">
        <v>823</v>
      </c>
      <c r="D126" s="427" t="s">
        <v>1197</v>
      </c>
    </row>
    <row r="127" spans="2:4" x14ac:dyDescent="0.25">
      <c r="B127" s="465" t="s">
        <v>1020</v>
      </c>
      <c r="C127" s="423" t="s">
        <v>824</v>
      </c>
      <c r="D127" s="427" t="s">
        <v>1386</v>
      </c>
    </row>
    <row r="128" spans="2:4" x14ac:dyDescent="0.25">
      <c r="B128" s="465" t="s">
        <v>1020</v>
      </c>
      <c r="C128" s="423" t="s">
        <v>824</v>
      </c>
      <c r="D128" s="429" t="s">
        <v>1387</v>
      </c>
    </row>
    <row r="129" spans="2:4" x14ac:dyDescent="0.25">
      <c r="B129" s="465" t="s">
        <v>1020</v>
      </c>
      <c r="C129" s="423" t="s">
        <v>824</v>
      </c>
      <c r="D129" s="429" t="s">
        <v>1388</v>
      </c>
    </row>
    <row r="130" spans="2:4" x14ac:dyDescent="0.25">
      <c r="B130" s="465" t="s">
        <v>1020</v>
      </c>
      <c r="C130" s="423" t="s">
        <v>824</v>
      </c>
      <c r="D130" s="429" t="s">
        <v>1389</v>
      </c>
    </row>
    <row r="131" spans="2:4" x14ac:dyDescent="0.25">
      <c r="B131" s="465" t="s">
        <v>1020</v>
      </c>
      <c r="C131" s="423" t="s">
        <v>825</v>
      </c>
      <c r="D131" s="429" t="s">
        <v>1354</v>
      </c>
    </row>
    <row r="132" spans="2:4" x14ac:dyDescent="0.25">
      <c r="B132" s="465" t="s">
        <v>1020</v>
      </c>
      <c r="C132" s="423" t="s">
        <v>825</v>
      </c>
      <c r="D132" s="429" t="s">
        <v>1355</v>
      </c>
    </row>
    <row r="133" spans="2:4" x14ac:dyDescent="0.25">
      <c r="B133" s="465" t="s">
        <v>1020</v>
      </c>
      <c r="C133" s="423" t="s">
        <v>826</v>
      </c>
      <c r="D133" s="427" t="s">
        <v>1390</v>
      </c>
    </row>
    <row r="134" spans="2:4" ht="13.15" thickBot="1" x14ac:dyDescent="0.3">
      <c r="B134" s="498" t="s">
        <v>1020</v>
      </c>
      <c r="C134" s="467" t="s">
        <v>827</v>
      </c>
      <c r="D134" s="468" t="s">
        <v>1356</v>
      </c>
    </row>
    <row r="135" spans="2:4" x14ac:dyDescent="0.25">
      <c r="B135" s="501" t="s">
        <v>1333</v>
      </c>
      <c r="C135" s="502" t="s">
        <v>170</v>
      </c>
      <c r="D135" s="503" t="s">
        <v>1342</v>
      </c>
    </row>
    <row r="136" spans="2:4" x14ac:dyDescent="0.25">
      <c r="B136" s="504" t="s">
        <v>1333</v>
      </c>
      <c r="C136" s="505" t="s">
        <v>170</v>
      </c>
      <c r="D136" s="506" t="s">
        <v>1343</v>
      </c>
    </row>
    <row r="137" spans="2:4" x14ac:dyDescent="0.25">
      <c r="B137" s="504" t="s">
        <v>1333</v>
      </c>
      <c r="C137" s="505" t="s">
        <v>170</v>
      </c>
      <c r="D137" s="506" t="s">
        <v>1344</v>
      </c>
    </row>
    <row r="138" spans="2:4" x14ac:dyDescent="0.25">
      <c r="B138" s="504" t="s">
        <v>1333</v>
      </c>
      <c r="C138" s="505" t="s">
        <v>825</v>
      </c>
      <c r="D138" s="506" t="s">
        <v>1345</v>
      </c>
    </row>
    <row r="139" spans="2:4" x14ac:dyDescent="0.25">
      <c r="B139" s="504" t="s">
        <v>1333</v>
      </c>
      <c r="C139" s="505" t="s">
        <v>825</v>
      </c>
      <c r="D139" s="506" t="s">
        <v>1346</v>
      </c>
    </row>
    <row r="140" spans="2:4" x14ac:dyDescent="0.25">
      <c r="B140" s="504" t="s">
        <v>1333</v>
      </c>
      <c r="C140" s="505" t="s">
        <v>827</v>
      </c>
      <c r="D140" s="506" t="s">
        <v>1347</v>
      </c>
    </row>
    <row r="141" spans="2:4" x14ac:dyDescent="0.25">
      <c r="B141" s="504" t="s">
        <v>1333</v>
      </c>
      <c r="C141" s="505" t="s">
        <v>827</v>
      </c>
      <c r="D141" s="506" t="s">
        <v>1348</v>
      </c>
    </row>
    <row r="142" spans="2:4" x14ac:dyDescent="0.25">
      <c r="B142" s="504" t="s">
        <v>1333</v>
      </c>
      <c r="C142" s="505" t="s">
        <v>826</v>
      </c>
      <c r="D142" s="506" t="s">
        <v>1349</v>
      </c>
    </row>
    <row r="143" spans="2:4" x14ac:dyDescent="0.25">
      <c r="B143" s="504" t="s">
        <v>1333</v>
      </c>
      <c r="C143" s="505" t="s">
        <v>826</v>
      </c>
      <c r="D143" s="506" t="s">
        <v>1350</v>
      </c>
    </row>
    <row r="144" spans="2:4" x14ac:dyDescent="0.25">
      <c r="B144" s="504" t="s">
        <v>1334</v>
      </c>
      <c r="C144" s="505" t="s">
        <v>170</v>
      </c>
      <c r="D144" s="506" t="s">
        <v>1351</v>
      </c>
    </row>
    <row r="145" spans="2:4" x14ac:dyDescent="0.25">
      <c r="B145" s="504" t="s">
        <v>1334</v>
      </c>
      <c r="C145" s="505" t="s">
        <v>170</v>
      </c>
      <c r="D145" s="506" t="s">
        <v>1352</v>
      </c>
    </row>
    <row r="146" spans="2:4" x14ac:dyDescent="0.25">
      <c r="B146" s="504" t="s">
        <v>1334</v>
      </c>
      <c r="C146" s="505" t="s">
        <v>170</v>
      </c>
      <c r="D146" s="506" t="s">
        <v>1353</v>
      </c>
    </row>
    <row r="147" spans="2:4" x14ac:dyDescent="0.25">
      <c r="B147" s="504" t="s">
        <v>1334</v>
      </c>
      <c r="C147" s="505" t="s">
        <v>825</v>
      </c>
      <c r="D147" s="506" t="s">
        <v>1354</v>
      </c>
    </row>
    <row r="148" spans="2:4" x14ac:dyDescent="0.25">
      <c r="B148" s="504" t="s">
        <v>1334</v>
      </c>
      <c r="C148" s="505" t="s">
        <v>825</v>
      </c>
      <c r="D148" s="506" t="s">
        <v>1355</v>
      </c>
    </row>
    <row r="149" spans="2:4" x14ac:dyDescent="0.25">
      <c r="B149" s="504" t="s">
        <v>1334</v>
      </c>
      <c r="C149" s="505" t="s">
        <v>827</v>
      </c>
      <c r="D149" s="506" t="s">
        <v>1356</v>
      </c>
    </row>
    <row r="150" spans="2:4" x14ac:dyDescent="0.25">
      <c r="B150" s="504" t="s">
        <v>1334</v>
      </c>
      <c r="C150" s="505" t="s">
        <v>827</v>
      </c>
      <c r="D150" s="506" t="s">
        <v>1357</v>
      </c>
    </row>
    <row r="151" spans="2:4" x14ac:dyDescent="0.25">
      <c r="B151" s="504" t="s">
        <v>1334</v>
      </c>
      <c r="C151" s="505" t="s">
        <v>826</v>
      </c>
      <c r="D151" s="506" t="s">
        <v>1358</v>
      </c>
    </row>
    <row r="152" spans="2:4" ht="13.15" thickBot="1" x14ac:dyDescent="0.3">
      <c r="B152" s="507" t="s">
        <v>1334</v>
      </c>
      <c r="C152" s="508" t="s">
        <v>826</v>
      </c>
      <c r="D152" s="509" t="s">
        <v>1359</v>
      </c>
    </row>
    <row r="153" spans="2:4" x14ac:dyDescent="0.25">
      <c r="B153" s="461" t="s">
        <v>1021</v>
      </c>
      <c r="C153" s="462" t="s">
        <v>170</v>
      </c>
      <c r="D153" s="427" t="s">
        <v>1391</v>
      </c>
    </row>
    <row r="154" spans="2:4" x14ac:dyDescent="0.25">
      <c r="B154" s="426" t="s">
        <v>1021</v>
      </c>
      <c r="C154" s="423" t="s">
        <v>170</v>
      </c>
      <c r="D154" s="429" t="s">
        <v>1392</v>
      </c>
    </row>
    <row r="155" spans="2:4" x14ac:dyDescent="0.25">
      <c r="B155" s="426" t="s">
        <v>1021</v>
      </c>
      <c r="C155" s="423" t="s">
        <v>170</v>
      </c>
      <c r="D155" s="429" t="s">
        <v>1393</v>
      </c>
    </row>
    <row r="156" spans="2:4" x14ac:dyDescent="0.25">
      <c r="B156" s="426" t="s">
        <v>1021</v>
      </c>
      <c r="C156" s="423" t="s">
        <v>170</v>
      </c>
      <c r="D156" s="429" t="s">
        <v>1394</v>
      </c>
    </row>
    <row r="157" spans="2:4" x14ac:dyDescent="0.25">
      <c r="B157" s="426" t="s">
        <v>1021</v>
      </c>
      <c r="C157" s="423" t="s">
        <v>170</v>
      </c>
      <c r="D157" s="429" t="s">
        <v>1395</v>
      </c>
    </row>
    <row r="158" spans="2:4" x14ac:dyDescent="0.25">
      <c r="B158" s="426" t="s">
        <v>1021</v>
      </c>
      <c r="C158" s="423" t="s">
        <v>170</v>
      </c>
      <c r="D158" s="429" t="s">
        <v>1396</v>
      </c>
    </row>
    <row r="159" spans="2:4" x14ac:dyDescent="0.25">
      <c r="B159" s="426" t="s">
        <v>1021</v>
      </c>
      <c r="C159" s="423" t="s">
        <v>170</v>
      </c>
      <c r="D159" s="429" t="s">
        <v>1397</v>
      </c>
    </row>
    <row r="160" spans="2:4" x14ac:dyDescent="0.25">
      <c r="B160" s="426" t="s">
        <v>1021</v>
      </c>
      <c r="C160" s="423" t="s">
        <v>170</v>
      </c>
      <c r="D160" s="429" t="s">
        <v>1398</v>
      </c>
    </row>
    <row r="161" spans="2:4" x14ac:dyDescent="0.25">
      <c r="B161" s="426" t="s">
        <v>1021</v>
      </c>
      <c r="C161" s="423" t="s">
        <v>170</v>
      </c>
      <c r="D161" s="429" t="s">
        <v>1399</v>
      </c>
    </row>
    <row r="162" spans="2:4" x14ac:dyDescent="0.25">
      <c r="B162" s="426" t="s">
        <v>1021</v>
      </c>
      <c r="C162" s="423" t="s">
        <v>170</v>
      </c>
      <c r="D162" s="429" t="s">
        <v>1400</v>
      </c>
    </row>
    <row r="163" spans="2:4" x14ac:dyDescent="0.25">
      <c r="B163" s="426" t="s">
        <v>1021</v>
      </c>
      <c r="C163" s="423" t="s">
        <v>170</v>
      </c>
      <c r="D163" s="429" t="s">
        <v>1401</v>
      </c>
    </row>
    <row r="164" spans="2:4" x14ac:dyDescent="0.25">
      <c r="B164" s="426" t="s">
        <v>1021</v>
      </c>
      <c r="C164" s="423" t="s">
        <v>170</v>
      </c>
      <c r="D164" s="429" t="s">
        <v>1402</v>
      </c>
    </row>
    <row r="165" spans="2:4" x14ac:dyDescent="0.25">
      <c r="B165" s="426" t="s">
        <v>1021</v>
      </c>
      <c r="C165" s="423" t="s">
        <v>825</v>
      </c>
      <c r="D165" s="429" t="s">
        <v>1403</v>
      </c>
    </row>
    <row r="166" spans="2:4" x14ac:dyDescent="0.25">
      <c r="B166" s="426" t="s">
        <v>1021</v>
      </c>
      <c r="C166" s="423" t="s">
        <v>825</v>
      </c>
      <c r="D166" s="429" t="s">
        <v>1404</v>
      </c>
    </row>
    <row r="167" spans="2:4" x14ac:dyDescent="0.25">
      <c r="B167" s="426" t="s">
        <v>1021</v>
      </c>
      <c r="C167" s="423" t="s">
        <v>825</v>
      </c>
      <c r="D167" s="429" t="s">
        <v>1405</v>
      </c>
    </row>
    <row r="168" spans="2:4" x14ac:dyDescent="0.25">
      <c r="B168" s="426" t="s">
        <v>1021</v>
      </c>
      <c r="C168" s="423" t="s">
        <v>825</v>
      </c>
      <c r="D168" s="429" t="s">
        <v>1406</v>
      </c>
    </row>
    <row r="169" spans="2:4" x14ac:dyDescent="0.25">
      <c r="B169" s="426" t="s">
        <v>1021</v>
      </c>
      <c r="C169" s="423" t="s">
        <v>827</v>
      </c>
      <c r="D169" s="429" t="s">
        <v>1407</v>
      </c>
    </row>
    <row r="170" spans="2:4" x14ac:dyDescent="0.25">
      <c r="B170" s="426" t="s">
        <v>1021</v>
      </c>
      <c r="C170" s="423" t="s">
        <v>827</v>
      </c>
      <c r="D170" s="429" t="s">
        <v>1408</v>
      </c>
    </row>
    <row r="171" spans="2:4" x14ac:dyDescent="0.25">
      <c r="B171" s="461" t="s">
        <v>1021</v>
      </c>
      <c r="C171" s="462" t="s">
        <v>827</v>
      </c>
      <c r="D171" s="431" t="s">
        <v>1409</v>
      </c>
    </row>
    <row r="172" spans="2:4" x14ac:dyDescent="0.25">
      <c r="B172" s="426" t="s">
        <v>1021</v>
      </c>
      <c r="C172" s="423" t="s">
        <v>827</v>
      </c>
      <c r="D172" s="429" t="s">
        <v>1410</v>
      </c>
    </row>
    <row r="173" spans="2:4" x14ac:dyDescent="0.25">
      <c r="B173" s="426" t="s">
        <v>1021</v>
      </c>
      <c r="C173" s="423" t="s">
        <v>823</v>
      </c>
      <c r="D173" s="429" t="s">
        <v>1411</v>
      </c>
    </row>
    <row r="174" spans="2:4" x14ac:dyDescent="0.25">
      <c r="B174" s="426" t="s">
        <v>1021</v>
      </c>
      <c r="C174" s="423" t="s">
        <v>823</v>
      </c>
      <c r="D174" s="429" t="s">
        <v>1412</v>
      </c>
    </row>
    <row r="175" spans="2:4" x14ac:dyDescent="0.25">
      <c r="B175" s="426" t="s">
        <v>1021</v>
      </c>
      <c r="C175" s="423" t="s">
        <v>823</v>
      </c>
      <c r="D175" s="428" t="s">
        <v>1413</v>
      </c>
    </row>
    <row r="176" spans="2:4" x14ac:dyDescent="0.25">
      <c r="B176" s="426" t="s">
        <v>1021</v>
      </c>
      <c r="C176" s="423" t="s">
        <v>823</v>
      </c>
      <c r="D176" s="428" t="s">
        <v>1414</v>
      </c>
    </row>
    <row r="177" spans="2:4" x14ac:dyDescent="0.25">
      <c r="B177" s="461" t="s">
        <v>1022</v>
      </c>
      <c r="C177" s="462" t="s">
        <v>170</v>
      </c>
      <c r="D177" s="427" t="s">
        <v>1415</v>
      </c>
    </row>
    <row r="178" spans="2:4" x14ac:dyDescent="0.25">
      <c r="B178" s="426" t="s">
        <v>1022</v>
      </c>
      <c r="C178" s="423" t="s">
        <v>170</v>
      </c>
      <c r="D178" s="428" t="s">
        <v>1416</v>
      </c>
    </row>
    <row r="179" spans="2:4" x14ac:dyDescent="0.25">
      <c r="B179" s="426" t="s">
        <v>1022</v>
      </c>
      <c r="C179" s="423" t="s">
        <v>170</v>
      </c>
      <c r="D179" s="428" t="s">
        <v>1417</v>
      </c>
    </row>
    <row r="180" spans="2:4" x14ac:dyDescent="0.25">
      <c r="B180" s="426" t="s">
        <v>1022</v>
      </c>
      <c r="C180" s="423" t="s">
        <v>170</v>
      </c>
      <c r="D180" s="428" t="s">
        <v>1418</v>
      </c>
    </row>
    <row r="181" spans="2:4" x14ac:dyDescent="0.25">
      <c r="B181" s="426" t="s">
        <v>1022</v>
      </c>
      <c r="C181" s="423" t="s">
        <v>170</v>
      </c>
      <c r="D181" s="428" t="s">
        <v>1419</v>
      </c>
    </row>
    <row r="182" spans="2:4" x14ac:dyDescent="0.25">
      <c r="B182" s="426" t="s">
        <v>1022</v>
      </c>
      <c r="C182" s="423" t="s">
        <v>170</v>
      </c>
      <c r="D182" s="428" t="s">
        <v>1420</v>
      </c>
    </row>
    <row r="183" spans="2:4" x14ac:dyDescent="0.25">
      <c r="B183" s="426" t="s">
        <v>1022</v>
      </c>
      <c r="C183" s="423" t="s">
        <v>170</v>
      </c>
      <c r="D183" s="428" t="s">
        <v>1421</v>
      </c>
    </row>
    <row r="184" spans="2:4" x14ac:dyDescent="0.25">
      <c r="B184" s="426" t="s">
        <v>1022</v>
      </c>
      <c r="C184" s="423" t="s">
        <v>170</v>
      </c>
      <c r="D184" s="428" t="s">
        <v>1422</v>
      </c>
    </row>
    <row r="185" spans="2:4" x14ac:dyDescent="0.25">
      <c r="B185" s="426" t="s">
        <v>1022</v>
      </c>
      <c r="C185" s="423" t="s">
        <v>170</v>
      </c>
      <c r="D185" s="428" t="s">
        <v>1423</v>
      </c>
    </row>
    <row r="186" spans="2:4" x14ac:dyDescent="0.25">
      <c r="B186" s="426" t="s">
        <v>1022</v>
      </c>
      <c r="C186" s="423" t="s">
        <v>170</v>
      </c>
      <c r="D186" s="428" t="s">
        <v>1424</v>
      </c>
    </row>
    <row r="187" spans="2:4" x14ac:dyDescent="0.25">
      <c r="B187" s="426" t="s">
        <v>1022</v>
      </c>
      <c r="C187" s="423" t="s">
        <v>170</v>
      </c>
      <c r="D187" s="429" t="s">
        <v>1425</v>
      </c>
    </row>
    <row r="188" spans="2:4" x14ac:dyDescent="0.25">
      <c r="B188" s="426" t="s">
        <v>1022</v>
      </c>
      <c r="C188" s="423" t="s">
        <v>170</v>
      </c>
      <c r="D188" s="429" t="s">
        <v>1426</v>
      </c>
    </row>
    <row r="189" spans="2:4" x14ac:dyDescent="0.25">
      <c r="B189" s="426" t="s">
        <v>1022</v>
      </c>
      <c r="C189" s="423" t="s">
        <v>825</v>
      </c>
      <c r="D189" s="429" t="s">
        <v>1427</v>
      </c>
    </row>
    <row r="190" spans="2:4" x14ac:dyDescent="0.25">
      <c r="B190" s="426" t="s">
        <v>1022</v>
      </c>
      <c r="C190" s="423" t="s">
        <v>825</v>
      </c>
      <c r="D190" s="429" t="s">
        <v>1428</v>
      </c>
    </row>
    <row r="191" spans="2:4" x14ac:dyDescent="0.25">
      <c r="B191" s="426" t="s">
        <v>1022</v>
      </c>
      <c r="C191" s="423" t="s">
        <v>825</v>
      </c>
      <c r="D191" s="428" t="s">
        <v>1429</v>
      </c>
    </row>
    <row r="192" spans="2:4" x14ac:dyDescent="0.25">
      <c r="B192" s="426" t="s">
        <v>1022</v>
      </c>
      <c r="C192" s="423" t="s">
        <v>825</v>
      </c>
      <c r="D192" s="428" t="s">
        <v>1430</v>
      </c>
    </row>
    <row r="193" spans="2:4" x14ac:dyDescent="0.25">
      <c r="B193" s="426" t="s">
        <v>1022</v>
      </c>
      <c r="C193" s="423" t="s">
        <v>827</v>
      </c>
      <c r="D193" s="428" t="s">
        <v>1431</v>
      </c>
    </row>
    <row r="194" spans="2:4" x14ac:dyDescent="0.25">
      <c r="B194" s="426" t="s">
        <v>1022</v>
      </c>
      <c r="C194" s="423" t="s">
        <v>827</v>
      </c>
      <c r="D194" s="428" t="s">
        <v>1432</v>
      </c>
    </row>
    <row r="195" spans="2:4" x14ac:dyDescent="0.25">
      <c r="B195" s="426" t="s">
        <v>1022</v>
      </c>
      <c r="C195" s="423" t="s">
        <v>827</v>
      </c>
      <c r="D195" s="428" t="s">
        <v>1433</v>
      </c>
    </row>
    <row r="196" spans="2:4" x14ac:dyDescent="0.25">
      <c r="B196" s="426" t="s">
        <v>1022</v>
      </c>
      <c r="C196" s="423" t="s">
        <v>827</v>
      </c>
      <c r="D196" s="428" t="s">
        <v>1434</v>
      </c>
    </row>
    <row r="197" spans="2:4" x14ac:dyDescent="0.25">
      <c r="B197" s="426" t="s">
        <v>1022</v>
      </c>
      <c r="C197" s="423" t="s">
        <v>823</v>
      </c>
      <c r="D197" s="428" t="s">
        <v>1435</v>
      </c>
    </row>
    <row r="198" spans="2:4" x14ac:dyDescent="0.25">
      <c r="B198" s="426" t="s">
        <v>1022</v>
      </c>
      <c r="C198" s="423" t="s">
        <v>823</v>
      </c>
      <c r="D198" s="429" t="s">
        <v>1436</v>
      </c>
    </row>
    <row r="199" spans="2:4" x14ac:dyDescent="0.25">
      <c r="B199" s="426" t="s">
        <v>1022</v>
      </c>
      <c r="C199" s="423" t="s">
        <v>823</v>
      </c>
      <c r="D199" s="429" t="s">
        <v>1437</v>
      </c>
    </row>
    <row r="200" spans="2:4" ht="13.15" thickBot="1" x14ac:dyDescent="0.3">
      <c r="B200" s="432" t="s">
        <v>1022</v>
      </c>
      <c r="C200" s="424" t="s">
        <v>823</v>
      </c>
      <c r="D200" s="463" t="s">
        <v>1438</v>
      </c>
    </row>
    <row r="201" spans="2:4" x14ac:dyDescent="0.25">
      <c r="B201" s="461" t="s">
        <v>1023</v>
      </c>
      <c r="C201" s="462" t="s">
        <v>170</v>
      </c>
      <c r="D201" s="427" t="s">
        <v>1415</v>
      </c>
    </row>
    <row r="202" spans="2:4" x14ac:dyDescent="0.25">
      <c r="B202" s="426" t="s">
        <v>1023</v>
      </c>
      <c r="C202" s="423" t="s">
        <v>170</v>
      </c>
      <c r="D202" s="428" t="s">
        <v>1416</v>
      </c>
    </row>
    <row r="203" spans="2:4" x14ac:dyDescent="0.25">
      <c r="B203" s="426" t="s">
        <v>1023</v>
      </c>
      <c r="C203" s="423" t="s">
        <v>170</v>
      </c>
      <c r="D203" s="428" t="s">
        <v>1439</v>
      </c>
    </row>
    <row r="204" spans="2:4" x14ac:dyDescent="0.25">
      <c r="B204" s="426" t="s">
        <v>1023</v>
      </c>
      <c r="C204" s="423" t="s">
        <v>170</v>
      </c>
      <c r="D204" s="428" t="s">
        <v>1440</v>
      </c>
    </row>
    <row r="205" spans="2:4" x14ac:dyDescent="0.25">
      <c r="B205" s="426" t="s">
        <v>1023</v>
      </c>
      <c r="C205" s="423" t="s">
        <v>170</v>
      </c>
      <c r="D205" s="428" t="s">
        <v>1419</v>
      </c>
    </row>
    <row r="206" spans="2:4" x14ac:dyDescent="0.25">
      <c r="B206" s="426" t="s">
        <v>1023</v>
      </c>
      <c r="C206" s="423" t="s">
        <v>170</v>
      </c>
      <c r="D206" s="428" t="s">
        <v>1420</v>
      </c>
    </row>
    <row r="207" spans="2:4" x14ac:dyDescent="0.25">
      <c r="B207" s="426" t="s">
        <v>1023</v>
      </c>
      <c r="C207" s="423" t="s">
        <v>170</v>
      </c>
      <c r="D207" s="428" t="s">
        <v>1421</v>
      </c>
    </row>
    <row r="208" spans="2:4" x14ac:dyDescent="0.25">
      <c r="B208" s="426" t="s">
        <v>1023</v>
      </c>
      <c r="C208" s="423" t="s">
        <v>170</v>
      </c>
      <c r="D208" s="428" t="s">
        <v>1422</v>
      </c>
    </row>
    <row r="209" spans="2:4" x14ac:dyDescent="0.25">
      <c r="B209" s="426" t="s">
        <v>1023</v>
      </c>
      <c r="C209" s="423" t="s">
        <v>170</v>
      </c>
      <c r="D209" s="428" t="s">
        <v>1441</v>
      </c>
    </row>
    <row r="210" spans="2:4" x14ac:dyDescent="0.25">
      <c r="B210" s="426" t="s">
        <v>1023</v>
      </c>
      <c r="C210" s="423" t="s">
        <v>170</v>
      </c>
      <c r="D210" s="430" t="s">
        <v>1442</v>
      </c>
    </row>
    <row r="211" spans="2:4" x14ac:dyDescent="0.25">
      <c r="B211" s="426" t="s">
        <v>1023</v>
      </c>
      <c r="C211" s="423" t="s">
        <v>170</v>
      </c>
      <c r="D211" s="430" t="s">
        <v>1443</v>
      </c>
    </row>
    <row r="212" spans="2:4" x14ac:dyDescent="0.25">
      <c r="B212" s="426" t="s">
        <v>1023</v>
      </c>
      <c r="C212" s="423" t="s">
        <v>170</v>
      </c>
      <c r="D212" s="430" t="s">
        <v>1444</v>
      </c>
    </row>
    <row r="213" spans="2:4" x14ac:dyDescent="0.25">
      <c r="B213" s="426" t="s">
        <v>1023</v>
      </c>
      <c r="C213" s="423" t="s">
        <v>170</v>
      </c>
      <c r="D213" s="430" t="s">
        <v>1445</v>
      </c>
    </row>
    <row r="214" spans="2:4" x14ac:dyDescent="0.25">
      <c r="B214" s="426" t="s">
        <v>1023</v>
      </c>
      <c r="C214" s="423" t="s">
        <v>170</v>
      </c>
      <c r="D214" s="430" t="s">
        <v>1446</v>
      </c>
    </row>
    <row r="215" spans="2:4" x14ac:dyDescent="0.25">
      <c r="B215" s="426" t="s">
        <v>1023</v>
      </c>
      <c r="C215" s="423" t="s">
        <v>170</v>
      </c>
      <c r="D215" s="430" t="s">
        <v>1447</v>
      </c>
    </row>
    <row r="216" spans="2:4" x14ac:dyDescent="0.25">
      <c r="B216" s="426" t="s">
        <v>1023</v>
      </c>
      <c r="C216" s="423" t="s">
        <v>170</v>
      </c>
      <c r="D216" s="430" t="s">
        <v>1448</v>
      </c>
    </row>
    <row r="217" spans="2:4" x14ac:dyDescent="0.25">
      <c r="B217" s="426" t="s">
        <v>1023</v>
      </c>
      <c r="C217" s="423" t="s">
        <v>170</v>
      </c>
      <c r="D217" s="430" t="s">
        <v>1449</v>
      </c>
    </row>
    <row r="218" spans="2:4" x14ac:dyDescent="0.25">
      <c r="B218" s="426" t="s">
        <v>1023</v>
      </c>
      <c r="C218" s="423" t="s">
        <v>170</v>
      </c>
      <c r="D218" s="430" t="s">
        <v>1450</v>
      </c>
    </row>
    <row r="219" spans="2:4" x14ac:dyDescent="0.25">
      <c r="B219" s="426" t="s">
        <v>1023</v>
      </c>
      <c r="C219" s="423" t="s">
        <v>170</v>
      </c>
      <c r="D219" s="430" t="s">
        <v>1451</v>
      </c>
    </row>
    <row r="220" spans="2:4" x14ac:dyDescent="0.25">
      <c r="B220" s="426" t="s">
        <v>1023</v>
      </c>
      <c r="C220" s="423" t="s">
        <v>170</v>
      </c>
      <c r="D220" s="428" t="s">
        <v>1452</v>
      </c>
    </row>
    <row r="221" spans="2:4" x14ac:dyDescent="0.25">
      <c r="B221" s="426" t="s">
        <v>1023</v>
      </c>
      <c r="C221" s="423" t="s">
        <v>825</v>
      </c>
      <c r="D221" s="428" t="s">
        <v>1427</v>
      </c>
    </row>
    <row r="222" spans="2:4" x14ac:dyDescent="0.25">
      <c r="B222" s="426" t="s">
        <v>1023</v>
      </c>
      <c r="C222" s="423" t="s">
        <v>825</v>
      </c>
      <c r="D222" s="428" t="s">
        <v>1453</v>
      </c>
    </row>
    <row r="223" spans="2:4" x14ac:dyDescent="0.25">
      <c r="B223" s="426" t="s">
        <v>1023</v>
      </c>
      <c r="C223" s="423" t="s">
        <v>825</v>
      </c>
      <c r="D223" s="428" t="s">
        <v>1429</v>
      </c>
    </row>
    <row r="224" spans="2:4" x14ac:dyDescent="0.25">
      <c r="B224" s="426" t="s">
        <v>1023</v>
      </c>
      <c r="C224" s="423" t="s">
        <v>825</v>
      </c>
      <c r="D224" s="429" t="s">
        <v>1454</v>
      </c>
    </row>
    <row r="225" spans="2:4" x14ac:dyDescent="0.25">
      <c r="B225" s="426" t="s">
        <v>1023</v>
      </c>
      <c r="C225" s="423" t="s">
        <v>827</v>
      </c>
      <c r="D225" s="429" t="s">
        <v>1431</v>
      </c>
    </row>
    <row r="226" spans="2:4" x14ac:dyDescent="0.25">
      <c r="B226" s="426" t="s">
        <v>1023</v>
      </c>
      <c r="C226" s="423" t="s">
        <v>827</v>
      </c>
      <c r="D226" s="431" t="s">
        <v>1455</v>
      </c>
    </row>
    <row r="227" spans="2:4" x14ac:dyDescent="0.25">
      <c r="B227" s="426" t="s">
        <v>1023</v>
      </c>
      <c r="C227" s="423" t="s">
        <v>827</v>
      </c>
      <c r="D227" s="429" t="s">
        <v>1433</v>
      </c>
    </row>
    <row r="228" spans="2:4" x14ac:dyDescent="0.25">
      <c r="B228" s="426" t="s">
        <v>1023</v>
      </c>
      <c r="C228" s="423" t="s">
        <v>827</v>
      </c>
      <c r="D228" s="429" t="s">
        <v>1456</v>
      </c>
    </row>
    <row r="229" spans="2:4" x14ac:dyDescent="0.25">
      <c r="B229" s="426" t="s">
        <v>1023</v>
      </c>
      <c r="C229" s="423" t="s">
        <v>823</v>
      </c>
      <c r="D229" s="431" t="s">
        <v>1435</v>
      </c>
    </row>
    <row r="230" spans="2:4" x14ac:dyDescent="0.25">
      <c r="B230" s="426" t="s">
        <v>1023</v>
      </c>
      <c r="C230" s="423" t="s">
        <v>823</v>
      </c>
      <c r="D230" s="428" t="s">
        <v>1457</v>
      </c>
    </row>
    <row r="231" spans="2:4" x14ac:dyDescent="0.25">
      <c r="B231" s="426" t="s">
        <v>1023</v>
      </c>
      <c r="C231" s="423" t="s">
        <v>823</v>
      </c>
      <c r="D231" s="428" t="s">
        <v>1437</v>
      </c>
    </row>
    <row r="232" spans="2:4" ht="13.15" thickBot="1" x14ac:dyDescent="0.3">
      <c r="B232" s="432" t="s">
        <v>1023</v>
      </c>
      <c r="C232" s="424" t="s">
        <v>823</v>
      </c>
      <c r="D232" s="433" t="s">
        <v>1458</v>
      </c>
    </row>
    <row r="233" spans="2:4" x14ac:dyDescent="0.25">
      <c r="B233" s="461" t="s">
        <v>1005</v>
      </c>
      <c r="C233" s="462" t="s">
        <v>170</v>
      </c>
      <c r="D233" s="427" t="s">
        <v>1024</v>
      </c>
    </row>
    <row r="234" spans="2:4" x14ac:dyDescent="0.25">
      <c r="B234" s="426" t="s">
        <v>1005</v>
      </c>
      <c r="C234" s="423" t="s">
        <v>170</v>
      </c>
      <c r="D234" s="428" t="s">
        <v>1025</v>
      </c>
    </row>
    <row r="235" spans="2:4" x14ac:dyDescent="0.25">
      <c r="B235" s="426" t="s">
        <v>1005</v>
      </c>
      <c r="C235" s="423" t="s">
        <v>824</v>
      </c>
      <c r="D235" s="428" t="s">
        <v>1026</v>
      </c>
    </row>
    <row r="236" spans="2:4" x14ac:dyDescent="0.25">
      <c r="B236" s="459" t="s">
        <v>1005</v>
      </c>
      <c r="C236" s="460" t="s">
        <v>824</v>
      </c>
      <c r="D236" s="427" t="s">
        <v>1027</v>
      </c>
    </row>
    <row r="237" spans="2:4" x14ac:dyDescent="0.25">
      <c r="B237" s="434" t="s">
        <v>1005</v>
      </c>
      <c r="C237" s="425" t="s">
        <v>170</v>
      </c>
      <c r="D237" s="428" t="s">
        <v>1028</v>
      </c>
    </row>
    <row r="238" spans="2:4" x14ac:dyDescent="0.25">
      <c r="B238" s="434" t="s">
        <v>1005</v>
      </c>
      <c r="C238" s="425" t="s">
        <v>170</v>
      </c>
      <c r="D238" s="428" t="s">
        <v>1029</v>
      </c>
    </row>
    <row r="239" spans="2:4" x14ac:dyDescent="0.25">
      <c r="B239" s="434" t="s">
        <v>1005</v>
      </c>
      <c r="C239" s="425" t="s">
        <v>824</v>
      </c>
      <c r="D239" s="428" t="s">
        <v>1030</v>
      </c>
    </row>
    <row r="240" spans="2:4" x14ac:dyDescent="0.25">
      <c r="B240" s="434" t="s">
        <v>1005</v>
      </c>
      <c r="C240" s="425" t="s">
        <v>824</v>
      </c>
      <c r="D240" s="428" t="s">
        <v>1031</v>
      </c>
    </row>
    <row r="241" spans="2:4" x14ac:dyDescent="0.25">
      <c r="B241" s="434" t="s">
        <v>1005</v>
      </c>
      <c r="C241" s="425" t="s">
        <v>827</v>
      </c>
      <c r="D241" s="428" t="s">
        <v>1032</v>
      </c>
    </row>
    <row r="242" spans="2:4" x14ac:dyDescent="0.25">
      <c r="B242" s="434" t="s">
        <v>1005</v>
      </c>
      <c r="C242" s="423" t="s">
        <v>826</v>
      </c>
      <c r="D242" s="430" t="s">
        <v>1033</v>
      </c>
    </row>
    <row r="243" spans="2:4" x14ac:dyDescent="0.25">
      <c r="B243" s="434" t="s">
        <v>1005</v>
      </c>
      <c r="C243" s="423" t="s">
        <v>170</v>
      </c>
      <c r="D243" s="430" t="s">
        <v>1034</v>
      </c>
    </row>
    <row r="244" spans="2:4" x14ac:dyDescent="0.25">
      <c r="B244" s="434" t="s">
        <v>1005</v>
      </c>
      <c r="C244" s="423" t="s">
        <v>1006</v>
      </c>
      <c r="D244" s="430" t="s">
        <v>1198</v>
      </c>
    </row>
    <row r="245" spans="2:4" x14ac:dyDescent="0.25">
      <c r="B245" s="434" t="s">
        <v>1005</v>
      </c>
      <c r="C245" s="423" t="s">
        <v>823</v>
      </c>
      <c r="D245" s="430" t="s">
        <v>1199</v>
      </c>
    </row>
    <row r="246" spans="2:4" x14ac:dyDescent="0.25">
      <c r="B246" s="434" t="s">
        <v>1005</v>
      </c>
      <c r="C246" s="423" t="s">
        <v>170</v>
      </c>
      <c r="D246" s="430" t="s">
        <v>1035</v>
      </c>
    </row>
    <row r="247" spans="2:4" x14ac:dyDescent="0.25">
      <c r="B247" s="434" t="s">
        <v>1013</v>
      </c>
      <c r="C247" s="423" t="s">
        <v>170</v>
      </c>
      <c r="D247" s="430" t="s">
        <v>1028</v>
      </c>
    </row>
    <row r="248" spans="2:4" x14ac:dyDescent="0.25">
      <c r="B248" s="434" t="s">
        <v>1013</v>
      </c>
      <c r="C248" s="423" t="s">
        <v>827</v>
      </c>
      <c r="D248" s="430" t="s">
        <v>1032</v>
      </c>
    </row>
    <row r="249" spans="2:4" x14ac:dyDescent="0.25">
      <c r="B249" s="434" t="s">
        <v>1014</v>
      </c>
      <c r="C249" s="423" t="s">
        <v>170</v>
      </c>
      <c r="D249" s="430" t="s">
        <v>1036</v>
      </c>
    </row>
    <row r="250" spans="2:4" x14ac:dyDescent="0.25">
      <c r="B250" s="434" t="s">
        <v>1005</v>
      </c>
      <c r="C250" s="425" t="s">
        <v>825</v>
      </c>
      <c r="D250" s="428" t="s">
        <v>1200</v>
      </c>
    </row>
    <row r="251" spans="2:4" x14ac:dyDescent="0.25">
      <c r="B251" s="434" t="s">
        <v>1005</v>
      </c>
      <c r="C251" s="425" t="s">
        <v>827</v>
      </c>
      <c r="D251" s="428" t="s">
        <v>1037</v>
      </c>
    </row>
    <row r="252" spans="2:4" x14ac:dyDescent="0.25">
      <c r="B252" s="434" t="s">
        <v>1005</v>
      </c>
      <c r="C252" s="425" t="s">
        <v>826</v>
      </c>
      <c r="D252" s="428" t="s">
        <v>1038</v>
      </c>
    </row>
    <row r="253" spans="2:4" x14ac:dyDescent="0.25">
      <c r="B253" s="434" t="s">
        <v>1013</v>
      </c>
      <c r="C253" s="425" t="s">
        <v>827</v>
      </c>
      <c r="D253" s="428" t="s">
        <v>1037</v>
      </c>
    </row>
    <row r="254" spans="2:4" x14ac:dyDescent="0.25">
      <c r="B254" s="434" t="s">
        <v>1014</v>
      </c>
      <c r="C254" s="425" t="s">
        <v>170</v>
      </c>
      <c r="D254" s="429" t="s">
        <v>1039</v>
      </c>
    </row>
    <row r="255" spans="2:4" x14ac:dyDescent="0.25">
      <c r="B255" s="434" t="s">
        <v>1014</v>
      </c>
      <c r="C255" s="425" t="s">
        <v>170</v>
      </c>
      <c r="D255" s="429" t="s">
        <v>1040</v>
      </c>
    </row>
    <row r="256" spans="2:4" x14ac:dyDescent="0.25">
      <c r="B256" s="426" t="s">
        <v>1014</v>
      </c>
      <c r="C256" s="423" t="s">
        <v>824</v>
      </c>
      <c r="D256" s="430" t="s">
        <v>1041</v>
      </c>
    </row>
    <row r="257" spans="2:4" ht="13.15" thickBot="1" x14ac:dyDescent="0.3">
      <c r="B257" s="432" t="s">
        <v>1014</v>
      </c>
      <c r="C257" s="424" t="s">
        <v>824</v>
      </c>
      <c r="D257" s="500" t="s">
        <v>1042</v>
      </c>
    </row>
  </sheetData>
  <autoFilter ref="B6:D257" xr:uid="{00000000-0009-0000-0000-000008000000}"/>
  <phoneticPr fontId="2"/>
  <dataValidations count="2">
    <dataValidation imeMode="halfAlpha" allowBlank="1" showInputMessage="1" showErrorMessage="1" sqref="D7:D257" xr:uid="{00000000-0002-0000-0800-000000000000}"/>
    <dataValidation type="list" allowBlank="1" showInputMessage="1" showErrorMessage="1" sqref="C7:C257" xr:uid="{00000000-0002-0000-0800-000001000000}">
      <formula1>"いすゞ,日野,三菱,UDﾄﾗｯｸｽ,ﾆｯｻﾝ,ﾏﾂﾀﾞ,ﾄﾖﾀ"</formula1>
    </dataValidation>
  </dataValidations>
  <hyperlinks>
    <hyperlink ref="G2" location="受注仕様書!A1" display="受注仕様書へ戻る" xr:uid="{00000000-0004-0000-0800-000000000000}"/>
  </hyperlinks>
  <pageMargins left="0.78740157480314965" right="0.78740157480314965" top="0.98425196850393704" bottom="0.98425196850393704"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シャシ選択">
                <anchor moveWithCells="1" sizeWithCells="1">
                  <from>
                    <xdr:col>0</xdr:col>
                    <xdr:colOff>209550</xdr:colOff>
                    <xdr:row>0</xdr:row>
                    <xdr:rowOff>76200</xdr:rowOff>
                  </from>
                  <to>
                    <xdr:col>3</xdr:col>
                    <xdr:colOff>2000250</xdr:colOff>
                    <xdr:row>4</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52"/>
  </sheetPr>
  <dimension ref="A1:AE1048576"/>
  <sheetViews>
    <sheetView showGridLines="0" tabSelected="1" zoomScaleNormal="100" zoomScaleSheetLayoutView="55" workbookViewId="0">
      <pane ySplit="3" topLeftCell="A187" activePane="bottomLeft" state="frozen"/>
      <selection pane="bottomLeft" activeCell="C198" sqref="C198"/>
    </sheetView>
  </sheetViews>
  <sheetFormatPr defaultColWidth="9" defaultRowHeight="12.75" x14ac:dyDescent="0.25"/>
  <cols>
    <col min="1" max="1" width="4.265625" style="247" customWidth="1"/>
    <col min="2" max="2" width="11.86328125" style="248" customWidth="1"/>
    <col min="3" max="3" width="33.59765625" style="248" customWidth="1"/>
    <col min="4" max="4" width="60.265625" style="387" customWidth="1"/>
    <col min="5" max="5" width="4.86328125" style="252" customWidth="1"/>
    <col min="6" max="13" width="8.73046875" style="251" customWidth="1"/>
    <col min="14" max="14" width="13.86328125" style="211" customWidth="1"/>
    <col min="15" max="15" width="27.1328125" style="211" customWidth="1"/>
    <col min="16" max="16" width="14.265625" style="211" customWidth="1"/>
    <col min="17" max="17" width="15.73046875" style="211" customWidth="1"/>
    <col min="18" max="18" width="9" style="211"/>
    <col min="19" max="19" width="14.73046875" style="211" customWidth="1"/>
    <col min="20" max="16384" width="9" style="211"/>
  </cols>
  <sheetData>
    <row r="1" spans="1:26" s="193" customFormat="1" ht="23.25" customHeight="1" x14ac:dyDescent="0.25">
      <c r="A1" s="414" t="s">
        <v>847</v>
      </c>
      <c r="C1" s="194"/>
      <c r="D1" s="419" t="str">
        <f>受注仕様書!C4</f>
        <v>Vol.2.5</v>
      </c>
      <c r="E1" s="195" t="s">
        <v>572</v>
      </c>
      <c r="F1" s="361"/>
      <c r="G1" s="361"/>
      <c r="H1" s="361"/>
      <c r="I1" s="981"/>
      <c r="J1" s="981"/>
      <c r="K1" s="981"/>
      <c r="L1" s="981"/>
      <c r="M1" s="981"/>
    </row>
    <row r="2" spans="1:26" s="193" customFormat="1" ht="32.25" customHeight="1" x14ac:dyDescent="0.25">
      <c r="A2" s="197"/>
      <c r="B2" s="198"/>
      <c r="C2" s="199"/>
      <c r="D2" s="33">
        <v>1</v>
      </c>
      <c r="E2" s="33">
        <v>2</v>
      </c>
      <c r="F2" s="33">
        <v>3</v>
      </c>
      <c r="G2" s="33">
        <v>4</v>
      </c>
      <c r="H2" s="33">
        <v>5</v>
      </c>
      <c r="I2" s="33">
        <v>6</v>
      </c>
      <c r="J2" s="33">
        <v>7</v>
      </c>
      <c r="K2" s="33">
        <v>8</v>
      </c>
      <c r="L2" s="33">
        <v>9</v>
      </c>
      <c r="M2" s="33">
        <v>10</v>
      </c>
      <c r="O2" s="203"/>
      <c r="P2" s="203"/>
    </row>
    <row r="3" spans="1:26" ht="32.25" customHeight="1" x14ac:dyDescent="0.25">
      <c r="A3" s="286" t="s">
        <v>514</v>
      </c>
      <c r="B3" s="287" t="s">
        <v>776</v>
      </c>
      <c r="C3" s="288" t="s">
        <v>162</v>
      </c>
      <c r="D3" s="288" t="s">
        <v>161</v>
      </c>
      <c r="E3" s="362"/>
      <c r="F3" s="289" t="s">
        <v>850</v>
      </c>
      <c r="G3" s="289" t="s">
        <v>851</v>
      </c>
      <c r="H3" s="289" t="s">
        <v>852</v>
      </c>
      <c r="I3" s="289" t="s">
        <v>1045</v>
      </c>
      <c r="J3" s="289" t="s">
        <v>1046</v>
      </c>
      <c r="K3" s="497" t="s">
        <v>1331</v>
      </c>
      <c r="L3" s="497" t="s">
        <v>1332</v>
      </c>
      <c r="M3" s="362"/>
      <c r="O3" s="290" t="s">
        <v>788</v>
      </c>
      <c r="P3" s="290" t="s">
        <v>789</v>
      </c>
      <c r="Q3" s="290" t="s">
        <v>790</v>
      </c>
      <c r="S3" s="399" t="s">
        <v>791</v>
      </c>
      <c r="T3" s="401" t="s">
        <v>777</v>
      </c>
      <c r="V3" s="401" t="s">
        <v>162</v>
      </c>
    </row>
    <row r="4" spans="1:26" s="208" customFormat="1" ht="24" customHeight="1" x14ac:dyDescent="0.25">
      <c r="A4" s="291">
        <v>1</v>
      </c>
      <c r="B4" s="292" t="s">
        <v>854</v>
      </c>
      <c r="C4" s="316" t="s">
        <v>778</v>
      </c>
      <c r="D4" s="293" t="s">
        <v>855</v>
      </c>
      <c r="E4" s="360">
        <f>LEN(D4)</f>
        <v>11</v>
      </c>
      <c r="F4" s="441" t="s">
        <v>165</v>
      </c>
      <c r="G4" s="441" t="s">
        <v>165</v>
      </c>
      <c r="H4" s="441" t="s">
        <v>165</v>
      </c>
      <c r="I4" s="441" t="s">
        <v>165</v>
      </c>
      <c r="J4" s="441" t="s">
        <v>165</v>
      </c>
      <c r="K4" s="441" t="s">
        <v>165</v>
      </c>
      <c r="L4" s="441" t="s">
        <v>165</v>
      </c>
      <c r="M4" s="294"/>
      <c r="O4" s="289" t="s">
        <v>853</v>
      </c>
      <c r="P4" s="295">
        <v>3</v>
      </c>
      <c r="Q4" s="295" t="s">
        <v>515</v>
      </c>
      <c r="R4" s="220"/>
      <c r="S4" s="400" t="str">
        <f>VLOOKUP('仕様指示書－作成－'!E1,'リスト－仕様指示書－'!O4:Q13,3,0)</f>
        <v>H</v>
      </c>
      <c r="T4" s="404"/>
      <c r="V4" s="402" t="s">
        <v>328</v>
      </c>
      <c r="Z4" s="208" t="s">
        <v>1489</v>
      </c>
    </row>
    <row r="5" spans="1:26" s="208" customFormat="1" ht="24" customHeight="1" x14ac:dyDescent="0.25">
      <c r="A5" s="291">
        <v>2</v>
      </c>
      <c r="B5" s="296"/>
      <c r="C5" s="297"/>
      <c r="D5" s="293" t="s">
        <v>856</v>
      </c>
      <c r="E5" s="360">
        <f t="shared" ref="E5:E68" si="0">LEN(D5)</f>
        <v>17</v>
      </c>
      <c r="F5" s="298" t="s">
        <v>762</v>
      </c>
      <c r="G5" s="298" t="s">
        <v>762</v>
      </c>
      <c r="H5" s="298" t="s">
        <v>762</v>
      </c>
      <c r="I5" s="298" t="s">
        <v>762</v>
      </c>
      <c r="J5" s="298" t="s">
        <v>762</v>
      </c>
      <c r="K5" s="298" t="s">
        <v>762</v>
      </c>
      <c r="L5" s="298" t="s">
        <v>762</v>
      </c>
      <c r="M5" s="298"/>
      <c r="O5" s="289" t="s">
        <v>851</v>
      </c>
      <c r="P5" s="295">
        <v>4</v>
      </c>
      <c r="Q5" s="295" t="s">
        <v>516</v>
      </c>
      <c r="R5" s="220"/>
      <c r="S5" s="220"/>
      <c r="T5" s="405" t="s">
        <v>720</v>
      </c>
      <c r="V5" s="402" t="s">
        <v>329</v>
      </c>
      <c r="Z5" s="220" t="s">
        <v>1490</v>
      </c>
    </row>
    <row r="6" spans="1:26" s="208" customFormat="1" ht="24" customHeight="1" x14ac:dyDescent="0.25">
      <c r="A6" s="291">
        <v>3</v>
      </c>
      <c r="B6" s="319" t="s">
        <v>781</v>
      </c>
      <c r="C6" s="320" t="s">
        <v>627</v>
      </c>
      <c r="D6" s="321" t="s">
        <v>523</v>
      </c>
      <c r="E6" s="360">
        <f t="shared" si="0"/>
        <v>10</v>
      </c>
      <c r="F6" s="441" t="s">
        <v>165</v>
      </c>
      <c r="G6" s="441" t="s">
        <v>165</v>
      </c>
      <c r="H6" s="441" t="s">
        <v>165</v>
      </c>
      <c r="I6" s="441" t="s">
        <v>165</v>
      </c>
      <c r="J6" s="441" t="s">
        <v>165</v>
      </c>
      <c r="K6" s="441" t="s">
        <v>165</v>
      </c>
      <c r="L6" s="441" t="s">
        <v>165</v>
      </c>
      <c r="M6" s="294"/>
      <c r="O6" s="289" t="s">
        <v>852</v>
      </c>
      <c r="P6" s="295">
        <v>5</v>
      </c>
      <c r="Q6" s="295" t="s">
        <v>517</v>
      </c>
      <c r="R6" s="220"/>
      <c r="S6" s="220"/>
      <c r="T6" s="405" t="s">
        <v>721</v>
      </c>
      <c r="V6" s="402" t="s">
        <v>330</v>
      </c>
      <c r="Z6" s="220" t="s">
        <v>1491</v>
      </c>
    </row>
    <row r="7" spans="1:26" s="208" customFormat="1" ht="24" customHeight="1" x14ac:dyDescent="0.25">
      <c r="A7" s="291">
        <v>4</v>
      </c>
      <c r="B7" s="322"/>
      <c r="C7" s="323"/>
      <c r="D7" s="316" t="s">
        <v>11</v>
      </c>
      <c r="E7" s="360">
        <f t="shared" si="0"/>
        <v>9</v>
      </c>
      <c r="F7" s="298" t="s">
        <v>664</v>
      </c>
      <c r="G7" s="298" t="s">
        <v>448</v>
      </c>
      <c r="H7" s="298" t="s">
        <v>448</v>
      </c>
      <c r="I7" s="298" t="s">
        <v>448</v>
      </c>
      <c r="J7" s="298" t="s">
        <v>448</v>
      </c>
      <c r="K7" s="298" t="s">
        <v>448</v>
      </c>
      <c r="L7" s="298" t="s">
        <v>448</v>
      </c>
      <c r="M7" s="294"/>
      <c r="O7" s="289" t="s">
        <v>1047</v>
      </c>
      <c r="P7" s="295">
        <v>6</v>
      </c>
      <c r="Q7" s="295" t="s">
        <v>518</v>
      </c>
      <c r="R7" s="220"/>
      <c r="S7" s="220"/>
      <c r="T7" s="405" t="s">
        <v>722</v>
      </c>
      <c r="V7" s="402" t="s">
        <v>331</v>
      </c>
      <c r="Z7" s="208" t="s">
        <v>1491</v>
      </c>
    </row>
    <row r="8" spans="1:26" s="208" customFormat="1" ht="24" customHeight="1" x14ac:dyDescent="0.25">
      <c r="A8" s="291">
        <v>5</v>
      </c>
      <c r="B8" s="322"/>
      <c r="C8" s="323"/>
      <c r="D8" s="316" t="s">
        <v>12</v>
      </c>
      <c r="E8" s="360">
        <f t="shared" si="0"/>
        <v>7</v>
      </c>
      <c r="F8" s="298" t="s">
        <v>664</v>
      </c>
      <c r="G8" s="298" t="s">
        <v>448</v>
      </c>
      <c r="H8" s="298" t="s">
        <v>448</v>
      </c>
      <c r="I8" s="298" t="s">
        <v>448</v>
      </c>
      <c r="J8" s="298" t="s">
        <v>448</v>
      </c>
      <c r="K8" s="298" t="s">
        <v>448</v>
      </c>
      <c r="L8" s="298" t="s">
        <v>448</v>
      </c>
      <c r="M8" s="294"/>
      <c r="O8" s="289" t="s">
        <v>1048</v>
      </c>
      <c r="P8" s="295">
        <v>7</v>
      </c>
      <c r="Q8" s="295" t="s">
        <v>519</v>
      </c>
      <c r="R8" s="220"/>
      <c r="S8" s="220"/>
      <c r="T8" s="405" t="s">
        <v>723</v>
      </c>
      <c r="V8" s="402" t="s">
        <v>332</v>
      </c>
      <c r="Z8" s="208" t="s">
        <v>1491</v>
      </c>
    </row>
    <row r="9" spans="1:26" s="208" customFormat="1" ht="24" customHeight="1" x14ac:dyDescent="0.25">
      <c r="A9" s="291">
        <v>6</v>
      </c>
      <c r="B9" s="322"/>
      <c r="C9" s="323"/>
      <c r="D9" s="316" t="s">
        <v>13</v>
      </c>
      <c r="E9" s="360">
        <f t="shared" si="0"/>
        <v>8</v>
      </c>
      <c r="F9" s="298" t="s">
        <v>664</v>
      </c>
      <c r="G9" s="298" t="s">
        <v>448</v>
      </c>
      <c r="H9" s="298" t="s">
        <v>448</v>
      </c>
      <c r="I9" s="298" t="s">
        <v>448</v>
      </c>
      <c r="J9" s="298" t="s">
        <v>448</v>
      </c>
      <c r="K9" s="298" t="s">
        <v>448</v>
      </c>
      <c r="L9" s="298" t="s">
        <v>448</v>
      </c>
      <c r="M9" s="298"/>
      <c r="O9" s="289" t="s">
        <v>1333</v>
      </c>
      <c r="P9" s="295">
        <v>8</v>
      </c>
      <c r="Q9" s="295" t="s">
        <v>520</v>
      </c>
      <c r="R9" s="220"/>
      <c r="S9" s="220"/>
      <c r="T9" s="405" t="s">
        <v>724</v>
      </c>
      <c r="V9" s="402" t="s">
        <v>333</v>
      </c>
      <c r="Z9" s="208" t="s">
        <v>1491</v>
      </c>
    </row>
    <row r="10" spans="1:26" s="208" customFormat="1" ht="24" customHeight="1" x14ac:dyDescent="0.25">
      <c r="A10" s="291">
        <v>7</v>
      </c>
      <c r="B10" s="325"/>
      <c r="C10" s="326"/>
      <c r="D10" s="293" t="s">
        <v>524</v>
      </c>
      <c r="E10" s="360">
        <f t="shared" si="0"/>
        <v>12</v>
      </c>
      <c r="F10" s="298" t="s">
        <v>762</v>
      </c>
      <c r="G10" s="298" t="s">
        <v>762</v>
      </c>
      <c r="H10" s="298" t="s">
        <v>762</v>
      </c>
      <c r="I10" s="298" t="s">
        <v>762</v>
      </c>
      <c r="J10" s="298" t="s">
        <v>762</v>
      </c>
      <c r="K10" s="298" t="s">
        <v>762</v>
      </c>
      <c r="L10" s="298" t="s">
        <v>762</v>
      </c>
      <c r="M10" s="298"/>
      <c r="O10" s="289" t="s">
        <v>1334</v>
      </c>
      <c r="P10" s="295">
        <v>9</v>
      </c>
      <c r="Q10" s="295" t="s">
        <v>521</v>
      </c>
      <c r="T10" s="405" t="s">
        <v>725</v>
      </c>
      <c r="V10" s="402" t="s">
        <v>334</v>
      </c>
      <c r="Z10" s="208" t="s">
        <v>1492</v>
      </c>
    </row>
    <row r="11" spans="1:26" s="208" customFormat="1" ht="24" customHeight="1" x14ac:dyDescent="0.25">
      <c r="A11" s="291">
        <v>8</v>
      </c>
      <c r="B11" s="322"/>
      <c r="C11" s="320" t="s">
        <v>947</v>
      </c>
      <c r="D11" s="321" t="s">
        <v>792</v>
      </c>
      <c r="E11" s="360">
        <f t="shared" si="0"/>
        <v>3</v>
      </c>
      <c r="F11" s="441" t="s">
        <v>165</v>
      </c>
      <c r="G11" s="298" t="s">
        <v>448</v>
      </c>
      <c r="H11" s="441" t="s">
        <v>165</v>
      </c>
      <c r="I11" s="441" t="s">
        <v>165</v>
      </c>
      <c r="J11" s="298" t="s">
        <v>448</v>
      </c>
      <c r="K11" s="441" t="s">
        <v>165</v>
      </c>
      <c r="L11" s="441" t="s">
        <v>165</v>
      </c>
      <c r="M11" s="298"/>
      <c r="O11" s="289"/>
      <c r="P11" s="295">
        <v>10</v>
      </c>
      <c r="Q11" s="295" t="s">
        <v>522</v>
      </c>
      <c r="T11" s="405" t="s">
        <v>726</v>
      </c>
      <c r="V11" s="402" t="s">
        <v>335</v>
      </c>
      <c r="Z11" s="208" t="s">
        <v>1491</v>
      </c>
    </row>
    <row r="12" spans="1:26" s="208" customFormat="1" ht="24" customHeight="1" x14ac:dyDescent="0.25">
      <c r="A12" s="291">
        <v>9</v>
      </c>
      <c r="B12" s="322"/>
      <c r="C12" s="323"/>
      <c r="D12" s="293" t="s">
        <v>857</v>
      </c>
      <c r="E12" s="360">
        <f t="shared" si="0"/>
        <v>39</v>
      </c>
      <c r="F12" s="298" t="s">
        <v>664</v>
      </c>
      <c r="G12" s="441" t="s">
        <v>165</v>
      </c>
      <c r="H12" s="298" t="s">
        <v>448</v>
      </c>
      <c r="I12" s="298" t="s">
        <v>448</v>
      </c>
      <c r="J12" s="441" t="s">
        <v>165</v>
      </c>
      <c r="K12" s="298" t="s">
        <v>448</v>
      </c>
      <c r="L12" s="298" t="s">
        <v>448</v>
      </c>
      <c r="M12" s="294"/>
      <c r="O12" s="289"/>
      <c r="P12" s="295"/>
      <c r="Q12" s="295"/>
      <c r="T12" s="405" t="s">
        <v>727</v>
      </c>
      <c r="V12" s="402" t="s">
        <v>336</v>
      </c>
      <c r="Z12" s="208" t="s">
        <v>1493</v>
      </c>
    </row>
    <row r="13" spans="1:26" s="208" customFormat="1" ht="24" customHeight="1" x14ac:dyDescent="0.25">
      <c r="A13" s="291">
        <v>10</v>
      </c>
      <c r="B13" s="322"/>
      <c r="C13" s="323"/>
      <c r="D13" s="293" t="s">
        <v>858</v>
      </c>
      <c r="E13" s="360">
        <f t="shared" si="0"/>
        <v>38</v>
      </c>
      <c r="F13" s="298" t="s">
        <v>664</v>
      </c>
      <c r="G13" s="298" t="s">
        <v>448</v>
      </c>
      <c r="H13" s="298" t="s">
        <v>448</v>
      </c>
      <c r="I13" s="298" t="s">
        <v>448</v>
      </c>
      <c r="J13" s="298" t="s">
        <v>448</v>
      </c>
      <c r="K13" s="298" t="s">
        <v>448</v>
      </c>
      <c r="L13" s="298" t="s">
        <v>448</v>
      </c>
      <c r="M13" s="298"/>
      <c r="O13" s="289"/>
      <c r="P13" s="295"/>
      <c r="Q13" s="295"/>
      <c r="T13" s="405" t="s">
        <v>728</v>
      </c>
      <c r="V13" s="402" t="s">
        <v>337</v>
      </c>
      <c r="Z13" s="208" t="s">
        <v>1491</v>
      </c>
    </row>
    <row r="14" spans="1:26" s="208" customFormat="1" ht="24" customHeight="1" x14ac:dyDescent="0.25">
      <c r="A14" s="291">
        <v>11</v>
      </c>
      <c r="B14" s="325"/>
      <c r="C14" s="351"/>
      <c r="D14" s="293" t="s">
        <v>524</v>
      </c>
      <c r="E14" s="360">
        <f t="shared" si="0"/>
        <v>12</v>
      </c>
      <c r="F14" s="298" t="s">
        <v>762</v>
      </c>
      <c r="G14" s="298" t="s">
        <v>762</v>
      </c>
      <c r="H14" s="298" t="s">
        <v>762</v>
      </c>
      <c r="I14" s="298" t="s">
        <v>762</v>
      </c>
      <c r="J14" s="298" t="s">
        <v>762</v>
      </c>
      <c r="K14" s="298" t="s">
        <v>762</v>
      </c>
      <c r="L14" s="298" t="s">
        <v>762</v>
      </c>
      <c r="M14" s="298"/>
      <c r="T14" s="405" t="s">
        <v>849</v>
      </c>
      <c r="V14" s="402" t="s">
        <v>338</v>
      </c>
      <c r="Z14" s="208" t="s">
        <v>1494</v>
      </c>
    </row>
    <row r="15" spans="1:26" s="208" customFormat="1" ht="24" customHeight="1" x14ac:dyDescent="0.25">
      <c r="A15" s="291">
        <v>12</v>
      </c>
      <c r="B15" s="325"/>
      <c r="C15" s="326" t="s">
        <v>948</v>
      </c>
      <c r="D15" s="321" t="s">
        <v>792</v>
      </c>
      <c r="E15" s="360">
        <f t="shared" si="0"/>
        <v>3</v>
      </c>
      <c r="F15" s="441" t="s">
        <v>165</v>
      </c>
      <c r="G15" s="298" t="s">
        <v>448</v>
      </c>
      <c r="H15" s="441" t="s">
        <v>165</v>
      </c>
      <c r="I15" s="441" t="s">
        <v>165</v>
      </c>
      <c r="J15" s="298" t="s">
        <v>448</v>
      </c>
      <c r="K15" s="441" t="s">
        <v>165</v>
      </c>
      <c r="L15" s="441" t="s">
        <v>165</v>
      </c>
      <c r="M15" s="298"/>
      <c r="T15" s="402"/>
      <c r="V15" s="402" t="s">
        <v>339</v>
      </c>
      <c r="Z15" s="208" t="s">
        <v>1491</v>
      </c>
    </row>
    <row r="16" spans="1:26" s="208" customFormat="1" ht="24" customHeight="1" x14ac:dyDescent="0.25">
      <c r="A16" s="291">
        <v>13</v>
      </c>
      <c r="B16" s="325"/>
      <c r="C16" s="326"/>
      <c r="D16" s="293" t="s">
        <v>794</v>
      </c>
      <c r="E16" s="360">
        <f t="shared" si="0"/>
        <v>2</v>
      </c>
      <c r="F16" s="298" t="s">
        <v>664</v>
      </c>
      <c r="G16" s="441" t="s">
        <v>165</v>
      </c>
      <c r="H16" s="298" t="s">
        <v>448</v>
      </c>
      <c r="I16" s="298" t="s">
        <v>448</v>
      </c>
      <c r="J16" s="441" t="s">
        <v>165</v>
      </c>
      <c r="K16" s="298" t="s">
        <v>448</v>
      </c>
      <c r="L16" s="298" t="s">
        <v>448</v>
      </c>
      <c r="M16" s="294"/>
      <c r="T16" s="402"/>
      <c r="V16" s="456" t="s">
        <v>870</v>
      </c>
      <c r="Z16" s="208" t="s">
        <v>1491</v>
      </c>
    </row>
    <row r="17" spans="1:26" s="208" customFormat="1" ht="24" customHeight="1" x14ac:dyDescent="0.25">
      <c r="A17" s="291">
        <v>14</v>
      </c>
      <c r="B17" s="325"/>
      <c r="C17" s="351"/>
      <c r="D17" s="293" t="s">
        <v>524</v>
      </c>
      <c r="E17" s="360">
        <f t="shared" si="0"/>
        <v>12</v>
      </c>
      <c r="F17" s="298" t="s">
        <v>762</v>
      </c>
      <c r="G17" s="298" t="s">
        <v>762</v>
      </c>
      <c r="H17" s="298" t="s">
        <v>762</v>
      </c>
      <c r="I17" s="298" t="s">
        <v>762</v>
      </c>
      <c r="J17" s="298" t="s">
        <v>762</v>
      </c>
      <c r="K17" s="298" t="s">
        <v>762</v>
      </c>
      <c r="L17" s="298" t="s">
        <v>762</v>
      </c>
      <c r="M17" s="298"/>
      <c r="T17" s="405"/>
      <c r="V17" s="402" t="s">
        <v>340</v>
      </c>
      <c r="Z17" s="208" t="s">
        <v>1495</v>
      </c>
    </row>
    <row r="18" spans="1:26" s="208" customFormat="1" ht="24" customHeight="1" x14ac:dyDescent="0.25">
      <c r="A18" s="291">
        <v>15</v>
      </c>
      <c r="B18" s="334" t="s">
        <v>782</v>
      </c>
      <c r="C18" s="327" t="s">
        <v>949</v>
      </c>
      <c r="D18" s="328" t="s">
        <v>792</v>
      </c>
      <c r="E18" s="360">
        <f t="shared" si="0"/>
        <v>3</v>
      </c>
      <c r="F18" s="441" t="s">
        <v>165</v>
      </c>
      <c r="G18" s="441" t="s">
        <v>165</v>
      </c>
      <c r="H18" s="441" t="s">
        <v>165</v>
      </c>
      <c r="I18" s="441" t="s">
        <v>165</v>
      </c>
      <c r="J18" s="441" t="s">
        <v>165</v>
      </c>
      <c r="K18" s="298" t="s">
        <v>448</v>
      </c>
      <c r="L18" s="298" t="s">
        <v>448</v>
      </c>
      <c r="M18" s="298"/>
      <c r="T18" s="402"/>
      <c r="V18" s="402" t="s">
        <v>341</v>
      </c>
      <c r="Z18" s="208" t="s">
        <v>1496</v>
      </c>
    </row>
    <row r="19" spans="1:26" s="208" customFormat="1" ht="24" customHeight="1" x14ac:dyDescent="0.25">
      <c r="A19" s="291">
        <v>16</v>
      </c>
      <c r="B19" s="329"/>
      <c r="C19" s="330"/>
      <c r="D19" s="293" t="s">
        <v>794</v>
      </c>
      <c r="E19" s="360">
        <f t="shared" si="0"/>
        <v>2</v>
      </c>
      <c r="F19" s="298" t="s">
        <v>664</v>
      </c>
      <c r="G19" s="298" t="s">
        <v>448</v>
      </c>
      <c r="H19" s="298" t="s">
        <v>448</v>
      </c>
      <c r="I19" s="298" t="s">
        <v>448</v>
      </c>
      <c r="J19" s="298" t="s">
        <v>448</v>
      </c>
      <c r="K19" s="441" t="s">
        <v>165</v>
      </c>
      <c r="L19" s="441" t="s">
        <v>165</v>
      </c>
      <c r="M19" s="291"/>
      <c r="N19" s="300"/>
      <c r="T19" s="402"/>
      <c r="V19" s="402" t="s">
        <v>342</v>
      </c>
      <c r="Z19" s="208" t="s">
        <v>1497</v>
      </c>
    </row>
    <row r="20" spans="1:26" s="208" customFormat="1" ht="24" customHeight="1" x14ac:dyDescent="0.25">
      <c r="A20" s="291">
        <v>17</v>
      </c>
      <c r="B20" s="331"/>
      <c r="C20" s="332"/>
      <c r="D20" s="293" t="s">
        <v>524</v>
      </c>
      <c r="E20" s="360">
        <f t="shared" si="0"/>
        <v>12</v>
      </c>
      <c r="F20" s="298" t="s">
        <v>762</v>
      </c>
      <c r="G20" s="298" t="s">
        <v>762</v>
      </c>
      <c r="H20" s="298" t="s">
        <v>762</v>
      </c>
      <c r="I20" s="298" t="s">
        <v>762</v>
      </c>
      <c r="J20" s="298" t="s">
        <v>762</v>
      </c>
      <c r="K20" s="298" t="s">
        <v>762</v>
      </c>
      <c r="L20" s="298" t="s">
        <v>762</v>
      </c>
      <c r="M20" s="291"/>
      <c r="T20" s="402"/>
      <c r="V20" s="402" t="s">
        <v>343</v>
      </c>
      <c r="Z20" s="208" t="s">
        <v>1498</v>
      </c>
    </row>
    <row r="21" spans="1:26" s="208" customFormat="1" ht="24" customHeight="1" x14ac:dyDescent="0.25">
      <c r="A21" s="291">
        <v>18</v>
      </c>
      <c r="B21" s="335"/>
      <c r="C21" s="327" t="s">
        <v>950</v>
      </c>
      <c r="D21" s="328" t="s">
        <v>792</v>
      </c>
      <c r="E21" s="360">
        <f t="shared" si="0"/>
        <v>3</v>
      </c>
      <c r="F21" s="441" t="s">
        <v>165</v>
      </c>
      <c r="G21" s="441" t="s">
        <v>165</v>
      </c>
      <c r="H21" s="441" t="s">
        <v>165</v>
      </c>
      <c r="I21" s="441" t="s">
        <v>165</v>
      </c>
      <c r="J21" s="441" t="s">
        <v>165</v>
      </c>
      <c r="K21" s="441" t="s">
        <v>165</v>
      </c>
      <c r="L21" s="441" t="s">
        <v>165</v>
      </c>
      <c r="M21" s="291"/>
      <c r="T21" s="402"/>
      <c r="V21" s="402" t="s">
        <v>344</v>
      </c>
      <c r="Z21" s="220" t="s">
        <v>1491</v>
      </c>
    </row>
    <row r="22" spans="1:26" s="208" customFormat="1" ht="24" customHeight="1" x14ac:dyDescent="0.25">
      <c r="A22" s="291">
        <v>19</v>
      </c>
      <c r="B22" s="329"/>
      <c r="C22" s="330"/>
      <c r="D22" s="293" t="s">
        <v>794</v>
      </c>
      <c r="E22" s="360">
        <f t="shared" si="0"/>
        <v>2</v>
      </c>
      <c r="F22" s="298" t="s">
        <v>664</v>
      </c>
      <c r="G22" s="298" t="s">
        <v>448</v>
      </c>
      <c r="H22" s="298" t="s">
        <v>448</v>
      </c>
      <c r="I22" s="298" t="s">
        <v>448</v>
      </c>
      <c r="J22" s="298" t="s">
        <v>448</v>
      </c>
      <c r="K22" s="298" t="s">
        <v>448</v>
      </c>
      <c r="L22" s="298" t="s">
        <v>448</v>
      </c>
      <c r="M22" s="291"/>
      <c r="N22" s="220"/>
      <c r="T22" s="402"/>
      <c r="V22" s="402" t="s">
        <v>345</v>
      </c>
      <c r="Z22" s="208" t="s">
        <v>1491</v>
      </c>
    </row>
    <row r="23" spans="1:26" s="208" customFormat="1" ht="24" customHeight="1" x14ac:dyDescent="0.25">
      <c r="A23" s="291">
        <v>20</v>
      </c>
      <c r="B23" s="331"/>
      <c r="C23" s="332"/>
      <c r="D23" s="293" t="s">
        <v>524</v>
      </c>
      <c r="E23" s="360">
        <f t="shared" si="0"/>
        <v>12</v>
      </c>
      <c r="F23" s="298" t="s">
        <v>762</v>
      </c>
      <c r="G23" s="298" t="s">
        <v>762</v>
      </c>
      <c r="H23" s="298" t="s">
        <v>762</v>
      </c>
      <c r="I23" s="298" t="s">
        <v>762</v>
      </c>
      <c r="J23" s="298" t="s">
        <v>762</v>
      </c>
      <c r="K23" s="298" t="s">
        <v>762</v>
      </c>
      <c r="L23" s="298" t="s">
        <v>762</v>
      </c>
      <c r="M23" s="291"/>
      <c r="N23" s="220"/>
      <c r="T23" s="402"/>
      <c r="V23" s="402" t="s">
        <v>346</v>
      </c>
      <c r="Z23" s="208" t="s">
        <v>1491</v>
      </c>
    </row>
    <row r="24" spans="1:26" s="208" customFormat="1" ht="24" customHeight="1" x14ac:dyDescent="0.25">
      <c r="A24" s="291">
        <v>21</v>
      </c>
      <c r="B24" s="329"/>
      <c r="C24" s="327" t="s">
        <v>951</v>
      </c>
      <c r="D24" s="333" t="s">
        <v>525</v>
      </c>
      <c r="E24" s="360">
        <f t="shared" si="0"/>
        <v>7</v>
      </c>
      <c r="F24" s="441" t="s">
        <v>165</v>
      </c>
      <c r="G24" s="499" t="s">
        <v>663</v>
      </c>
      <c r="H24" s="441" t="s">
        <v>165</v>
      </c>
      <c r="I24" s="441" t="s">
        <v>165</v>
      </c>
      <c r="J24" s="499" t="s">
        <v>663</v>
      </c>
      <c r="K24" s="441" t="s">
        <v>165</v>
      </c>
      <c r="L24" s="441" t="s">
        <v>165</v>
      </c>
      <c r="M24" s="294"/>
      <c r="N24" s="220"/>
      <c r="V24" s="402" t="s">
        <v>347</v>
      </c>
      <c r="Z24" s="208" t="s">
        <v>1491</v>
      </c>
    </row>
    <row r="25" spans="1:26" s="208" customFormat="1" ht="24" customHeight="1" x14ac:dyDescent="0.25">
      <c r="A25" s="291">
        <v>22</v>
      </c>
      <c r="B25" s="329"/>
      <c r="C25" s="330"/>
      <c r="D25" s="304" t="s">
        <v>526</v>
      </c>
      <c r="E25" s="360">
        <f t="shared" si="0"/>
        <v>5</v>
      </c>
      <c r="F25" s="298" t="s">
        <v>664</v>
      </c>
      <c r="G25" s="441" t="s">
        <v>165</v>
      </c>
      <c r="H25" s="298" t="s">
        <v>448</v>
      </c>
      <c r="I25" s="298" t="s">
        <v>448</v>
      </c>
      <c r="J25" s="441" t="s">
        <v>165</v>
      </c>
      <c r="K25" s="298" t="s">
        <v>448</v>
      </c>
      <c r="L25" s="298" t="s">
        <v>448</v>
      </c>
      <c r="M25" s="291"/>
      <c r="N25" s="220"/>
      <c r="V25" s="402" t="s">
        <v>348</v>
      </c>
      <c r="Z25" s="208" t="s">
        <v>1499</v>
      </c>
    </row>
    <row r="26" spans="1:26" s="208" customFormat="1" ht="24" customHeight="1" x14ac:dyDescent="0.25">
      <c r="A26" s="291">
        <v>23</v>
      </c>
      <c r="B26" s="331"/>
      <c r="C26" s="332"/>
      <c r="D26" s="293" t="s">
        <v>524</v>
      </c>
      <c r="E26" s="360">
        <f t="shared" si="0"/>
        <v>12</v>
      </c>
      <c r="F26" s="298" t="s">
        <v>762</v>
      </c>
      <c r="G26" s="298" t="s">
        <v>762</v>
      </c>
      <c r="H26" s="298" t="s">
        <v>762</v>
      </c>
      <c r="I26" s="298" t="s">
        <v>762</v>
      </c>
      <c r="J26" s="298" t="s">
        <v>762</v>
      </c>
      <c r="K26" s="298" t="s">
        <v>762</v>
      </c>
      <c r="L26" s="298" t="s">
        <v>762</v>
      </c>
      <c r="M26" s="291"/>
      <c r="N26" s="220"/>
      <c r="V26" s="402" t="s">
        <v>349</v>
      </c>
      <c r="Z26" s="208" t="s">
        <v>1491</v>
      </c>
    </row>
    <row r="27" spans="1:26" s="208" customFormat="1" ht="24" customHeight="1" x14ac:dyDescent="0.25">
      <c r="A27" s="291">
        <v>24</v>
      </c>
      <c r="B27" s="329"/>
      <c r="C27" s="327" t="s">
        <v>952</v>
      </c>
      <c r="D27" s="328" t="s">
        <v>792</v>
      </c>
      <c r="E27" s="360">
        <f t="shared" si="0"/>
        <v>3</v>
      </c>
      <c r="F27" s="441" t="s">
        <v>165</v>
      </c>
      <c r="G27" s="441" t="s">
        <v>165</v>
      </c>
      <c r="H27" s="441" t="s">
        <v>165</v>
      </c>
      <c r="I27" s="441" t="s">
        <v>165</v>
      </c>
      <c r="J27" s="441" t="s">
        <v>165</v>
      </c>
      <c r="K27" s="441" t="s">
        <v>165</v>
      </c>
      <c r="L27" s="441" t="s">
        <v>165</v>
      </c>
      <c r="M27" s="291"/>
      <c r="N27" s="220"/>
      <c r="V27" s="402" t="s">
        <v>350</v>
      </c>
      <c r="Z27" s="208" t="s">
        <v>1500</v>
      </c>
    </row>
    <row r="28" spans="1:26" s="208" customFormat="1" ht="24" customHeight="1" x14ac:dyDescent="0.25">
      <c r="A28" s="291">
        <v>25</v>
      </c>
      <c r="B28" s="329"/>
      <c r="C28" s="330"/>
      <c r="D28" s="304" t="s">
        <v>1361</v>
      </c>
      <c r="E28" s="360">
        <f t="shared" si="0"/>
        <v>19</v>
      </c>
      <c r="F28" s="499" t="s">
        <v>663</v>
      </c>
      <c r="G28" s="499" t="s">
        <v>663</v>
      </c>
      <c r="H28" s="499" t="s">
        <v>663</v>
      </c>
      <c r="I28" s="298" t="s">
        <v>448</v>
      </c>
      <c r="J28" s="298" t="s">
        <v>448</v>
      </c>
      <c r="K28" s="298" t="s">
        <v>448</v>
      </c>
      <c r="L28" s="298" t="s">
        <v>448</v>
      </c>
      <c r="M28" s="291"/>
      <c r="V28" s="402"/>
      <c r="Z28" s="208" t="s">
        <v>1501</v>
      </c>
    </row>
    <row r="29" spans="1:26" s="208" customFormat="1" ht="24" customHeight="1" x14ac:dyDescent="0.25">
      <c r="A29" s="291">
        <v>26</v>
      </c>
      <c r="B29" s="329"/>
      <c r="C29" s="330"/>
      <c r="D29" s="304" t="s">
        <v>1362</v>
      </c>
      <c r="E29" s="360">
        <f t="shared" si="0"/>
        <v>19</v>
      </c>
      <c r="F29" s="499" t="s">
        <v>663</v>
      </c>
      <c r="G29" s="499" t="s">
        <v>663</v>
      </c>
      <c r="H29" s="499" t="s">
        <v>663</v>
      </c>
      <c r="I29" s="298" t="s">
        <v>448</v>
      </c>
      <c r="J29" s="298" t="s">
        <v>448</v>
      </c>
      <c r="K29" s="298" t="s">
        <v>448</v>
      </c>
      <c r="L29" s="298" t="s">
        <v>448</v>
      </c>
      <c r="M29" s="291"/>
      <c r="V29" s="402"/>
      <c r="Z29" s="208" t="s">
        <v>1502</v>
      </c>
    </row>
    <row r="30" spans="1:26" s="208" customFormat="1" ht="24" customHeight="1" x14ac:dyDescent="0.25">
      <c r="A30" s="291">
        <v>27</v>
      </c>
      <c r="B30" s="329"/>
      <c r="C30" s="330"/>
      <c r="D30" s="304" t="s">
        <v>1363</v>
      </c>
      <c r="E30" s="360">
        <f t="shared" si="0"/>
        <v>19</v>
      </c>
      <c r="F30" s="499" t="s">
        <v>663</v>
      </c>
      <c r="G30" s="499" t="s">
        <v>663</v>
      </c>
      <c r="H30" s="499" t="s">
        <v>663</v>
      </c>
      <c r="I30" s="298" t="s">
        <v>448</v>
      </c>
      <c r="J30" s="298" t="s">
        <v>448</v>
      </c>
      <c r="K30" s="298" t="s">
        <v>448</v>
      </c>
      <c r="L30" s="298" t="s">
        <v>448</v>
      </c>
      <c r="M30" s="291"/>
      <c r="V30" s="402" t="s">
        <v>353</v>
      </c>
      <c r="Z30" s="208" t="s">
        <v>1491</v>
      </c>
    </row>
    <row r="31" spans="1:26" s="208" customFormat="1" ht="24" customHeight="1" x14ac:dyDescent="0.25">
      <c r="A31" s="291">
        <v>28</v>
      </c>
      <c r="B31" s="329"/>
      <c r="C31" s="330"/>
      <c r="D31" s="304" t="s">
        <v>1364</v>
      </c>
      <c r="E31" s="360">
        <f t="shared" si="0"/>
        <v>27</v>
      </c>
      <c r="F31" s="298" t="s">
        <v>664</v>
      </c>
      <c r="G31" s="298" t="s">
        <v>448</v>
      </c>
      <c r="H31" s="298" t="s">
        <v>448</v>
      </c>
      <c r="I31" s="499" t="s">
        <v>663</v>
      </c>
      <c r="J31" s="499" t="s">
        <v>663</v>
      </c>
      <c r="K31" s="499" t="s">
        <v>663</v>
      </c>
      <c r="L31" s="499" t="s">
        <v>663</v>
      </c>
      <c r="M31" s="291"/>
      <c r="V31" s="402" t="s">
        <v>351</v>
      </c>
      <c r="Z31" s="208" t="s">
        <v>1503</v>
      </c>
    </row>
    <row r="32" spans="1:26" s="208" customFormat="1" ht="24" customHeight="1" x14ac:dyDescent="0.25">
      <c r="A32" s="291">
        <v>29</v>
      </c>
      <c r="B32" s="329"/>
      <c r="C32" s="330"/>
      <c r="D32" s="304" t="s">
        <v>1365</v>
      </c>
      <c r="E32" s="360">
        <f t="shared" si="0"/>
        <v>28</v>
      </c>
      <c r="F32" s="298" t="s">
        <v>448</v>
      </c>
      <c r="G32" s="298" t="s">
        <v>448</v>
      </c>
      <c r="H32" s="298" t="s">
        <v>448</v>
      </c>
      <c r="I32" s="499" t="s">
        <v>663</v>
      </c>
      <c r="J32" s="499" t="s">
        <v>663</v>
      </c>
      <c r="K32" s="499" t="s">
        <v>663</v>
      </c>
      <c r="L32" s="499" t="s">
        <v>663</v>
      </c>
      <c r="M32" s="291"/>
      <c r="V32" s="402" t="s">
        <v>352</v>
      </c>
      <c r="Z32" s="208" t="s">
        <v>1504</v>
      </c>
    </row>
    <row r="33" spans="1:26" s="208" customFormat="1" ht="24" customHeight="1" x14ac:dyDescent="0.25">
      <c r="A33" s="291">
        <v>30</v>
      </c>
      <c r="B33" s="329"/>
      <c r="C33" s="330"/>
      <c r="D33" s="304" t="s">
        <v>1366</v>
      </c>
      <c r="E33" s="360">
        <f t="shared" si="0"/>
        <v>28</v>
      </c>
      <c r="F33" s="298" t="s">
        <v>448</v>
      </c>
      <c r="G33" s="298" t="s">
        <v>448</v>
      </c>
      <c r="H33" s="298" t="s">
        <v>448</v>
      </c>
      <c r="I33" s="499" t="s">
        <v>663</v>
      </c>
      <c r="J33" s="499" t="s">
        <v>663</v>
      </c>
      <c r="K33" s="499" t="s">
        <v>663</v>
      </c>
      <c r="L33" s="499" t="s">
        <v>663</v>
      </c>
      <c r="M33" s="291"/>
      <c r="V33" s="402"/>
      <c r="Z33" s="208" t="s">
        <v>1494</v>
      </c>
    </row>
    <row r="34" spans="1:26" s="208" customFormat="1" ht="24" customHeight="1" x14ac:dyDescent="0.25">
      <c r="A34" s="291">
        <v>31</v>
      </c>
      <c r="B34" s="329"/>
      <c r="C34" s="330"/>
      <c r="D34" s="304" t="s">
        <v>1367</v>
      </c>
      <c r="E34" s="360">
        <f t="shared" si="0"/>
        <v>23</v>
      </c>
      <c r="F34" s="298" t="s">
        <v>448</v>
      </c>
      <c r="G34" s="298" t="s">
        <v>448</v>
      </c>
      <c r="H34" s="298" t="s">
        <v>448</v>
      </c>
      <c r="I34" s="499" t="s">
        <v>663</v>
      </c>
      <c r="J34" s="499" t="s">
        <v>663</v>
      </c>
      <c r="K34" s="499" t="s">
        <v>663</v>
      </c>
      <c r="L34" s="499" t="s">
        <v>663</v>
      </c>
      <c r="M34" s="291"/>
      <c r="N34" s="220"/>
      <c r="V34" s="402" t="s">
        <v>354</v>
      </c>
      <c r="Z34" s="208" t="s">
        <v>1494</v>
      </c>
    </row>
    <row r="35" spans="1:26" s="208" customFormat="1" ht="24" customHeight="1" x14ac:dyDescent="0.25">
      <c r="A35" s="291">
        <v>32</v>
      </c>
      <c r="B35" s="329"/>
      <c r="C35" s="330"/>
      <c r="D35" s="304" t="s">
        <v>1368</v>
      </c>
      <c r="E35" s="360">
        <f t="shared" si="0"/>
        <v>22</v>
      </c>
      <c r="F35" s="298" t="s">
        <v>448</v>
      </c>
      <c r="G35" s="298" t="s">
        <v>448</v>
      </c>
      <c r="H35" s="298" t="s">
        <v>448</v>
      </c>
      <c r="I35" s="499" t="s">
        <v>663</v>
      </c>
      <c r="J35" s="499" t="s">
        <v>663</v>
      </c>
      <c r="K35" s="499" t="s">
        <v>663</v>
      </c>
      <c r="L35" s="499" t="s">
        <v>663</v>
      </c>
      <c r="M35" s="291"/>
      <c r="V35" s="402" t="s">
        <v>355</v>
      </c>
      <c r="Z35" s="208" t="s">
        <v>1494</v>
      </c>
    </row>
    <row r="36" spans="1:26" s="208" customFormat="1" ht="24" customHeight="1" x14ac:dyDescent="0.25">
      <c r="A36" s="291">
        <v>33</v>
      </c>
      <c r="B36" s="329"/>
      <c r="C36" s="330"/>
      <c r="D36" s="304" t="s">
        <v>1369</v>
      </c>
      <c r="E36" s="360">
        <f t="shared" si="0"/>
        <v>22</v>
      </c>
      <c r="F36" s="298" t="s">
        <v>448</v>
      </c>
      <c r="G36" s="298" t="s">
        <v>448</v>
      </c>
      <c r="H36" s="298" t="s">
        <v>448</v>
      </c>
      <c r="I36" s="499" t="s">
        <v>663</v>
      </c>
      <c r="J36" s="499" t="s">
        <v>663</v>
      </c>
      <c r="K36" s="499" t="s">
        <v>663</v>
      </c>
      <c r="L36" s="499" t="s">
        <v>663</v>
      </c>
      <c r="M36" s="291"/>
      <c r="V36" s="402" t="s">
        <v>356</v>
      </c>
      <c r="Z36" s="208" t="s">
        <v>1494</v>
      </c>
    </row>
    <row r="37" spans="1:26" s="208" customFormat="1" ht="24" customHeight="1" x14ac:dyDescent="0.25">
      <c r="A37" s="291">
        <v>34</v>
      </c>
      <c r="B37" s="331"/>
      <c r="C37" s="332"/>
      <c r="D37" s="293" t="s">
        <v>524</v>
      </c>
      <c r="E37" s="360">
        <f t="shared" si="0"/>
        <v>12</v>
      </c>
      <c r="F37" s="298" t="s">
        <v>762</v>
      </c>
      <c r="G37" s="298" t="s">
        <v>762</v>
      </c>
      <c r="H37" s="298" t="s">
        <v>762</v>
      </c>
      <c r="I37" s="298" t="s">
        <v>762</v>
      </c>
      <c r="J37" s="298" t="s">
        <v>762</v>
      </c>
      <c r="K37" s="298" t="s">
        <v>762</v>
      </c>
      <c r="L37" s="298" t="s">
        <v>762</v>
      </c>
      <c r="M37" s="291"/>
      <c r="V37" s="402" t="s">
        <v>357</v>
      </c>
      <c r="Z37" s="208" t="s">
        <v>1505</v>
      </c>
    </row>
    <row r="38" spans="1:26" s="208" customFormat="1" ht="24" customHeight="1" x14ac:dyDescent="0.25">
      <c r="A38" s="291">
        <v>32</v>
      </c>
      <c r="B38" s="329"/>
      <c r="C38" s="334" t="s">
        <v>953</v>
      </c>
      <c r="D38" s="328" t="s">
        <v>859</v>
      </c>
      <c r="E38" s="360">
        <f t="shared" si="0"/>
        <v>4</v>
      </c>
      <c r="F38" s="441" t="s">
        <v>165</v>
      </c>
      <c r="G38" s="441" t="s">
        <v>165</v>
      </c>
      <c r="H38" s="441" t="s">
        <v>165</v>
      </c>
      <c r="I38" s="441" t="s">
        <v>165</v>
      </c>
      <c r="J38" s="441" t="s">
        <v>165</v>
      </c>
      <c r="K38" s="441" t="s">
        <v>165</v>
      </c>
      <c r="L38" s="441" t="s">
        <v>165</v>
      </c>
      <c r="M38" s="291"/>
      <c r="V38" s="402" t="s">
        <v>358</v>
      </c>
      <c r="Z38" s="208" t="s">
        <v>1506</v>
      </c>
    </row>
    <row r="39" spans="1:26" s="208" customFormat="1" ht="24" customHeight="1" x14ac:dyDescent="0.25">
      <c r="A39" s="291">
        <v>33</v>
      </c>
      <c r="B39" s="329"/>
      <c r="C39" s="335"/>
      <c r="D39" s="304" t="s">
        <v>860</v>
      </c>
      <c r="E39" s="360">
        <f t="shared" si="0"/>
        <v>21</v>
      </c>
      <c r="F39" s="298" t="s">
        <v>664</v>
      </c>
      <c r="G39" s="298" t="s">
        <v>448</v>
      </c>
      <c r="H39" s="298" t="s">
        <v>448</v>
      </c>
      <c r="I39" s="298" t="s">
        <v>448</v>
      </c>
      <c r="J39" s="298" t="s">
        <v>448</v>
      </c>
      <c r="K39" s="298" t="s">
        <v>448</v>
      </c>
      <c r="L39" s="298" t="s">
        <v>448</v>
      </c>
      <c r="M39" s="291"/>
      <c r="V39" s="402" t="s">
        <v>359</v>
      </c>
      <c r="Z39" s="387" t="s">
        <v>1507</v>
      </c>
    </row>
    <row r="40" spans="1:26" s="208" customFormat="1" ht="24" customHeight="1" x14ac:dyDescent="0.25">
      <c r="A40" s="291">
        <v>34</v>
      </c>
      <c r="B40" s="329"/>
      <c r="C40" s="335"/>
      <c r="D40" s="304" t="s">
        <v>861</v>
      </c>
      <c r="E40" s="360">
        <f t="shared" si="0"/>
        <v>21</v>
      </c>
      <c r="F40" s="298" t="s">
        <v>664</v>
      </c>
      <c r="G40" s="298" t="s">
        <v>448</v>
      </c>
      <c r="H40" s="298" t="s">
        <v>448</v>
      </c>
      <c r="I40" s="298" t="s">
        <v>448</v>
      </c>
      <c r="J40" s="298" t="s">
        <v>448</v>
      </c>
      <c r="K40" s="298" t="s">
        <v>448</v>
      </c>
      <c r="L40" s="298" t="s">
        <v>448</v>
      </c>
      <c r="M40" s="291"/>
      <c r="V40" s="402" t="s">
        <v>360</v>
      </c>
      <c r="Z40" s="208" t="s">
        <v>1491</v>
      </c>
    </row>
    <row r="41" spans="1:26" s="208" customFormat="1" ht="24" customHeight="1" x14ac:dyDescent="0.25">
      <c r="A41" s="291">
        <v>35</v>
      </c>
      <c r="B41" s="329"/>
      <c r="C41" s="335"/>
      <c r="D41" s="304" t="s">
        <v>862</v>
      </c>
      <c r="E41" s="360">
        <f t="shared" si="0"/>
        <v>21</v>
      </c>
      <c r="F41" s="298" t="s">
        <v>664</v>
      </c>
      <c r="G41" s="298" t="s">
        <v>448</v>
      </c>
      <c r="H41" s="298" t="s">
        <v>448</v>
      </c>
      <c r="I41" s="298" t="s">
        <v>448</v>
      </c>
      <c r="J41" s="298" t="s">
        <v>448</v>
      </c>
      <c r="K41" s="298" t="s">
        <v>448</v>
      </c>
      <c r="L41" s="298" t="s">
        <v>448</v>
      </c>
      <c r="M41" s="291"/>
      <c r="V41" s="402" t="s">
        <v>361</v>
      </c>
      <c r="Z41" s="208" t="s">
        <v>1491</v>
      </c>
    </row>
    <row r="42" spans="1:26" s="208" customFormat="1" ht="24" customHeight="1" x14ac:dyDescent="0.25">
      <c r="A42" s="291">
        <v>36</v>
      </c>
      <c r="B42" s="329"/>
      <c r="C42" s="335"/>
      <c r="D42" s="304" t="s">
        <v>863</v>
      </c>
      <c r="E42" s="360">
        <f t="shared" si="0"/>
        <v>27</v>
      </c>
      <c r="F42" s="298" t="s">
        <v>664</v>
      </c>
      <c r="G42" s="298" t="s">
        <v>448</v>
      </c>
      <c r="H42" s="298" t="s">
        <v>448</v>
      </c>
      <c r="I42" s="298" t="s">
        <v>448</v>
      </c>
      <c r="J42" s="298" t="s">
        <v>448</v>
      </c>
      <c r="K42" s="298" t="s">
        <v>448</v>
      </c>
      <c r="L42" s="298" t="s">
        <v>448</v>
      </c>
      <c r="M42" s="291"/>
      <c r="V42" s="402" t="s">
        <v>362</v>
      </c>
      <c r="Z42" s="208" t="s">
        <v>1491</v>
      </c>
    </row>
    <row r="43" spans="1:26" s="208" customFormat="1" ht="24" customHeight="1" x14ac:dyDescent="0.25">
      <c r="A43" s="291">
        <v>37</v>
      </c>
      <c r="B43" s="329"/>
      <c r="C43" s="335"/>
      <c r="D43" s="304" t="s">
        <v>864</v>
      </c>
      <c r="E43" s="360">
        <f t="shared" si="0"/>
        <v>27</v>
      </c>
      <c r="F43" s="298" t="s">
        <v>664</v>
      </c>
      <c r="G43" s="298" t="s">
        <v>448</v>
      </c>
      <c r="H43" s="298" t="s">
        <v>448</v>
      </c>
      <c r="I43" s="298" t="s">
        <v>448</v>
      </c>
      <c r="J43" s="298" t="s">
        <v>448</v>
      </c>
      <c r="K43" s="298" t="s">
        <v>448</v>
      </c>
      <c r="L43" s="298" t="s">
        <v>448</v>
      </c>
      <c r="M43" s="291"/>
      <c r="N43" s="220"/>
      <c r="V43" s="402" t="s">
        <v>363</v>
      </c>
      <c r="Z43" s="208" t="s">
        <v>1491</v>
      </c>
    </row>
    <row r="44" spans="1:26" s="208" customFormat="1" ht="24" customHeight="1" x14ac:dyDescent="0.25">
      <c r="A44" s="291">
        <v>38</v>
      </c>
      <c r="B44" s="329"/>
      <c r="C44" s="335"/>
      <c r="D44" s="304" t="s">
        <v>865</v>
      </c>
      <c r="E44" s="360">
        <f t="shared" si="0"/>
        <v>27</v>
      </c>
      <c r="F44" s="298" t="s">
        <v>664</v>
      </c>
      <c r="G44" s="298" t="s">
        <v>448</v>
      </c>
      <c r="H44" s="298" t="s">
        <v>448</v>
      </c>
      <c r="I44" s="298" t="s">
        <v>448</v>
      </c>
      <c r="J44" s="298" t="s">
        <v>448</v>
      </c>
      <c r="K44" s="298" t="s">
        <v>448</v>
      </c>
      <c r="L44" s="298" t="s">
        <v>448</v>
      </c>
      <c r="M44" s="291"/>
      <c r="N44" s="220"/>
      <c r="V44" s="402" t="s">
        <v>364</v>
      </c>
      <c r="Z44" s="208" t="s">
        <v>1508</v>
      </c>
    </row>
    <row r="45" spans="1:26" s="208" customFormat="1" ht="24" customHeight="1" x14ac:dyDescent="0.25">
      <c r="A45" s="291">
        <v>39</v>
      </c>
      <c r="B45" s="329"/>
      <c r="C45" s="335"/>
      <c r="D45" s="304" t="s">
        <v>880</v>
      </c>
      <c r="E45" s="360">
        <f t="shared" si="0"/>
        <v>34</v>
      </c>
      <c r="F45" s="298" t="s">
        <v>664</v>
      </c>
      <c r="G45" s="298" t="s">
        <v>448</v>
      </c>
      <c r="H45" s="298" t="s">
        <v>448</v>
      </c>
      <c r="I45" s="298" t="s">
        <v>448</v>
      </c>
      <c r="J45" s="298" t="s">
        <v>448</v>
      </c>
      <c r="K45" s="298" t="s">
        <v>448</v>
      </c>
      <c r="L45" s="298" t="s">
        <v>448</v>
      </c>
      <c r="M45" s="291"/>
      <c r="N45" s="220"/>
      <c r="V45" s="402" t="s">
        <v>365</v>
      </c>
      <c r="Z45" s="208" t="s">
        <v>1491</v>
      </c>
    </row>
    <row r="46" spans="1:26" s="208" customFormat="1" ht="24" customHeight="1" x14ac:dyDescent="0.25">
      <c r="A46" s="291">
        <v>40</v>
      </c>
      <c r="B46" s="329"/>
      <c r="C46" s="335"/>
      <c r="D46" s="304" t="s">
        <v>866</v>
      </c>
      <c r="E46" s="360">
        <f t="shared" si="0"/>
        <v>34</v>
      </c>
      <c r="F46" s="298" t="s">
        <v>664</v>
      </c>
      <c r="G46" s="298" t="s">
        <v>448</v>
      </c>
      <c r="H46" s="298" t="s">
        <v>448</v>
      </c>
      <c r="I46" s="298" t="s">
        <v>448</v>
      </c>
      <c r="J46" s="298" t="s">
        <v>448</v>
      </c>
      <c r="K46" s="298" t="s">
        <v>448</v>
      </c>
      <c r="L46" s="298" t="s">
        <v>448</v>
      </c>
      <c r="M46" s="291"/>
      <c r="N46" s="220"/>
      <c r="V46" s="402" t="s">
        <v>366</v>
      </c>
      <c r="Z46" s="208" t="s">
        <v>1509</v>
      </c>
    </row>
    <row r="47" spans="1:26" s="208" customFormat="1" ht="24" customHeight="1" x14ac:dyDescent="0.25">
      <c r="A47" s="291">
        <v>41</v>
      </c>
      <c r="B47" s="329"/>
      <c r="C47" s="335"/>
      <c r="D47" s="304" t="s">
        <v>867</v>
      </c>
      <c r="E47" s="360">
        <f t="shared" si="0"/>
        <v>34</v>
      </c>
      <c r="F47" s="298" t="s">
        <v>664</v>
      </c>
      <c r="G47" s="298" t="s">
        <v>448</v>
      </c>
      <c r="H47" s="298" t="s">
        <v>448</v>
      </c>
      <c r="I47" s="298" t="s">
        <v>448</v>
      </c>
      <c r="J47" s="298" t="s">
        <v>448</v>
      </c>
      <c r="K47" s="298" t="s">
        <v>448</v>
      </c>
      <c r="L47" s="298" t="s">
        <v>448</v>
      </c>
      <c r="M47" s="291"/>
      <c r="N47" s="220"/>
      <c r="V47" s="402" t="s">
        <v>367</v>
      </c>
      <c r="Z47" s="208" t="s">
        <v>1510</v>
      </c>
    </row>
    <row r="48" spans="1:26" s="208" customFormat="1" ht="24" customHeight="1" x14ac:dyDescent="0.25">
      <c r="A48" s="291">
        <v>42</v>
      </c>
      <c r="B48" s="331"/>
      <c r="C48" s="307"/>
      <c r="D48" s="293" t="s">
        <v>868</v>
      </c>
      <c r="E48" s="360">
        <f t="shared" si="0"/>
        <v>13</v>
      </c>
      <c r="F48" s="298" t="s">
        <v>762</v>
      </c>
      <c r="G48" s="298" t="s">
        <v>762</v>
      </c>
      <c r="H48" s="298" t="s">
        <v>762</v>
      </c>
      <c r="I48" s="298" t="s">
        <v>762</v>
      </c>
      <c r="J48" s="298" t="s">
        <v>762</v>
      </c>
      <c r="K48" s="298" t="s">
        <v>762</v>
      </c>
      <c r="L48" s="298" t="s">
        <v>762</v>
      </c>
      <c r="M48" s="291"/>
      <c r="N48" s="220"/>
      <c r="V48" s="402" t="s">
        <v>368</v>
      </c>
      <c r="Z48" s="208" t="s">
        <v>1511</v>
      </c>
    </row>
    <row r="49" spans="1:26" s="208" customFormat="1" ht="24" customHeight="1" x14ac:dyDescent="0.25">
      <c r="A49" s="291">
        <v>43</v>
      </c>
      <c r="B49" s="331"/>
      <c r="C49" s="334" t="s">
        <v>954</v>
      </c>
      <c r="D49" s="303" t="s">
        <v>792</v>
      </c>
      <c r="E49" s="360">
        <f t="shared" si="0"/>
        <v>3</v>
      </c>
      <c r="F49" s="441" t="s">
        <v>165</v>
      </c>
      <c r="G49" s="441" t="s">
        <v>165</v>
      </c>
      <c r="H49" s="441" t="s">
        <v>165</v>
      </c>
      <c r="I49" s="441" t="s">
        <v>165</v>
      </c>
      <c r="J49" s="441" t="s">
        <v>165</v>
      </c>
      <c r="K49" s="441" t="s">
        <v>165</v>
      </c>
      <c r="L49" s="441" t="s">
        <v>165</v>
      </c>
      <c r="M49" s="291"/>
      <c r="V49" s="402" t="s">
        <v>369</v>
      </c>
      <c r="Z49" s="208" t="s">
        <v>1512</v>
      </c>
    </row>
    <row r="50" spans="1:26" s="208" customFormat="1" ht="24" customHeight="1" x14ac:dyDescent="0.25">
      <c r="A50" s="291">
        <v>44</v>
      </c>
      <c r="B50" s="331"/>
      <c r="C50" s="332"/>
      <c r="D50" s="304" t="s">
        <v>871</v>
      </c>
      <c r="E50" s="360">
        <f t="shared" si="0"/>
        <v>28</v>
      </c>
      <c r="F50" s="298" t="s">
        <v>664</v>
      </c>
      <c r="G50" s="298" t="s">
        <v>448</v>
      </c>
      <c r="H50" s="298" t="s">
        <v>448</v>
      </c>
      <c r="I50" s="298" t="s">
        <v>448</v>
      </c>
      <c r="J50" s="298" t="s">
        <v>448</v>
      </c>
      <c r="K50" s="298" t="s">
        <v>448</v>
      </c>
      <c r="L50" s="298" t="s">
        <v>448</v>
      </c>
      <c r="M50" s="291"/>
      <c r="V50" s="402" t="s">
        <v>370</v>
      </c>
      <c r="Z50" s="208" t="s">
        <v>1513</v>
      </c>
    </row>
    <row r="51" spans="1:26" s="208" customFormat="1" ht="24" customHeight="1" x14ac:dyDescent="0.25">
      <c r="A51" s="291">
        <v>45</v>
      </c>
      <c r="B51" s="331"/>
      <c r="C51" s="332"/>
      <c r="D51" s="304" t="s">
        <v>872</v>
      </c>
      <c r="E51" s="360">
        <f t="shared" si="0"/>
        <v>26</v>
      </c>
      <c r="F51" s="298" t="s">
        <v>664</v>
      </c>
      <c r="G51" s="298" t="s">
        <v>448</v>
      </c>
      <c r="H51" s="298" t="s">
        <v>448</v>
      </c>
      <c r="I51" s="298" t="s">
        <v>448</v>
      </c>
      <c r="J51" s="298" t="s">
        <v>448</v>
      </c>
      <c r="K51" s="298" t="s">
        <v>448</v>
      </c>
      <c r="L51" s="298" t="s">
        <v>448</v>
      </c>
      <c r="M51" s="291"/>
      <c r="V51" s="402" t="s">
        <v>371</v>
      </c>
      <c r="Z51" s="208" t="s">
        <v>1491</v>
      </c>
    </row>
    <row r="52" spans="1:26" s="208" customFormat="1" ht="24" customHeight="1" x14ac:dyDescent="0.25">
      <c r="A52" s="291">
        <v>46</v>
      </c>
      <c r="B52" s="331"/>
      <c r="C52" s="332"/>
      <c r="D52" s="304" t="s">
        <v>873</v>
      </c>
      <c r="E52" s="360">
        <f t="shared" si="0"/>
        <v>26</v>
      </c>
      <c r="F52" s="298" t="s">
        <v>664</v>
      </c>
      <c r="G52" s="298" t="s">
        <v>448</v>
      </c>
      <c r="H52" s="298" t="s">
        <v>448</v>
      </c>
      <c r="I52" s="298" t="s">
        <v>448</v>
      </c>
      <c r="J52" s="298" t="s">
        <v>448</v>
      </c>
      <c r="K52" s="298" t="s">
        <v>448</v>
      </c>
      <c r="L52" s="298" t="s">
        <v>448</v>
      </c>
      <c r="M52" s="291"/>
      <c r="V52" s="402" t="s">
        <v>372</v>
      </c>
      <c r="Z52" s="208" t="s">
        <v>1514</v>
      </c>
    </row>
    <row r="53" spans="1:26" s="208" customFormat="1" ht="24" customHeight="1" x14ac:dyDescent="0.25">
      <c r="A53" s="291">
        <v>47</v>
      </c>
      <c r="B53" s="331"/>
      <c r="C53" s="332"/>
      <c r="D53" s="304" t="s">
        <v>874</v>
      </c>
      <c r="E53" s="360">
        <f t="shared" si="0"/>
        <v>26</v>
      </c>
      <c r="F53" s="298" t="s">
        <v>664</v>
      </c>
      <c r="G53" s="298" t="s">
        <v>448</v>
      </c>
      <c r="H53" s="298" t="s">
        <v>448</v>
      </c>
      <c r="I53" s="298" t="s">
        <v>448</v>
      </c>
      <c r="J53" s="298" t="s">
        <v>448</v>
      </c>
      <c r="K53" s="298" t="s">
        <v>448</v>
      </c>
      <c r="L53" s="298" t="s">
        <v>448</v>
      </c>
      <c r="M53" s="291"/>
      <c r="V53" s="402" t="s">
        <v>373</v>
      </c>
      <c r="Z53" s="208" t="s">
        <v>1484</v>
      </c>
    </row>
    <row r="54" spans="1:26" s="208" customFormat="1" ht="24" customHeight="1" x14ac:dyDescent="0.25">
      <c r="A54" s="291">
        <v>48</v>
      </c>
      <c r="B54" s="331"/>
      <c r="C54" s="332"/>
      <c r="D54" s="304" t="s">
        <v>875</v>
      </c>
      <c r="E54" s="360">
        <f t="shared" si="0"/>
        <v>26</v>
      </c>
      <c r="F54" s="298" t="s">
        <v>664</v>
      </c>
      <c r="G54" s="298" t="s">
        <v>448</v>
      </c>
      <c r="H54" s="298" t="s">
        <v>448</v>
      </c>
      <c r="I54" s="298" t="s">
        <v>448</v>
      </c>
      <c r="J54" s="298" t="s">
        <v>448</v>
      </c>
      <c r="K54" s="298" t="s">
        <v>448</v>
      </c>
      <c r="L54" s="298" t="s">
        <v>448</v>
      </c>
      <c r="M54" s="363"/>
      <c r="V54" s="402" t="s">
        <v>374</v>
      </c>
      <c r="Z54" s="208" t="s">
        <v>1515</v>
      </c>
    </row>
    <row r="55" spans="1:26" s="208" customFormat="1" ht="24" customHeight="1" x14ac:dyDescent="0.25">
      <c r="A55" s="291">
        <v>49</v>
      </c>
      <c r="B55" s="331"/>
      <c r="C55" s="332"/>
      <c r="D55" s="304" t="s">
        <v>876</v>
      </c>
      <c r="E55" s="360">
        <f t="shared" si="0"/>
        <v>26</v>
      </c>
      <c r="F55" s="298" t="s">
        <v>664</v>
      </c>
      <c r="G55" s="298" t="s">
        <v>448</v>
      </c>
      <c r="H55" s="298" t="s">
        <v>448</v>
      </c>
      <c r="I55" s="298" t="s">
        <v>448</v>
      </c>
      <c r="J55" s="298" t="s">
        <v>448</v>
      </c>
      <c r="K55" s="298" t="s">
        <v>448</v>
      </c>
      <c r="L55" s="298" t="s">
        <v>448</v>
      </c>
      <c r="M55" s="291"/>
      <c r="V55" s="402" t="s">
        <v>375</v>
      </c>
      <c r="Z55" s="208" t="s">
        <v>1516</v>
      </c>
    </row>
    <row r="56" spans="1:26" s="208" customFormat="1" ht="24" customHeight="1" x14ac:dyDescent="0.25">
      <c r="A56" s="291">
        <v>50</v>
      </c>
      <c r="B56" s="331"/>
      <c r="C56" s="332"/>
      <c r="D56" s="293" t="s">
        <v>524</v>
      </c>
      <c r="E56" s="360">
        <f t="shared" si="0"/>
        <v>12</v>
      </c>
      <c r="F56" s="298" t="s">
        <v>762</v>
      </c>
      <c r="G56" s="298" t="s">
        <v>762</v>
      </c>
      <c r="H56" s="298" t="s">
        <v>762</v>
      </c>
      <c r="I56" s="298" t="s">
        <v>762</v>
      </c>
      <c r="J56" s="298" t="s">
        <v>762</v>
      </c>
      <c r="K56" s="298" t="s">
        <v>762</v>
      </c>
      <c r="L56" s="298" t="s">
        <v>762</v>
      </c>
      <c r="M56" s="291"/>
      <c r="V56" s="402" t="s">
        <v>376</v>
      </c>
      <c r="Z56" s="208" t="s">
        <v>1494</v>
      </c>
    </row>
    <row r="57" spans="1:26" s="208" customFormat="1" ht="24" customHeight="1" x14ac:dyDescent="0.25">
      <c r="A57" s="291">
        <v>51</v>
      </c>
      <c r="B57" s="329"/>
      <c r="C57" s="327" t="s">
        <v>955</v>
      </c>
      <c r="D57" s="328" t="s">
        <v>1325</v>
      </c>
      <c r="E57" s="360">
        <f t="shared" si="0"/>
        <v>1</v>
      </c>
      <c r="F57" s="441" t="s">
        <v>165</v>
      </c>
      <c r="G57" s="441" t="s">
        <v>165</v>
      </c>
      <c r="H57" s="298" t="s">
        <v>448</v>
      </c>
      <c r="I57" s="441" t="s">
        <v>165</v>
      </c>
      <c r="J57" s="441" t="s">
        <v>165</v>
      </c>
      <c r="K57" s="441" t="s">
        <v>165</v>
      </c>
      <c r="L57" s="441" t="s">
        <v>165</v>
      </c>
      <c r="M57" s="291"/>
      <c r="V57" s="402" t="s">
        <v>377</v>
      </c>
      <c r="Z57" s="208" t="s">
        <v>1491</v>
      </c>
    </row>
    <row r="58" spans="1:26" s="208" customFormat="1" ht="24" customHeight="1" x14ac:dyDescent="0.25">
      <c r="A58" s="291">
        <v>52</v>
      </c>
      <c r="B58" s="335"/>
      <c r="C58" s="330"/>
      <c r="D58" s="293" t="s">
        <v>1316</v>
      </c>
      <c r="E58" s="360">
        <f t="shared" si="0"/>
        <v>2</v>
      </c>
      <c r="F58" s="298" t="s">
        <v>664</v>
      </c>
      <c r="G58" s="298" t="s">
        <v>448</v>
      </c>
      <c r="H58" s="441" t="s">
        <v>165</v>
      </c>
      <c r="I58" s="298" t="s">
        <v>448</v>
      </c>
      <c r="J58" s="298" t="s">
        <v>448</v>
      </c>
      <c r="K58" s="298" t="s">
        <v>448</v>
      </c>
      <c r="L58" s="298" t="s">
        <v>448</v>
      </c>
      <c r="M58" s="363"/>
      <c r="V58" s="402" t="s">
        <v>378</v>
      </c>
      <c r="Z58" s="208" t="s">
        <v>1517</v>
      </c>
    </row>
    <row r="59" spans="1:26" s="208" customFormat="1" ht="24" customHeight="1" x14ac:dyDescent="0.25">
      <c r="A59" s="291">
        <v>53</v>
      </c>
      <c r="B59" s="331"/>
      <c r="C59" s="307"/>
      <c r="D59" s="293" t="s">
        <v>524</v>
      </c>
      <c r="E59" s="360">
        <f t="shared" si="0"/>
        <v>12</v>
      </c>
      <c r="F59" s="298" t="s">
        <v>762</v>
      </c>
      <c r="G59" s="298" t="s">
        <v>762</v>
      </c>
      <c r="H59" s="298" t="s">
        <v>762</v>
      </c>
      <c r="I59" s="298" t="s">
        <v>762</v>
      </c>
      <c r="J59" s="298" t="s">
        <v>762</v>
      </c>
      <c r="K59" s="298" t="s">
        <v>762</v>
      </c>
      <c r="L59" s="298" t="s">
        <v>762</v>
      </c>
      <c r="M59" s="291"/>
      <c r="V59" s="402" t="s">
        <v>379</v>
      </c>
      <c r="Z59" s="208" t="s">
        <v>1491</v>
      </c>
    </row>
    <row r="60" spans="1:26" s="208" customFormat="1" ht="24" customHeight="1" x14ac:dyDescent="0.25">
      <c r="A60" s="291">
        <v>54</v>
      </c>
      <c r="B60" s="329"/>
      <c r="C60" s="334" t="s">
        <v>956</v>
      </c>
      <c r="D60" s="328" t="s">
        <v>792</v>
      </c>
      <c r="E60" s="360">
        <f t="shared" si="0"/>
        <v>3</v>
      </c>
      <c r="F60" s="441" t="s">
        <v>165</v>
      </c>
      <c r="G60" s="441" t="s">
        <v>165</v>
      </c>
      <c r="H60" s="441" t="s">
        <v>165</v>
      </c>
      <c r="I60" s="441" t="s">
        <v>165</v>
      </c>
      <c r="J60" s="441" t="s">
        <v>165</v>
      </c>
      <c r="K60" s="441" t="s">
        <v>165</v>
      </c>
      <c r="L60" s="441" t="s">
        <v>165</v>
      </c>
      <c r="M60" s="291"/>
      <c r="V60" s="402" t="s">
        <v>380</v>
      </c>
      <c r="Z60" s="208" t="s">
        <v>1518</v>
      </c>
    </row>
    <row r="61" spans="1:26" s="208" customFormat="1" ht="24" customHeight="1" x14ac:dyDescent="0.25">
      <c r="A61" s="291">
        <v>55</v>
      </c>
      <c r="B61" s="329"/>
      <c r="C61" s="335"/>
      <c r="D61" s="304" t="s">
        <v>527</v>
      </c>
      <c r="E61" s="360">
        <f t="shared" si="0"/>
        <v>4</v>
      </c>
      <c r="F61" s="298" t="s">
        <v>664</v>
      </c>
      <c r="G61" s="298" t="s">
        <v>448</v>
      </c>
      <c r="H61" s="298" t="s">
        <v>448</v>
      </c>
      <c r="I61" s="298" t="s">
        <v>448</v>
      </c>
      <c r="J61" s="298" t="s">
        <v>448</v>
      </c>
      <c r="K61" s="298" t="s">
        <v>448</v>
      </c>
      <c r="L61" s="298" t="s">
        <v>448</v>
      </c>
      <c r="M61" s="291"/>
      <c r="V61" s="402" t="s">
        <v>381</v>
      </c>
      <c r="Z61" s="208" t="s">
        <v>1491</v>
      </c>
    </row>
    <row r="62" spans="1:26" s="208" customFormat="1" ht="24" customHeight="1" x14ac:dyDescent="0.25">
      <c r="A62" s="291">
        <v>56</v>
      </c>
      <c r="B62" s="329"/>
      <c r="C62" s="335"/>
      <c r="D62" s="304" t="s">
        <v>528</v>
      </c>
      <c r="E62" s="360">
        <f t="shared" si="0"/>
        <v>4</v>
      </c>
      <c r="F62" s="298" t="s">
        <v>664</v>
      </c>
      <c r="G62" s="298" t="s">
        <v>448</v>
      </c>
      <c r="H62" s="298" t="s">
        <v>448</v>
      </c>
      <c r="I62" s="298" t="s">
        <v>448</v>
      </c>
      <c r="J62" s="298" t="s">
        <v>448</v>
      </c>
      <c r="K62" s="298" t="s">
        <v>448</v>
      </c>
      <c r="L62" s="298" t="s">
        <v>448</v>
      </c>
      <c r="M62" s="291"/>
      <c r="V62" s="402" t="s">
        <v>382</v>
      </c>
      <c r="Z62" s="208" t="s">
        <v>1491</v>
      </c>
    </row>
    <row r="63" spans="1:26" s="208" customFormat="1" ht="24" customHeight="1" x14ac:dyDescent="0.25">
      <c r="A63" s="291">
        <v>57</v>
      </c>
      <c r="B63" s="329"/>
      <c r="C63" s="335"/>
      <c r="D63" s="435" t="s">
        <v>881</v>
      </c>
      <c r="E63" s="360">
        <f t="shared" si="0"/>
        <v>41</v>
      </c>
      <c r="F63" s="298" t="s">
        <v>664</v>
      </c>
      <c r="G63" s="298" t="s">
        <v>448</v>
      </c>
      <c r="H63" s="298" t="s">
        <v>448</v>
      </c>
      <c r="I63" s="298" t="s">
        <v>448</v>
      </c>
      <c r="J63" s="298" t="s">
        <v>448</v>
      </c>
      <c r="K63" s="298" t="s">
        <v>448</v>
      </c>
      <c r="L63" s="298" t="s">
        <v>448</v>
      </c>
      <c r="M63" s="363"/>
      <c r="V63" s="402" t="s">
        <v>383</v>
      </c>
      <c r="Z63" s="208" t="s">
        <v>1491</v>
      </c>
    </row>
    <row r="64" spans="1:26" s="208" customFormat="1" ht="24" customHeight="1" x14ac:dyDescent="0.25">
      <c r="A64" s="291">
        <v>58</v>
      </c>
      <c r="B64" s="329"/>
      <c r="C64" s="335"/>
      <c r="D64" s="435" t="s">
        <v>882</v>
      </c>
      <c r="E64" s="360">
        <f t="shared" si="0"/>
        <v>41</v>
      </c>
      <c r="F64" s="298" t="s">
        <v>664</v>
      </c>
      <c r="G64" s="298" t="s">
        <v>448</v>
      </c>
      <c r="H64" s="298" t="s">
        <v>448</v>
      </c>
      <c r="I64" s="298" t="s">
        <v>448</v>
      </c>
      <c r="J64" s="298" t="s">
        <v>448</v>
      </c>
      <c r="K64" s="298" t="s">
        <v>448</v>
      </c>
      <c r="L64" s="298" t="s">
        <v>448</v>
      </c>
      <c r="M64" s="291"/>
      <c r="V64" s="402" t="s">
        <v>384</v>
      </c>
      <c r="Z64" s="208" t="s">
        <v>1491</v>
      </c>
    </row>
    <row r="65" spans="1:26" s="208" customFormat="1" ht="24" customHeight="1" x14ac:dyDescent="0.25">
      <c r="A65" s="291">
        <v>59</v>
      </c>
      <c r="B65" s="329"/>
      <c r="C65" s="335"/>
      <c r="D65" s="435" t="s">
        <v>883</v>
      </c>
      <c r="E65" s="360">
        <f t="shared" si="0"/>
        <v>41</v>
      </c>
      <c r="F65" s="298" t="s">
        <v>664</v>
      </c>
      <c r="G65" s="298" t="s">
        <v>448</v>
      </c>
      <c r="H65" s="298" t="s">
        <v>448</v>
      </c>
      <c r="I65" s="298" t="s">
        <v>448</v>
      </c>
      <c r="J65" s="298" t="s">
        <v>448</v>
      </c>
      <c r="K65" s="298" t="s">
        <v>448</v>
      </c>
      <c r="L65" s="298" t="s">
        <v>448</v>
      </c>
      <c r="M65" s="291"/>
      <c r="V65" s="402" t="s">
        <v>385</v>
      </c>
      <c r="Z65" s="208" t="s">
        <v>1494</v>
      </c>
    </row>
    <row r="66" spans="1:26" s="208" customFormat="1" ht="24" customHeight="1" x14ac:dyDescent="0.25">
      <c r="A66" s="291">
        <v>60</v>
      </c>
      <c r="B66" s="329"/>
      <c r="C66" s="335"/>
      <c r="D66" s="435" t="s">
        <v>884</v>
      </c>
      <c r="E66" s="360">
        <f t="shared" si="0"/>
        <v>41</v>
      </c>
      <c r="F66" s="298" t="s">
        <v>664</v>
      </c>
      <c r="G66" s="298" t="s">
        <v>448</v>
      </c>
      <c r="H66" s="298" t="s">
        <v>448</v>
      </c>
      <c r="I66" s="298" t="s">
        <v>448</v>
      </c>
      <c r="J66" s="298" t="s">
        <v>448</v>
      </c>
      <c r="K66" s="298" t="s">
        <v>448</v>
      </c>
      <c r="L66" s="298" t="s">
        <v>448</v>
      </c>
      <c r="M66" s="291"/>
      <c r="V66" s="402" t="s">
        <v>386</v>
      </c>
      <c r="Z66" s="208" t="s">
        <v>1491</v>
      </c>
    </row>
    <row r="67" spans="1:26" s="208" customFormat="1" ht="24" customHeight="1" x14ac:dyDescent="0.25">
      <c r="A67" s="291">
        <v>61</v>
      </c>
      <c r="B67" s="331"/>
      <c r="C67" s="332"/>
      <c r="D67" s="293" t="s">
        <v>524</v>
      </c>
      <c r="E67" s="360">
        <f t="shared" si="0"/>
        <v>12</v>
      </c>
      <c r="F67" s="298" t="s">
        <v>762</v>
      </c>
      <c r="G67" s="298" t="s">
        <v>762</v>
      </c>
      <c r="H67" s="298" t="s">
        <v>762</v>
      </c>
      <c r="I67" s="298" t="s">
        <v>762</v>
      </c>
      <c r="J67" s="298" t="s">
        <v>762</v>
      </c>
      <c r="K67" s="298" t="s">
        <v>762</v>
      </c>
      <c r="L67" s="298" t="s">
        <v>762</v>
      </c>
      <c r="M67" s="363"/>
      <c r="V67" s="402" t="s">
        <v>387</v>
      </c>
      <c r="Z67" s="208" t="s">
        <v>1491</v>
      </c>
    </row>
    <row r="68" spans="1:26" s="208" customFormat="1" ht="24" customHeight="1" x14ac:dyDescent="0.25">
      <c r="A68" s="291">
        <v>62</v>
      </c>
      <c r="B68" s="329"/>
      <c r="C68" s="334" t="s">
        <v>869</v>
      </c>
      <c r="D68" s="328" t="s">
        <v>792</v>
      </c>
      <c r="E68" s="360">
        <f t="shared" si="0"/>
        <v>3</v>
      </c>
      <c r="F68" s="441" t="s">
        <v>165</v>
      </c>
      <c r="G68" s="441" t="s">
        <v>165</v>
      </c>
      <c r="H68" s="441" t="s">
        <v>165</v>
      </c>
      <c r="I68" s="441" t="s">
        <v>165</v>
      </c>
      <c r="J68" s="441" t="s">
        <v>165</v>
      </c>
      <c r="K68" s="441" t="s">
        <v>165</v>
      </c>
      <c r="L68" s="441" t="s">
        <v>165</v>
      </c>
      <c r="M68" s="291"/>
      <c r="V68" s="402" t="s">
        <v>388</v>
      </c>
      <c r="Z68" s="208" t="s">
        <v>1491</v>
      </c>
    </row>
    <row r="69" spans="1:26" s="208" customFormat="1" ht="24" customHeight="1" x14ac:dyDescent="0.25">
      <c r="A69" s="291">
        <v>63</v>
      </c>
      <c r="B69" s="329"/>
      <c r="C69" s="335"/>
      <c r="D69" s="304" t="s">
        <v>1085</v>
      </c>
      <c r="E69" s="360">
        <f t="shared" ref="E69:E118" si="1">LEN(D69)</f>
        <v>19</v>
      </c>
      <c r="F69" s="298" t="s">
        <v>664</v>
      </c>
      <c r="G69" s="298" t="s">
        <v>448</v>
      </c>
      <c r="H69" s="499" t="s">
        <v>663</v>
      </c>
      <c r="I69" s="298" t="s">
        <v>448</v>
      </c>
      <c r="J69" s="298" t="s">
        <v>448</v>
      </c>
      <c r="K69" s="499" t="s">
        <v>663</v>
      </c>
      <c r="L69" s="499" t="s">
        <v>663</v>
      </c>
      <c r="M69" s="291"/>
      <c r="V69" s="402" t="s">
        <v>389</v>
      </c>
      <c r="Z69" s="208" t="s">
        <v>1491</v>
      </c>
    </row>
    <row r="70" spans="1:26" s="208" customFormat="1" ht="24" customHeight="1" x14ac:dyDescent="0.25">
      <c r="A70" s="291">
        <v>64</v>
      </c>
      <c r="B70" s="331"/>
      <c r="C70" s="307"/>
      <c r="D70" s="293" t="s">
        <v>524</v>
      </c>
      <c r="E70" s="360">
        <f t="shared" si="1"/>
        <v>12</v>
      </c>
      <c r="F70" s="298" t="s">
        <v>762</v>
      </c>
      <c r="G70" s="298" t="s">
        <v>762</v>
      </c>
      <c r="H70" s="298" t="s">
        <v>762</v>
      </c>
      <c r="I70" s="298" t="s">
        <v>762</v>
      </c>
      <c r="J70" s="298" t="s">
        <v>762</v>
      </c>
      <c r="K70" s="298" t="s">
        <v>762</v>
      </c>
      <c r="L70" s="298" t="s">
        <v>762</v>
      </c>
      <c r="M70" s="363"/>
      <c r="V70" s="402" t="s">
        <v>390</v>
      </c>
      <c r="Z70" s="208" t="s">
        <v>1491</v>
      </c>
    </row>
    <row r="71" spans="1:26" s="208" customFormat="1" ht="24" customHeight="1" x14ac:dyDescent="0.25">
      <c r="A71" s="291">
        <v>65</v>
      </c>
      <c r="B71" s="336" t="s">
        <v>877</v>
      </c>
      <c r="C71" s="337" t="s">
        <v>607</v>
      </c>
      <c r="D71" s="309" t="s">
        <v>1086</v>
      </c>
      <c r="E71" s="360">
        <f t="shared" si="1"/>
        <v>10</v>
      </c>
      <c r="F71" s="441" t="s">
        <v>165</v>
      </c>
      <c r="G71" s="441" t="s">
        <v>165</v>
      </c>
      <c r="H71" s="499" t="s">
        <v>663</v>
      </c>
      <c r="I71" s="441" t="s">
        <v>165</v>
      </c>
      <c r="J71" s="441" t="s">
        <v>165</v>
      </c>
      <c r="K71" s="441" t="s">
        <v>165</v>
      </c>
      <c r="L71" s="441" t="s">
        <v>165</v>
      </c>
      <c r="M71" s="291"/>
      <c r="V71" s="402" t="s">
        <v>391</v>
      </c>
      <c r="Z71" s="208" t="s">
        <v>1491</v>
      </c>
    </row>
    <row r="72" spans="1:26" s="208" customFormat="1" ht="24" customHeight="1" x14ac:dyDescent="0.25">
      <c r="A72" s="291">
        <v>66</v>
      </c>
      <c r="B72" s="313"/>
      <c r="C72" s="338"/>
      <c r="D72" s="293" t="s">
        <v>1087</v>
      </c>
      <c r="E72" s="360">
        <f t="shared" si="1"/>
        <v>9</v>
      </c>
      <c r="F72" s="298" t="s">
        <v>664</v>
      </c>
      <c r="G72" s="298" t="s">
        <v>448</v>
      </c>
      <c r="H72" s="441" t="s">
        <v>165</v>
      </c>
      <c r="I72" s="298" t="s">
        <v>448</v>
      </c>
      <c r="J72" s="298" t="s">
        <v>448</v>
      </c>
      <c r="K72" s="298" t="s">
        <v>448</v>
      </c>
      <c r="L72" s="298" t="s">
        <v>448</v>
      </c>
      <c r="M72" s="291"/>
      <c r="N72" s="220"/>
      <c r="V72" s="402" t="s">
        <v>392</v>
      </c>
      <c r="Z72" s="208" t="s">
        <v>1491</v>
      </c>
    </row>
    <row r="73" spans="1:26" s="208" customFormat="1" ht="24" customHeight="1" x14ac:dyDescent="0.25">
      <c r="A73" s="291">
        <v>67</v>
      </c>
      <c r="B73" s="339"/>
      <c r="C73" s="317"/>
      <c r="D73" s="293" t="s">
        <v>524</v>
      </c>
      <c r="E73" s="360">
        <f t="shared" si="1"/>
        <v>12</v>
      </c>
      <c r="F73" s="298" t="s">
        <v>762</v>
      </c>
      <c r="G73" s="298" t="s">
        <v>762</v>
      </c>
      <c r="H73" s="298" t="s">
        <v>762</v>
      </c>
      <c r="I73" s="298" t="s">
        <v>762</v>
      </c>
      <c r="J73" s="298" t="s">
        <v>762</v>
      </c>
      <c r="K73" s="298" t="s">
        <v>762</v>
      </c>
      <c r="L73" s="298" t="s">
        <v>762</v>
      </c>
      <c r="M73" s="291"/>
      <c r="N73" s="220"/>
      <c r="V73" s="402" t="s">
        <v>393</v>
      </c>
      <c r="Z73" s="208" t="s">
        <v>1491</v>
      </c>
    </row>
    <row r="74" spans="1:26" s="208" customFormat="1" ht="24" customHeight="1" x14ac:dyDescent="0.25">
      <c r="A74" s="291">
        <v>68</v>
      </c>
      <c r="B74" s="339"/>
      <c r="C74" s="340" t="s">
        <v>957</v>
      </c>
      <c r="D74" s="309" t="s">
        <v>878</v>
      </c>
      <c r="E74" s="360">
        <f t="shared" si="1"/>
        <v>6</v>
      </c>
      <c r="F74" s="441" t="s">
        <v>165</v>
      </c>
      <c r="G74" s="298" t="s">
        <v>448</v>
      </c>
      <c r="H74" s="441" t="s">
        <v>165</v>
      </c>
      <c r="I74" s="298" t="s">
        <v>448</v>
      </c>
      <c r="J74" s="298" t="s">
        <v>448</v>
      </c>
      <c r="K74" s="298" t="s">
        <v>448</v>
      </c>
      <c r="L74" s="298" t="s">
        <v>448</v>
      </c>
      <c r="M74" s="363"/>
      <c r="N74" s="220"/>
      <c r="V74" s="402" t="s">
        <v>394</v>
      </c>
      <c r="Z74" s="208" t="s">
        <v>1519</v>
      </c>
    </row>
    <row r="75" spans="1:26" s="208" customFormat="1" ht="24" customHeight="1" x14ac:dyDescent="0.25">
      <c r="A75" s="291">
        <v>69</v>
      </c>
      <c r="B75" s="339"/>
      <c r="C75" s="340"/>
      <c r="D75" s="293" t="s">
        <v>879</v>
      </c>
      <c r="E75" s="360">
        <f t="shared" si="1"/>
        <v>6</v>
      </c>
      <c r="F75" s="298" t="s">
        <v>664</v>
      </c>
      <c r="G75" s="441" t="s">
        <v>165</v>
      </c>
      <c r="H75" s="298" t="s">
        <v>448</v>
      </c>
      <c r="I75" s="441" t="s">
        <v>165</v>
      </c>
      <c r="J75" s="441" t="s">
        <v>165</v>
      </c>
      <c r="K75" s="441" t="s">
        <v>165</v>
      </c>
      <c r="L75" s="441" t="s">
        <v>165</v>
      </c>
      <c r="M75" s="291"/>
      <c r="N75" s="220"/>
      <c r="V75" s="402" t="s">
        <v>395</v>
      </c>
      <c r="Z75" s="208" t="s">
        <v>1491</v>
      </c>
    </row>
    <row r="76" spans="1:26" s="208" customFormat="1" ht="24" customHeight="1" x14ac:dyDescent="0.25">
      <c r="A76" s="291">
        <v>70</v>
      </c>
      <c r="B76" s="339"/>
      <c r="C76" s="340"/>
      <c r="D76" s="293" t="s">
        <v>524</v>
      </c>
      <c r="E76" s="360">
        <f t="shared" si="1"/>
        <v>12</v>
      </c>
      <c r="F76" s="298" t="s">
        <v>762</v>
      </c>
      <c r="G76" s="298" t="s">
        <v>762</v>
      </c>
      <c r="H76" s="298" t="s">
        <v>762</v>
      </c>
      <c r="I76" s="298" t="s">
        <v>762</v>
      </c>
      <c r="J76" s="298" t="s">
        <v>762</v>
      </c>
      <c r="K76" s="298" t="s">
        <v>762</v>
      </c>
      <c r="L76" s="298" t="s">
        <v>762</v>
      </c>
      <c r="M76" s="291"/>
      <c r="V76" s="402" t="s">
        <v>396</v>
      </c>
      <c r="Z76" s="208" t="s">
        <v>1491</v>
      </c>
    </row>
    <row r="77" spans="1:26" s="208" customFormat="1" ht="24" customHeight="1" x14ac:dyDescent="0.25">
      <c r="A77" s="291">
        <v>71</v>
      </c>
      <c r="B77" s="313"/>
      <c r="C77" s="337" t="s">
        <v>628</v>
      </c>
      <c r="D77" s="309" t="s">
        <v>1049</v>
      </c>
      <c r="E77" s="360">
        <f t="shared" si="1"/>
        <v>16</v>
      </c>
      <c r="F77" s="441" t="s">
        <v>165</v>
      </c>
      <c r="G77" s="298" t="s">
        <v>448</v>
      </c>
      <c r="H77" s="441" t="s">
        <v>165</v>
      </c>
      <c r="I77" s="298" t="s">
        <v>448</v>
      </c>
      <c r="J77" s="298" t="s">
        <v>448</v>
      </c>
      <c r="K77" s="298" t="s">
        <v>448</v>
      </c>
      <c r="L77" s="298" t="s">
        <v>448</v>
      </c>
      <c r="M77" s="363"/>
      <c r="N77" s="220"/>
      <c r="V77" s="402" t="s">
        <v>397</v>
      </c>
      <c r="Z77" s="208" t="s">
        <v>1491</v>
      </c>
    </row>
    <row r="78" spans="1:26" s="208" customFormat="1" ht="24" customHeight="1" x14ac:dyDescent="0.25">
      <c r="A78" s="291">
        <v>72</v>
      </c>
      <c r="B78" s="313"/>
      <c r="C78" s="338"/>
      <c r="D78" s="293" t="s">
        <v>1050</v>
      </c>
      <c r="E78" s="360">
        <f t="shared" si="1"/>
        <v>18</v>
      </c>
      <c r="F78" s="298" t="s">
        <v>664</v>
      </c>
      <c r="G78" s="298" t="s">
        <v>448</v>
      </c>
      <c r="H78" s="298" t="s">
        <v>448</v>
      </c>
      <c r="I78" s="298" t="s">
        <v>448</v>
      </c>
      <c r="J78" s="298" t="s">
        <v>448</v>
      </c>
      <c r="K78" s="298" t="s">
        <v>448</v>
      </c>
      <c r="L78" s="298" t="s">
        <v>448</v>
      </c>
      <c r="M78" s="291"/>
      <c r="N78" s="220"/>
      <c r="V78" s="402" t="s">
        <v>398</v>
      </c>
      <c r="Z78" s="208" t="s">
        <v>1494</v>
      </c>
    </row>
    <row r="79" spans="1:26" s="208" customFormat="1" ht="24" customHeight="1" x14ac:dyDescent="0.25">
      <c r="A79" s="291">
        <v>73</v>
      </c>
      <c r="B79" s="313"/>
      <c r="C79" s="338"/>
      <c r="D79" s="293" t="s">
        <v>1051</v>
      </c>
      <c r="E79" s="360">
        <f t="shared" si="1"/>
        <v>21</v>
      </c>
      <c r="F79" s="298" t="s">
        <v>664</v>
      </c>
      <c r="G79" s="441" t="s">
        <v>165</v>
      </c>
      <c r="H79" s="298" t="s">
        <v>448</v>
      </c>
      <c r="I79" s="441" t="s">
        <v>165</v>
      </c>
      <c r="J79" s="441" t="s">
        <v>165</v>
      </c>
      <c r="K79" s="441" t="s">
        <v>165</v>
      </c>
      <c r="L79" s="441" t="s">
        <v>165</v>
      </c>
      <c r="M79" s="291"/>
      <c r="N79" s="220"/>
      <c r="V79" s="402" t="s">
        <v>399</v>
      </c>
      <c r="Z79" s="208" t="s">
        <v>1491</v>
      </c>
    </row>
    <row r="80" spans="1:26" s="208" customFormat="1" ht="24" customHeight="1" x14ac:dyDescent="0.25">
      <c r="A80" s="291">
        <v>74</v>
      </c>
      <c r="B80" s="313"/>
      <c r="C80" s="338"/>
      <c r="D80" s="293" t="s">
        <v>885</v>
      </c>
      <c r="E80" s="360">
        <f t="shared" si="1"/>
        <v>23</v>
      </c>
      <c r="F80" s="298" t="s">
        <v>664</v>
      </c>
      <c r="G80" s="298" t="s">
        <v>448</v>
      </c>
      <c r="H80" s="298" t="s">
        <v>448</v>
      </c>
      <c r="I80" s="298" t="s">
        <v>448</v>
      </c>
      <c r="J80" s="298" t="s">
        <v>448</v>
      </c>
      <c r="K80" s="298" t="s">
        <v>448</v>
      </c>
      <c r="L80" s="298" t="s">
        <v>448</v>
      </c>
      <c r="M80" s="291"/>
      <c r="N80" s="220"/>
      <c r="V80" s="402" t="s">
        <v>400</v>
      </c>
      <c r="Z80" s="208" t="s">
        <v>1491</v>
      </c>
    </row>
    <row r="81" spans="1:26" s="208" customFormat="1" ht="24" customHeight="1" x14ac:dyDescent="0.25">
      <c r="A81" s="291">
        <v>75</v>
      </c>
      <c r="B81" s="313"/>
      <c r="C81" s="338"/>
      <c r="D81" s="293" t="s">
        <v>886</v>
      </c>
      <c r="E81" s="360">
        <f t="shared" si="1"/>
        <v>23</v>
      </c>
      <c r="F81" s="298" t="s">
        <v>664</v>
      </c>
      <c r="G81" s="298" t="s">
        <v>448</v>
      </c>
      <c r="H81" s="298" t="s">
        <v>448</v>
      </c>
      <c r="I81" s="298" t="s">
        <v>448</v>
      </c>
      <c r="J81" s="298" t="s">
        <v>448</v>
      </c>
      <c r="K81" s="298" t="s">
        <v>448</v>
      </c>
      <c r="L81" s="298" t="s">
        <v>448</v>
      </c>
      <c r="M81" s="291"/>
      <c r="V81" s="402" t="s">
        <v>401</v>
      </c>
      <c r="Z81" s="208" t="s">
        <v>1491</v>
      </c>
    </row>
    <row r="82" spans="1:26" s="208" customFormat="1" ht="24" customHeight="1" x14ac:dyDescent="0.25">
      <c r="A82" s="291">
        <v>76</v>
      </c>
      <c r="B82" s="313"/>
      <c r="C82" s="338"/>
      <c r="D82" s="293" t="s">
        <v>887</v>
      </c>
      <c r="E82" s="360">
        <f t="shared" si="1"/>
        <v>24</v>
      </c>
      <c r="F82" s="298" t="s">
        <v>664</v>
      </c>
      <c r="G82" s="298" t="s">
        <v>448</v>
      </c>
      <c r="H82" s="298" t="s">
        <v>448</v>
      </c>
      <c r="I82" s="298" t="s">
        <v>448</v>
      </c>
      <c r="J82" s="298" t="s">
        <v>448</v>
      </c>
      <c r="K82" s="298" t="s">
        <v>448</v>
      </c>
      <c r="L82" s="298" t="s">
        <v>448</v>
      </c>
      <c r="M82" s="291"/>
      <c r="V82" s="402" t="s">
        <v>402</v>
      </c>
      <c r="Z82" s="208" t="s">
        <v>1491</v>
      </c>
    </row>
    <row r="83" spans="1:26" s="208" customFormat="1" ht="24" customHeight="1" x14ac:dyDescent="0.25">
      <c r="A83" s="291">
        <v>77</v>
      </c>
      <c r="B83" s="313"/>
      <c r="C83" s="338"/>
      <c r="D83" s="293" t="s">
        <v>888</v>
      </c>
      <c r="E83" s="360">
        <f t="shared" si="1"/>
        <v>22</v>
      </c>
      <c r="F83" s="298" t="s">
        <v>664</v>
      </c>
      <c r="G83" s="298" t="s">
        <v>448</v>
      </c>
      <c r="H83" s="298" t="s">
        <v>448</v>
      </c>
      <c r="I83" s="298" t="s">
        <v>448</v>
      </c>
      <c r="J83" s="298" t="s">
        <v>448</v>
      </c>
      <c r="K83" s="298" t="s">
        <v>448</v>
      </c>
      <c r="L83" s="298" t="s">
        <v>448</v>
      </c>
      <c r="M83" s="291"/>
      <c r="N83" s="220"/>
      <c r="V83" s="402" t="s">
        <v>403</v>
      </c>
      <c r="Z83" s="208" t="s">
        <v>1491</v>
      </c>
    </row>
    <row r="84" spans="1:26" s="208" customFormat="1" ht="24" customHeight="1" x14ac:dyDescent="0.25">
      <c r="A84" s="291">
        <v>78</v>
      </c>
      <c r="B84" s="339"/>
      <c r="C84" s="317"/>
      <c r="D84" s="293" t="s">
        <v>524</v>
      </c>
      <c r="E84" s="360">
        <f t="shared" si="1"/>
        <v>12</v>
      </c>
      <c r="F84" s="298" t="s">
        <v>762</v>
      </c>
      <c r="G84" s="298" t="s">
        <v>762</v>
      </c>
      <c r="H84" s="298" t="s">
        <v>762</v>
      </c>
      <c r="I84" s="298" t="s">
        <v>762</v>
      </c>
      <c r="J84" s="298" t="s">
        <v>762</v>
      </c>
      <c r="K84" s="298" t="s">
        <v>762</v>
      </c>
      <c r="L84" s="298" t="s">
        <v>762</v>
      </c>
      <c r="M84" s="291"/>
      <c r="N84" s="220"/>
      <c r="V84" s="402" t="s">
        <v>404</v>
      </c>
      <c r="Z84" s="208" t="s">
        <v>1491</v>
      </c>
    </row>
    <row r="85" spans="1:26" s="208" customFormat="1" ht="24" customHeight="1" x14ac:dyDescent="0.25">
      <c r="A85" s="291">
        <v>79</v>
      </c>
      <c r="B85" s="313"/>
      <c r="C85" s="337" t="s">
        <v>608</v>
      </c>
      <c r="D85" s="309" t="s">
        <v>529</v>
      </c>
      <c r="E85" s="360">
        <f t="shared" si="1"/>
        <v>7</v>
      </c>
      <c r="F85" s="441" t="s">
        <v>165</v>
      </c>
      <c r="G85" s="441" t="s">
        <v>165</v>
      </c>
      <c r="H85" s="441" t="s">
        <v>165</v>
      </c>
      <c r="I85" s="441" t="s">
        <v>165</v>
      </c>
      <c r="J85" s="441" t="s">
        <v>165</v>
      </c>
      <c r="K85" s="441" t="s">
        <v>165</v>
      </c>
      <c r="L85" s="441" t="s">
        <v>165</v>
      </c>
      <c r="M85" s="291"/>
      <c r="N85" s="220"/>
      <c r="V85" s="402" t="s">
        <v>405</v>
      </c>
      <c r="Z85" s="208" t="s">
        <v>1491</v>
      </c>
    </row>
    <row r="86" spans="1:26" s="208" customFormat="1" ht="24" customHeight="1" x14ac:dyDescent="0.25">
      <c r="A86" s="291">
        <v>80</v>
      </c>
      <c r="B86" s="313"/>
      <c r="C86" s="338"/>
      <c r="D86" s="293" t="s">
        <v>793</v>
      </c>
      <c r="E86" s="360">
        <f t="shared" si="1"/>
        <v>5</v>
      </c>
      <c r="F86" s="298" t="s">
        <v>664</v>
      </c>
      <c r="G86" s="298" t="s">
        <v>448</v>
      </c>
      <c r="H86" s="298" t="s">
        <v>448</v>
      </c>
      <c r="I86" s="298" t="s">
        <v>448</v>
      </c>
      <c r="J86" s="298" t="s">
        <v>448</v>
      </c>
      <c r="K86" s="298" t="s">
        <v>448</v>
      </c>
      <c r="L86" s="298" t="s">
        <v>448</v>
      </c>
      <c r="M86" s="291"/>
      <c r="N86" s="220"/>
      <c r="V86" s="402" t="s">
        <v>406</v>
      </c>
      <c r="Z86" s="208" t="s">
        <v>1491</v>
      </c>
    </row>
    <row r="87" spans="1:26" s="208" customFormat="1" ht="24" customHeight="1" x14ac:dyDescent="0.25">
      <c r="A87" s="291">
        <v>81</v>
      </c>
      <c r="B87" s="339"/>
      <c r="C87" s="317"/>
      <c r="D87" s="293" t="s">
        <v>524</v>
      </c>
      <c r="E87" s="360">
        <f t="shared" si="1"/>
        <v>12</v>
      </c>
      <c r="F87" s="298" t="s">
        <v>762</v>
      </c>
      <c r="G87" s="298" t="s">
        <v>762</v>
      </c>
      <c r="H87" s="298" t="s">
        <v>762</v>
      </c>
      <c r="I87" s="298" t="s">
        <v>762</v>
      </c>
      <c r="J87" s="298" t="s">
        <v>762</v>
      </c>
      <c r="K87" s="298" t="s">
        <v>762</v>
      </c>
      <c r="L87" s="298" t="s">
        <v>762</v>
      </c>
      <c r="M87" s="291"/>
      <c r="V87" s="402" t="s">
        <v>407</v>
      </c>
      <c r="Z87" s="208" t="s">
        <v>1494</v>
      </c>
    </row>
    <row r="88" spans="1:26" s="208" customFormat="1" ht="24" customHeight="1" x14ac:dyDescent="0.25">
      <c r="A88" s="291">
        <v>82</v>
      </c>
      <c r="B88" s="341" t="s">
        <v>889</v>
      </c>
      <c r="C88" s="342" t="s">
        <v>609</v>
      </c>
      <c r="D88" s="310" t="s">
        <v>792</v>
      </c>
      <c r="E88" s="360">
        <f t="shared" si="1"/>
        <v>3</v>
      </c>
      <c r="F88" s="441" t="s">
        <v>165</v>
      </c>
      <c r="G88" s="441" t="s">
        <v>165</v>
      </c>
      <c r="H88" s="441" t="s">
        <v>165</v>
      </c>
      <c r="I88" s="441" t="s">
        <v>165</v>
      </c>
      <c r="J88" s="441" t="s">
        <v>165</v>
      </c>
      <c r="K88" s="441" t="s">
        <v>165</v>
      </c>
      <c r="L88" s="441" t="s">
        <v>165</v>
      </c>
      <c r="M88" s="291"/>
      <c r="V88" s="402" t="s">
        <v>408</v>
      </c>
      <c r="Z88" s="208" t="s">
        <v>1494</v>
      </c>
    </row>
    <row r="89" spans="1:26" s="208" customFormat="1" ht="24" customHeight="1" x14ac:dyDescent="0.25">
      <c r="A89" s="291">
        <v>83</v>
      </c>
      <c r="B89" s="343"/>
      <c r="C89" s="344"/>
      <c r="D89" s="293" t="s">
        <v>1088</v>
      </c>
      <c r="E89" s="360">
        <f t="shared" si="1"/>
        <v>7</v>
      </c>
      <c r="F89" s="298" t="s">
        <v>664</v>
      </c>
      <c r="G89" s="298" t="s">
        <v>448</v>
      </c>
      <c r="H89" s="298" t="s">
        <v>448</v>
      </c>
      <c r="I89" s="298" t="s">
        <v>448</v>
      </c>
      <c r="J89" s="298" t="s">
        <v>448</v>
      </c>
      <c r="K89" s="298" t="s">
        <v>448</v>
      </c>
      <c r="L89" s="298" t="s">
        <v>448</v>
      </c>
      <c r="M89" s="291"/>
      <c r="V89" s="402"/>
      <c r="Z89" s="208" t="s">
        <v>1520</v>
      </c>
    </row>
    <row r="90" spans="1:26" s="208" customFormat="1" ht="24" customHeight="1" x14ac:dyDescent="0.25">
      <c r="A90" s="291">
        <v>84</v>
      </c>
      <c r="B90" s="343"/>
      <c r="C90" s="344"/>
      <c r="D90" s="293" t="s">
        <v>890</v>
      </c>
      <c r="E90" s="360">
        <f t="shared" si="1"/>
        <v>7</v>
      </c>
      <c r="F90" s="298" t="s">
        <v>664</v>
      </c>
      <c r="G90" s="298" t="s">
        <v>448</v>
      </c>
      <c r="H90" s="298" t="s">
        <v>448</v>
      </c>
      <c r="I90" s="298" t="s">
        <v>448</v>
      </c>
      <c r="J90" s="298" t="s">
        <v>448</v>
      </c>
      <c r="K90" s="298" t="s">
        <v>448</v>
      </c>
      <c r="L90" s="298" t="s">
        <v>448</v>
      </c>
      <c r="M90" s="291"/>
      <c r="V90" s="402" t="s">
        <v>409</v>
      </c>
      <c r="Z90" s="208" t="s">
        <v>1521</v>
      </c>
    </row>
    <row r="91" spans="1:26" s="208" customFormat="1" ht="24" customHeight="1" x14ac:dyDescent="0.25">
      <c r="A91" s="291">
        <v>85</v>
      </c>
      <c r="B91" s="343"/>
      <c r="C91" s="344"/>
      <c r="D91" s="293" t="s">
        <v>530</v>
      </c>
      <c r="E91" s="360">
        <f t="shared" si="1"/>
        <v>8</v>
      </c>
      <c r="F91" s="298" t="s">
        <v>664</v>
      </c>
      <c r="G91" s="298" t="s">
        <v>448</v>
      </c>
      <c r="H91" s="298" t="s">
        <v>448</v>
      </c>
      <c r="I91" s="298" t="s">
        <v>448</v>
      </c>
      <c r="J91" s="298" t="s">
        <v>448</v>
      </c>
      <c r="K91" s="298" t="s">
        <v>448</v>
      </c>
      <c r="L91" s="298" t="s">
        <v>448</v>
      </c>
      <c r="M91" s="291"/>
      <c r="V91" s="402" t="s">
        <v>410</v>
      </c>
      <c r="Z91" s="208" t="s">
        <v>1494</v>
      </c>
    </row>
    <row r="92" spans="1:26" s="208" customFormat="1" ht="24" customHeight="1" x14ac:dyDescent="0.25">
      <c r="A92" s="291">
        <v>86</v>
      </c>
      <c r="B92" s="345"/>
      <c r="C92" s="314"/>
      <c r="D92" s="293" t="s">
        <v>524</v>
      </c>
      <c r="E92" s="360">
        <f t="shared" si="1"/>
        <v>12</v>
      </c>
      <c r="F92" s="298" t="s">
        <v>762</v>
      </c>
      <c r="G92" s="298" t="s">
        <v>762</v>
      </c>
      <c r="H92" s="298" t="s">
        <v>762</v>
      </c>
      <c r="I92" s="298" t="s">
        <v>762</v>
      </c>
      <c r="J92" s="298" t="s">
        <v>762</v>
      </c>
      <c r="K92" s="298" t="s">
        <v>762</v>
      </c>
      <c r="L92" s="298" t="s">
        <v>762</v>
      </c>
      <c r="M92" s="291"/>
      <c r="V92" s="402" t="s">
        <v>411</v>
      </c>
      <c r="Z92" s="208" t="s">
        <v>1494</v>
      </c>
    </row>
    <row r="93" spans="1:26" s="208" customFormat="1" ht="24" customHeight="1" x14ac:dyDescent="0.25">
      <c r="A93" s="291">
        <v>87</v>
      </c>
      <c r="B93" s="343"/>
      <c r="C93" s="342" t="s">
        <v>610</v>
      </c>
      <c r="D93" s="310" t="s">
        <v>792</v>
      </c>
      <c r="E93" s="360">
        <f t="shared" si="1"/>
        <v>3</v>
      </c>
      <c r="F93" s="441" t="s">
        <v>165</v>
      </c>
      <c r="G93" s="441" t="s">
        <v>165</v>
      </c>
      <c r="H93" s="441" t="s">
        <v>165</v>
      </c>
      <c r="I93" s="441" t="s">
        <v>165</v>
      </c>
      <c r="J93" s="441" t="s">
        <v>165</v>
      </c>
      <c r="K93" s="441" t="s">
        <v>165</v>
      </c>
      <c r="L93" s="441" t="s">
        <v>165</v>
      </c>
      <c r="M93" s="291"/>
      <c r="V93" s="402" t="s">
        <v>412</v>
      </c>
      <c r="Z93" s="208" t="s">
        <v>1494</v>
      </c>
    </row>
    <row r="94" spans="1:26" s="208" customFormat="1" ht="24" customHeight="1" x14ac:dyDescent="0.25">
      <c r="A94" s="291">
        <v>88</v>
      </c>
      <c r="B94" s="343"/>
      <c r="C94" s="344"/>
      <c r="D94" s="293" t="s">
        <v>531</v>
      </c>
      <c r="E94" s="360">
        <f t="shared" si="1"/>
        <v>7</v>
      </c>
      <c r="F94" s="298" t="s">
        <v>664</v>
      </c>
      <c r="G94" s="298" t="s">
        <v>448</v>
      </c>
      <c r="H94" s="298" t="s">
        <v>448</v>
      </c>
      <c r="I94" s="298" t="s">
        <v>448</v>
      </c>
      <c r="J94" s="298" t="s">
        <v>448</v>
      </c>
      <c r="K94" s="298" t="s">
        <v>448</v>
      </c>
      <c r="L94" s="298" t="s">
        <v>448</v>
      </c>
      <c r="M94" s="291"/>
      <c r="V94" s="402" t="s">
        <v>413</v>
      </c>
      <c r="Z94" s="208" t="s">
        <v>1494</v>
      </c>
    </row>
    <row r="95" spans="1:26" s="208" customFormat="1" ht="24" customHeight="1" x14ac:dyDescent="0.25">
      <c r="A95" s="291">
        <v>89</v>
      </c>
      <c r="B95" s="343"/>
      <c r="C95" s="344"/>
      <c r="D95" s="293" t="s">
        <v>532</v>
      </c>
      <c r="E95" s="360">
        <f t="shared" si="1"/>
        <v>8</v>
      </c>
      <c r="F95" s="298" t="s">
        <v>664</v>
      </c>
      <c r="G95" s="298" t="s">
        <v>448</v>
      </c>
      <c r="H95" s="298" t="s">
        <v>448</v>
      </c>
      <c r="I95" s="298" t="s">
        <v>448</v>
      </c>
      <c r="J95" s="298" t="s">
        <v>448</v>
      </c>
      <c r="K95" s="298" t="s">
        <v>448</v>
      </c>
      <c r="L95" s="298" t="s">
        <v>448</v>
      </c>
      <c r="M95" s="291"/>
      <c r="V95" s="402" t="s">
        <v>414</v>
      </c>
      <c r="Z95" s="208" t="s">
        <v>1494</v>
      </c>
    </row>
    <row r="96" spans="1:26" s="208" customFormat="1" ht="24" customHeight="1" x14ac:dyDescent="0.25">
      <c r="A96" s="291">
        <v>90</v>
      </c>
      <c r="B96" s="345"/>
      <c r="C96" s="314"/>
      <c r="D96" s="293" t="s">
        <v>524</v>
      </c>
      <c r="E96" s="360">
        <f t="shared" si="1"/>
        <v>12</v>
      </c>
      <c r="F96" s="298" t="s">
        <v>762</v>
      </c>
      <c r="G96" s="298" t="s">
        <v>762</v>
      </c>
      <c r="H96" s="298" t="s">
        <v>762</v>
      </c>
      <c r="I96" s="298" t="s">
        <v>762</v>
      </c>
      <c r="J96" s="298" t="s">
        <v>762</v>
      </c>
      <c r="K96" s="298" t="s">
        <v>762</v>
      </c>
      <c r="L96" s="298" t="s">
        <v>762</v>
      </c>
      <c r="M96" s="291"/>
      <c r="V96" s="402" t="s">
        <v>415</v>
      </c>
      <c r="Z96" s="208" t="s">
        <v>1494</v>
      </c>
    </row>
    <row r="97" spans="1:26" s="208" customFormat="1" ht="24" customHeight="1" x14ac:dyDescent="0.25">
      <c r="A97" s="291">
        <v>91</v>
      </c>
      <c r="B97" s="343"/>
      <c r="C97" s="342" t="s">
        <v>958</v>
      </c>
      <c r="D97" s="310" t="s">
        <v>792</v>
      </c>
      <c r="E97" s="360">
        <f t="shared" si="1"/>
        <v>3</v>
      </c>
      <c r="F97" s="441" t="s">
        <v>165</v>
      </c>
      <c r="G97" s="441" t="s">
        <v>165</v>
      </c>
      <c r="H97" s="441" t="s">
        <v>165</v>
      </c>
      <c r="I97" s="441" t="s">
        <v>165</v>
      </c>
      <c r="J97" s="441" t="s">
        <v>165</v>
      </c>
      <c r="K97" s="441" t="s">
        <v>165</v>
      </c>
      <c r="L97" s="441" t="s">
        <v>165</v>
      </c>
      <c r="M97" s="291"/>
      <c r="V97" s="402" t="s">
        <v>416</v>
      </c>
      <c r="Z97" s="208" t="s">
        <v>1494</v>
      </c>
    </row>
    <row r="98" spans="1:26" s="208" customFormat="1" ht="24" customHeight="1" x14ac:dyDescent="0.25">
      <c r="A98" s="291">
        <v>92</v>
      </c>
      <c r="B98" s="343"/>
      <c r="C98" s="344"/>
      <c r="D98" s="293" t="s">
        <v>794</v>
      </c>
      <c r="E98" s="360">
        <f t="shared" si="1"/>
        <v>2</v>
      </c>
      <c r="F98" s="298" t="s">
        <v>664</v>
      </c>
      <c r="G98" s="298" t="s">
        <v>448</v>
      </c>
      <c r="H98" s="298" t="s">
        <v>448</v>
      </c>
      <c r="I98" s="298" t="s">
        <v>448</v>
      </c>
      <c r="J98" s="298" t="s">
        <v>448</v>
      </c>
      <c r="K98" s="298" t="s">
        <v>448</v>
      </c>
      <c r="L98" s="298" t="s">
        <v>448</v>
      </c>
      <c r="M98" s="291"/>
      <c r="N98" s="220"/>
      <c r="V98" s="402" t="s">
        <v>417</v>
      </c>
      <c r="Z98" s="208" t="s">
        <v>1494</v>
      </c>
    </row>
    <row r="99" spans="1:26" s="208" customFormat="1" ht="24" customHeight="1" x14ac:dyDescent="0.25">
      <c r="A99" s="291">
        <v>93</v>
      </c>
      <c r="B99" s="345"/>
      <c r="C99" s="314"/>
      <c r="D99" s="293" t="s">
        <v>524</v>
      </c>
      <c r="E99" s="360">
        <f t="shared" si="1"/>
        <v>12</v>
      </c>
      <c r="F99" s="298" t="s">
        <v>762</v>
      </c>
      <c r="G99" s="298" t="s">
        <v>762</v>
      </c>
      <c r="H99" s="298" t="s">
        <v>762</v>
      </c>
      <c r="I99" s="298" t="s">
        <v>762</v>
      </c>
      <c r="J99" s="298" t="s">
        <v>762</v>
      </c>
      <c r="K99" s="298" t="s">
        <v>762</v>
      </c>
      <c r="L99" s="298" t="s">
        <v>762</v>
      </c>
      <c r="M99" s="291"/>
      <c r="V99" s="402" t="s">
        <v>418</v>
      </c>
      <c r="Z99" s="208" t="s">
        <v>1522</v>
      </c>
    </row>
    <row r="100" spans="1:26" s="208" customFormat="1" ht="24" customHeight="1" x14ac:dyDescent="0.25">
      <c r="A100" s="291">
        <v>94</v>
      </c>
      <c r="B100" s="343"/>
      <c r="C100" s="342" t="s">
        <v>959</v>
      </c>
      <c r="D100" s="310" t="s">
        <v>792</v>
      </c>
      <c r="E100" s="360">
        <f t="shared" si="1"/>
        <v>3</v>
      </c>
      <c r="F100" s="441" t="s">
        <v>165</v>
      </c>
      <c r="G100" s="441" t="s">
        <v>165</v>
      </c>
      <c r="H100" s="441" t="s">
        <v>165</v>
      </c>
      <c r="I100" s="441" t="s">
        <v>165</v>
      </c>
      <c r="J100" s="441" t="s">
        <v>165</v>
      </c>
      <c r="K100" s="441" t="s">
        <v>165</v>
      </c>
      <c r="L100" s="441" t="s">
        <v>165</v>
      </c>
      <c r="M100" s="291"/>
      <c r="V100" s="402" t="s">
        <v>419</v>
      </c>
      <c r="Z100" s="208" t="s">
        <v>1494</v>
      </c>
    </row>
    <row r="101" spans="1:26" s="208" customFormat="1" ht="24" customHeight="1" x14ac:dyDescent="0.25">
      <c r="A101" s="291">
        <v>95</v>
      </c>
      <c r="B101" s="343"/>
      <c r="C101" s="344"/>
      <c r="D101" s="293" t="s">
        <v>794</v>
      </c>
      <c r="E101" s="360">
        <f t="shared" si="1"/>
        <v>2</v>
      </c>
      <c r="F101" s="298" t="s">
        <v>664</v>
      </c>
      <c r="G101" s="298" t="s">
        <v>448</v>
      </c>
      <c r="H101" s="298" t="s">
        <v>448</v>
      </c>
      <c r="I101" s="298" t="s">
        <v>448</v>
      </c>
      <c r="J101" s="298" t="s">
        <v>448</v>
      </c>
      <c r="K101" s="298" t="s">
        <v>448</v>
      </c>
      <c r="L101" s="298" t="s">
        <v>448</v>
      </c>
      <c r="M101" s="291"/>
      <c r="V101" s="402"/>
      <c r="Z101" s="208" t="s">
        <v>1494</v>
      </c>
    </row>
    <row r="102" spans="1:26" s="208" customFormat="1" ht="24" customHeight="1" x14ac:dyDescent="0.25">
      <c r="A102" s="291">
        <v>96</v>
      </c>
      <c r="B102" s="345"/>
      <c r="C102" s="314"/>
      <c r="D102" s="293" t="s">
        <v>524</v>
      </c>
      <c r="E102" s="360">
        <f t="shared" si="1"/>
        <v>12</v>
      </c>
      <c r="F102" s="298" t="s">
        <v>762</v>
      </c>
      <c r="G102" s="298" t="s">
        <v>762</v>
      </c>
      <c r="H102" s="298" t="s">
        <v>762</v>
      </c>
      <c r="I102" s="298" t="s">
        <v>762</v>
      </c>
      <c r="J102" s="298" t="s">
        <v>762</v>
      </c>
      <c r="K102" s="298" t="s">
        <v>762</v>
      </c>
      <c r="L102" s="298" t="s">
        <v>762</v>
      </c>
      <c r="M102" s="291"/>
      <c r="V102" s="402" t="s">
        <v>420</v>
      </c>
      <c r="Z102" s="208" t="s">
        <v>1494</v>
      </c>
    </row>
    <row r="103" spans="1:26" s="208" customFormat="1" ht="24" customHeight="1" x14ac:dyDescent="0.25">
      <c r="A103" s="291">
        <v>97</v>
      </c>
      <c r="B103" s="343"/>
      <c r="C103" s="342" t="s">
        <v>960</v>
      </c>
      <c r="D103" s="310" t="s">
        <v>891</v>
      </c>
      <c r="E103" s="360">
        <f t="shared" si="1"/>
        <v>4</v>
      </c>
      <c r="F103" s="441" t="s">
        <v>165</v>
      </c>
      <c r="G103" s="298" t="s">
        <v>448</v>
      </c>
      <c r="H103" s="441" t="s">
        <v>165</v>
      </c>
      <c r="I103" s="499" t="s">
        <v>663</v>
      </c>
      <c r="J103" s="499" t="s">
        <v>663</v>
      </c>
      <c r="K103" s="499" t="s">
        <v>663</v>
      </c>
      <c r="L103" s="499" t="s">
        <v>663</v>
      </c>
      <c r="M103" s="291"/>
      <c r="V103" s="402" t="s">
        <v>421</v>
      </c>
      <c r="Z103" s="208" t="s">
        <v>1494</v>
      </c>
    </row>
    <row r="104" spans="1:26" s="208" customFormat="1" ht="24" customHeight="1" x14ac:dyDescent="0.25">
      <c r="A104" s="291">
        <v>98</v>
      </c>
      <c r="B104" s="343"/>
      <c r="C104" s="346"/>
      <c r="D104" s="293" t="s">
        <v>793</v>
      </c>
      <c r="E104" s="360">
        <f t="shared" si="1"/>
        <v>5</v>
      </c>
      <c r="F104" s="298" t="s">
        <v>664</v>
      </c>
      <c r="G104" s="298" t="s">
        <v>448</v>
      </c>
      <c r="H104" s="298" t="s">
        <v>448</v>
      </c>
      <c r="I104" s="441" t="s">
        <v>165</v>
      </c>
      <c r="J104" s="441" t="s">
        <v>165</v>
      </c>
      <c r="K104" s="441" t="s">
        <v>165</v>
      </c>
      <c r="L104" s="441" t="s">
        <v>165</v>
      </c>
      <c r="M104" s="291"/>
      <c r="V104" s="402" t="s">
        <v>444</v>
      </c>
      <c r="Z104" s="220" t="s">
        <v>1494</v>
      </c>
    </row>
    <row r="105" spans="1:26" s="208" customFormat="1" ht="24" customHeight="1" x14ac:dyDescent="0.25">
      <c r="A105" s="291">
        <v>99</v>
      </c>
      <c r="B105" s="343"/>
      <c r="C105" s="346"/>
      <c r="D105" s="293" t="s">
        <v>988</v>
      </c>
      <c r="E105" s="360">
        <f t="shared" si="1"/>
        <v>33</v>
      </c>
      <c r="F105" s="298" t="s">
        <v>664</v>
      </c>
      <c r="G105" s="441" t="s">
        <v>165</v>
      </c>
      <c r="H105" s="499" t="s">
        <v>663</v>
      </c>
      <c r="I105" s="499" t="s">
        <v>663</v>
      </c>
      <c r="J105" s="499" t="s">
        <v>663</v>
      </c>
      <c r="K105" s="499" t="s">
        <v>663</v>
      </c>
      <c r="L105" s="499" t="s">
        <v>663</v>
      </c>
      <c r="M105" s="291"/>
      <c r="V105" s="402" t="s">
        <v>422</v>
      </c>
      <c r="Z105" s="220" t="s">
        <v>1494</v>
      </c>
    </row>
    <row r="106" spans="1:26" s="208" customFormat="1" ht="24" customHeight="1" x14ac:dyDescent="0.25">
      <c r="A106" s="291">
        <v>100</v>
      </c>
      <c r="B106" s="343"/>
      <c r="C106" s="346"/>
      <c r="D106" s="293" t="s">
        <v>1052</v>
      </c>
      <c r="E106" s="360">
        <f t="shared" si="1"/>
        <v>14</v>
      </c>
      <c r="F106" s="298" t="s">
        <v>448</v>
      </c>
      <c r="G106" s="298" t="s">
        <v>448</v>
      </c>
      <c r="H106" s="298" t="s">
        <v>448</v>
      </c>
      <c r="I106" s="298" t="s">
        <v>448</v>
      </c>
      <c r="J106" s="298" t="s">
        <v>448</v>
      </c>
      <c r="K106" s="298" t="s">
        <v>448</v>
      </c>
      <c r="L106" s="298" t="s">
        <v>448</v>
      </c>
      <c r="M106" s="291"/>
      <c r="V106" s="402"/>
      <c r="Z106" s="220" t="s">
        <v>1494</v>
      </c>
    </row>
    <row r="107" spans="1:26" s="208" customFormat="1" ht="28.5" customHeight="1" x14ac:dyDescent="0.25">
      <c r="A107" s="291">
        <v>101</v>
      </c>
      <c r="B107" s="345"/>
      <c r="C107" s="314"/>
      <c r="D107" s="293" t="s">
        <v>524</v>
      </c>
      <c r="E107" s="360">
        <f t="shared" si="1"/>
        <v>12</v>
      </c>
      <c r="F107" s="298" t="s">
        <v>762</v>
      </c>
      <c r="G107" s="298" t="s">
        <v>762</v>
      </c>
      <c r="H107" s="298" t="s">
        <v>762</v>
      </c>
      <c r="I107" s="298" t="s">
        <v>762</v>
      </c>
      <c r="J107" s="298" t="s">
        <v>762</v>
      </c>
      <c r="K107" s="298" t="s">
        <v>762</v>
      </c>
      <c r="L107" s="298" t="s">
        <v>762</v>
      </c>
      <c r="M107" s="291"/>
      <c r="V107" s="402" t="s">
        <v>423</v>
      </c>
      <c r="Z107" s="220" t="s">
        <v>1494</v>
      </c>
    </row>
    <row r="108" spans="1:26" s="208" customFormat="1" ht="28.5" customHeight="1" x14ac:dyDescent="0.25">
      <c r="A108" s="291">
        <v>102</v>
      </c>
      <c r="B108" s="343"/>
      <c r="C108" s="342" t="s">
        <v>961</v>
      </c>
      <c r="D108" s="310" t="s">
        <v>792</v>
      </c>
      <c r="E108" s="360">
        <f t="shared" si="1"/>
        <v>3</v>
      </c>
      <c r="F108" s="441" t="s">
        <v>165</v>
      </c>
      <c r="G108" s="499" t="s">
        <v>663</v>
      </c>
      <c r="H108" s="441" t="s">
        <v>165</v>
      </c>
      <c r="I108" s="499" t="s">
        <v>663</v>
      </c>
      <c r="J108" s="499" t="s">
        <v>663</v>
      </c>
      <c r="K108" s="499" t="s">
        <v>663</v>
      </c>
      <c r="L108" s="499" t="s">
        <v>663</v>
      </c>
      <c r="M108" s="291"/>
      <c r="V108" s="402" t="s">
        <v>424</v>
      </c>
      <c r="Z108" s="220" t="s">
        <v>1494</v>
      </c>
    </row>
    <row r="109" spans="1:26" s="208" customFormat="1" ht="28.5" customHeight="1" x14ac:dyDescent="0.25">
      <c r="A109" s="291">
        <v>103</v>
      </c>
      <c r="B109" s="343"/>
      <c r="C109" s="346"/>
      <c r="D109" s="293" t="s">
        <v>794</v>
      </c>
      <c r="E109" s="360">
        <f t="shared" si="1"/>
        <v>2</v>
      </c>
      <c r="F109" s="298" t="s">
        <v>664</v>
      </c>
      <c r="G109" s="441" t="s">
        <v>165</v>
      </c>
      <c r="H109" s="298" t="s">
        <v>448</v>
      </c>
      <c r="I109" s="441" t="s">
        <v>165</v>
      </c>
      <c r="J109" s="441" t="s">
        <v>165</v>
      </c>
      <c r="K109" s="441" t="s">
        <v>165</v>
      </c>
      <c r="L109" s="441" t="s">
        <v>165</v>
      </c>
      <c r="M109" s="291"/>
      <c r="V109" s="402" t="s">
        <v>425</v>
      </c>
      <c r="Z109" s="220" t="s">
        <v>1494</v>
      </c>
    </row>
    <row r="110" spans="1:26" s="208" customFormat="1" ht="28.5" customHeight="1" x14ac:dyDescent="0.25">
      <c r="A110" s="291">
        <v>104</v>
      </c>
      <c r="B110" s="345"/>
      <c r="C110" s="314"/>
      <c r="D110" s="293" t="s">
        <v>524</v>
      </c>
      <c r="E110" s="360">
        <f t="shared" si="1"/>
        <v>12</v>
      </c>
      <c r="F110" s="298" t="s">
        <v>762</v>
      </c>
      <c r="G110" s="298" t="s">
        <v>762</v>
      </c>
      <c r="H110" s="298" t="s">
        <v>762</v>
      </c>
      <c r="I110" s="298" t="s">
        <v>762</v>
      </c>
      <c r="J110" s="298" t="s">
        <v>762</v>
      </c>
      <c r="K110" s="298" t="s">
        <v>762</v>
      </c>
      <c r="L110" s="298" t="s">
        <v>762</v>
      </c>
      <c r="M110" s="291"/>
      <c r="V110" s="402" t="s">
        <v>426</v>
      </c>
      <c r="Z110" s="220" t="s">
        <v>1494</v>
      </c>
    </row>
    <row r="111" spans="1:26" s="208" customFormat="1" ht="28.5" customHeight="1" x14ac:dyDescent="0.25">
      <c r="A111" s="291">
        <v>105</v>
      </c>
      <c r="B111" s="343"/>
      <c r="C111" s="342" t="s">
        <v>14</v>
      </c>
      <c r="D111" s="347" t="s">
        <v>892</v>
      </c>
      <c r="E111" s="360">
        <f t="shared" si="1"/>
        <v>57</v>
      </c>
      <c r="F111" s="441" t="s">
        <v>165</v>
      </c>
      <c r="G111" s="499" t="s">
        <v>663</v>
      </c>
      <c r="H111" s="441" t="s">
        <v>165</v>
      </c>
      <c r="I111" s="499" t="s">
        <v>663</v>
      </c>
      <c r="J111" s="499" t="s">
        <v>663</v>
      </c>
      <c r="K111" s="499" t="s">
        <v>663</v>
      </c>
      <c r="L111" s="499" t="s">
        <v>663</v>
      </c>
      <c r="M111" s="291"/>
      <c r="V111" s="402" t="s">
        <v>427</v>
      </c>
      <c r="Z111" s="220" t="s">
        <v>1494</v>
      </c>
    </row>
    <row r="112" spans="1:26" s="208" customFormat="1" ht="28.5" customHeight="1" x14ac:dyDescent="0.25">
      <c r="A112" s="291">
        <v>106</v>
      </c>
      <c r="B112" s="343"/>
      <c r="C112" s="346"/>
      <c r="D112" s="306" t="s">
        <v>893</v>
      </c>
      <c r="E112" s="360">
        <f t="shared" si="1"/>
        <v>57</v>
      </c>
      <c r="F112" s="298" t="s">
        <v>664</v>
      </c>
      <c r="G112" s="441" t="s">
        <v>165</v>
      </c>
      <c r="H112" s="298" t="s">
        <v>448</v>
      </c>
      <c r="I112" s="441" t="s">
        <v>165</v>
      </c>
      <c r="J112" s="441" t="s">
        <v>165</v>
      </c>
      <c r="K112" s="441" t="s">
        <v>165</v>
      </c>
      <c r="L112" s="441" t="s">
        <v>165</v>
      </c>
      <c r="M112" s="291"/>
      <c r="V112" s="402" t="s">
        <v>428</v>
      </c>
      <c r="Z112" s="220" t="s">
        <v>1494</v>
      </c>
    </row>
    <row r="113" spans="1:26" s="208" customFormat="1" ht="28.5" customHeight="1" x14ac:dyDescent="0.25">
      <c r="A113" s="291">
        <v>107</v>
      </c>
      <c r="B113" s="343"/>
      <c r="C113" s="346"/>
      <c r="D113" s="306" t="s">
        <v>894</v>
      </c>
      <c r="E113" s="360">
        <f t="shared" si="1"/>
        <v>64</v>
      </c>
      <c r="F113" s="298" t="s">
        <v>664</v>
      </c>
      <c r="G113" s="298" t="s">
        <v>448</v>
      </c>
      <c r="H113" s="298" t="s">
        <v>448</v>
      </c>
      <c r="I113" s="298" t="s">
        <v>448</v>
      </c>
      <c r="J113" s="298" t="s">
        <v>448</v>
      </c>
      <c r="K113" s="298" t="s">
        <v>448</v>
      </c>
      <c r="L113" s="298" t="s">
        <v>448</v>
      </c>
      <c r="M113" s="291"/>
      <c r="N113" s="220"/>
      <c r="V113" s="402" t="s">
        <v>429</v>
      </c>
      <c r="Z113" s="220" t="s">
        <v>1494</v>
      </c>
    </row>
    <row r="114" spans="1:26" s="208" customFormat="1" ht="28.5" customHeight="1" x14ac:dyDescent="0.25">
      <c r="A114" s="291">
        <v>108</v>
      </c>
      <c r="B114" s="343"/>
      <c r="C114" s="346"/>
      <c r="D114" s="306" t="s">
        <v>895</v>
      </c>
      <c r="E114" s="360">
        <f t="shared" si="1"/>
        <v>63</v>
      </c>
      <c r="F114" s="298" t="s">
        <v>664</v>
      </c>
      <c r="G114" s="298" t="s">
        <v>448</v>
      </c>
      <c r="H114" s="298" t="s">
        <v>448</v>
      </c>
      <c r="I114" s="499" t="s">
        <v>663</v>
      </c>
      <c r="J114" s="499" t="s">
        <v>663</v>
      </c>
      <c r="K114" s="499" t="s">
        <v>663</v>
      </c>
      <c r="L114" s="499" t="s">
        <v>663</v>
      </c>
      <c r="M114" s="291"/>
      <c r="N114" s="220"/>
      <c r="Z114" s="220" t="s">
        <v>1494</v>
      </c>
    </row>
    <row r="115" spans="1:26" s="208" customFormat="1" ht="28.5" customHeight="1" x14ac:dyDescent="0.25">
      <c r="A115" s="291">
        <v>109</v>
      </c>
      <c r="B115" s="343"/>
      <c r="C115" s="346"/>
      <c r="D115" s="306" t="s">
        <v>896</v>
      </c>
      <c r="E115" s="360">
        <f t="shared" si="1"/>
        <v>65</v>
      </c>
      <c r="F115" s="298" t="s">
        <v>664</v>
      </c>
      <c r="G115" s="298" t="s">
        <v>448</v>
      </c>
      <c r="H115" s="298" t="s">
        <v>448</v>
      </c>
      <c r="I115" s="499" t="s">
        <v>663</v>
      </c>
      <c r="J115" s="499" t="s">
        <v>663</v>
      </c>
      <c r="K115" s="499" t="s">
        <v>663</v>
      </c>
      <c r="L115" s="499" t="s">
        <v>663</v>
      </c>
      <c r="M115" s="291"/>
      <c r="Z115" s="220" t="s">
        <v>1494</v>
      </c>
    </row>
    <row r="116" spans="1:26" s="208" customFormat="1" ht="28.5" customHeight="1" x14ac:dyDescent="0.25">
      <c r="A116" s="291">
        <v>110</v>
      </c>
      <c r="B116" s="343"/>
      <c r="C116" s="346"/>
      <c r="D116" s="306" t="s">
        <v>971</v>
      </c>
      <c r="E116" s="360">
        <f t="shared" si="1"/>
        <v>32</v>
      </c>
      <c r="F116" s="298" t="s">
        <v>664</v>
      </c>
      <c r="G116" s="499" t="s">
        <v>663</v>
      </c>
      <c r="H116" s="298" t="s">
        <v>448</v>
      </c>
      <c r="I116" s="298" t="s">
        <v>448</v>
      </c>
      <c r="J116" s="499" t="s">
        <v>663</v>
      </c>
      <c r="K116" s="298" t="s">
        <v>1079</v>
      </c>
      <c r="L116" s="298" t="s">
        <v>1079</v>
      </c>
      <c r="M116" s="291"/>
      <c r="Z116" s="220" t="s">
        <v>1494</v>
      </c>
    </row>
    <row r="117" spans="1:26" s="208" customFormat="1" ht="28.5" customHeight="1" x14ac:dyDescent="0.25">
      <c r="A117" s="291">
        <v>111</v>
      </c>
      <c r="B117" s="343"/>
      <c r="C117" s="346"/>
      <c r="D117" s="306" t="s">
        <v>792</v>
      </c>
      <c r="E117" s="360">
        <f t="shared" si="1"/>
        <v>3</v>
      </c>
      <c r="F117" s="298" t="s">
        <v>664</v>
      </c>
      <c r="G117" s="499" t="s">
        <v>663</v>
      </c>
      <c r="H117" s="298" t="s">
        <v>448</v>
      </c>
      <c r="I117" s="298" t="s">
        <v>448</v>
      </c>
      <c r="J117" s="499" t="s">
        <v>663</v>
      </c>
      <c r="K117" s="298" t="s">
        <v>1079</v>
      </c>
      <c r="L117" s="298" t="s">
        <v>1079</v>
      </c>
      <c r="M117" s="291"/>
      <c r="Z117" s="220" t="s">
        <v>1494</v>
      </c>
    </row>
    <row r="118" spans="1:26" s="208" customFormat="1" ht="28.5" customHeight="1" x14ac:dyDescent="0.25">
      <c r="A118" s="291">
        <v>112</v>
      </c>
      <c r="B118" s="345"/>
      <c r="C118" s="314"/>
      <c r="D118" s="293" t="s">
        <v>524</v>
      </c>
      <c r="E118" s="360">
        <f t="shared" si="1"/>
        <v>12</v>
      </c>
      <c r="F118" s="298" t="s">
        <v>762</v>
      </c>
      <c r="G118" s="298" t="s">
        <v>762</v>
      </c>
      <c r="H118" s="298" t="s">
        <v>762</v>
      </c>
      <c r="I118" s="298" t="s">
        <v>762</v>
      </c>
      <c r="J118" s="298" t="s">
        <v>762</v>
      </c>
      <c r="K118" s="298" t="s">
        <v>762</v>
      </c>
      <c r="L118" s="298" t="s">
        <v>762</v>
      </c>
      <c r="M118" s="291"/>
      <c r="Z118" s="220" t="s">
        <v>1360</v>
      </c>
    </row>
    <row r="119" spans="1:26" s="208" customFormat="1" ht="28.5" customHeight="1" x14ac:dyDescent="0.25">
      <c r="A119" s="291">
        <v>113</v>
      </c>
      <c r="B119" s="343"/>
      <c r="C119" s="341" t="s">
        <v>15</v>
      </c>
      <c r="D119" s="310" t="s">
        <v>897</v>
      </c>
      <c r="E119" s="444">
        <f>LEN(D119)</f>
        <v>9</v>
      </c>
      <c r="F119" s="441" t="s">
        <v>165</v>
      </c>
      <c r="G119" s="499" t="s">
        <v>663</v>
      </c>
      <c r="H119" s="441" t="s">
        <v>165</v>
      </c>
      <c r="I119" s="499" t="s">
        <v>663</v>
      </c>
      <c r="J119" s="499" t="s">
        <v>663</v>
      </c>
      <c r="K119" s="499" t="s">
        <v>663</v>
      </c>
      <c r="L119" s="499" t="s">
        <v>663</v>
      </c>
      <c r="M119" s="291"/>
      <c r="Z119" s="220" t="s">
        <v>1360</v>
      </c>
    </row>
    <row r="120" spans="1:26" s="208" customFormat="1" ht="28.5" customHeight="1" x14ac:dyDescent="0.25">
      <c r="A120" s="291">
        <v>114</v>
      </c>
      <c r="B120" s="343"/>
      <c r="C120" s="346"/>
      <c r="D120" s="293" t="s">
        <v>898</v>
      </c>
      <c r="E120" s="444">
        <f t="shared" ref="E120:E127" si="2">LEN(D120)</f>
        <v>10</v>
      </c>
      <c r="F120" s="298" t="s">
        <v>664</v>
      </c>
      <c r="G120" s="499" t="s">
        <v>663</v>
      </c>
      <c r="H120" s="298" t="s">
        <v>448</v>
      </c>
      <c r="I120" s="499" t="s">
        <v>663</v>
      </c>
      <c r="J120" s="499" t="s">
        <v>663</v>
      </c>
      <c r="K120" s="499" t="s">
        <v>663</v>
      </c>
      <c r="L120" s="499" t="s">
        <v>663</v>
      </c>
      <c r="M120" s="291"/>
      <c r="Z120" s="220" t="s">
        <v>1360</v>
      </c>
    </row>
    <row r="121" spans="1:26" s="208" customFormat="1" ht="24" customHeight="1" x14ac:dyDescent="0.25">
      <c r="A121" s="291">
        <v>115</v>
      </c>
      <c r="B121" s="343"/>
      <c r="C121" s="346"/>
      <c r="D121" s="293" t="s">
        <v>1053</v>
      </c>
      <c r="E121" s="444">
        <f t="shared" si="2"/>
        <v>47</v>
      </c>
      <c r="F121" s="298" t="s">
        <v>664</v>
      </c>
      <c r="G121" s="499" t="s">
        <v>663</v>
      </c>
      <c r="H121" s="499" t="s">
        <v>663</v>
      </c>
      <c r="I121" s="441" t="s">
        <v>165</v>
      </c>
      <c r="J121" s="441" t="s">
        <v>165</v>
      </c>
      <c r="K121" s="441" t="s">
        <v>165</v>
      </c>
      <c r="L121" s="441" t="s">
        <v>165</v>
      </c>
      <c r="M121" s="291"/>
      <c r="Z121" s="220" t="s">
        <v>1084</v>
      </c>
    </row>
    <row r="122" spans="1:26" s="208" customFormat="1" ht="24" customHeight="1" x14ac:dyDescent="0.25">
      <c r="A122" s="291">
        <v>116</v>
      </c>
      <c r="B122" s="343"/>
      <c r="C122" s="346"/>
      <c r="D122" s="293" t="s">
        <v>1054</v>
      </c>
      <c r="E122" s="444">
        <f t="shared" si="2"/>
        <v>49</v>
      </c>
      <c r="F122" s="298" t="s">
        <v>664</v>
      </c>
      <c r="G122" s="499" t="s">
        <v>663</v>
      </c>
      <c r="H122" s="499" t="s">
        <v>663</v>
      </c>
      <c r="I122" s="298" t="s">
        <v>448</v>
      </c>
      <c r="J122" s="298" t="s">
        <v>448</v>
      </c>
      <c r="K122" s="298" t="s">
        <v>448</v>
      </c>
      <c r="L122" s="298" t="s">
        <v>448</v>
      </c>
      <c r="M122" s="363"/>
      <c r="Z122" s="220" t="s">
        <v>1084</v>
      </c>
    </row>
    <row r="123" spans="1:26" s="208" customFormat="1" ht="24" customHeight="1" x14ac:dyDescent="0.25">
      <c r="A123" s="291">
        <v>117</v>
      </c>
      <c r="B123" s="343"/>
      <c r="C123" s="346"/>
      <c r="D123" s="436" t="s">
        <v>899</v>
      </c>
      <c r="E123" s="444">
        <f t="shared" si="2"/>
        <v>57</v>
      </c>
      <c r="F123" s="499" t="s">
        <v>663</v>
      </c>
      <c r="G123" s="441" t="s">
        <v>165</v>
      </c>
      <c r="H123" s="499" t="s">
        <v>663</v>
      </c>
      <c r="I123" s="499" t="s">
        <v>663</v>
      </c>
      <c r="J123" s="499" t="s">
        <v>663</v>
      </c>
      <c r="K123" s="499" t="s">
        <v>663</v>
      </c>
      <c r="L123" s="499" t="s">
        <v>663</v>
      </c>
      <c r="M123" s="291"/>
      <c r="Z123" s="220" t="s">
        <v>1044</v>
      </c>
    </row>
    <row r="124" spans="1:26" s="208" customFormat="1" ht="24" customHeight="1" x14ac:dyDescent="0.25">
      <c r="A124" s="291">
        <v>118</v>
      </c>
      <c r="B124" s="343"/>
      <c r="C124" s="346"/>
      <c r="D124" s="436" t="s">
        <v>900</v>
      </c>
      <c r="E124" s="444">
        <f t="shared" si="2"/>
        <v>58</v>
      </c>
      <c r="F124" s="499" t="s">
        <v>663</v>
      </c>
      <c r="G124" s="298" t="s">
        <v>448</v>
      </c>
      <c r="H124" s="499" t="s">
        <v>663</v>
      </c>
      <c r="I124" s="499" t="s">
        <v>663</v>
      </c>
      <c r="J124" s="499" t="s">
        <v>663</v>
      </c>
      <c r="K124" s="499" t="s">
        <v>663</v>
      </c>
      <c r="L124" s="499" t="s">
        <v>663</v>
      </c>
      <c r="M124" s="291"/>
      <c r="Z124" s="220" t="s">
        <v>167</v>
      </c>
    </row>
    <row r="125" spans="1:26" s="208" customFormat="1" ht="24" customHeight="1" x14ac:dyDescent="0.25">
      <c r="A125" s="291">
        <v>119</v>
      </c>
      <c r="B125" s="345"/>
      <c r="C125" s="349"/>
      <c r="D125" s="293" t="s">
        <v>901</v>
      </c>
      <c r="E125" s="444">
        <f t="shared" si="2"/>
        <v>6</v>
      </c>
      <c r="F125" s="298" t="s">
        <v>664</v>
      </c>
      <c r="G125" s="298" t="s">
        <v>448</v>
      </c>
      <c r="H125" s="298" t="s">
        <v>448</v>
      </c>
      <c r="I125" s="298" t="s">
        <v>448</v>
      </c>
      <c r="J125" s="298" t="s">
        <v>448</v>
      </c>
      <c r="K125" s="298" t="s">
        <v>448</v>
      </c>
      <c r="L125" s="298" t="s">
        <v>448</v>
      </c>
      <c r="M125" s="363"/>
      <c r="N125" s="220"/>
      <c r="Z125" s="220"/>
    </row>
    <row r="126" spans="1:26" s="208" customFormat="1" ht="24" customHeight="1" x14ac:dyDescent="0.25">
      <c r="A126" s="291">
        <v>120</v>
      </c>
      <c r="B126" s="345"/>
      <c r="C126" s="314"/>
      <c r="D126" s="293" t="s">
        <v>524</v>
      </c>
      <c r="E126" s="444">
        <f t="shared" si="2"/>
        <v>12</v>
      </c>
      <c r="F126" s="298" t="s">
        <v>762</v>
      </c>
      <c r="G126" s="298" t="s">
        <v>762</v>
      </c>
      <c r="H126" s="298" t="s">
        <v>762</v>
      </c>
      <c r="I126" s="298" t="s">
        <v>762</v>
      </c>
      <c r="J126" s="298" t="s">
        <v>762</v>
      </c>
      <c r="K126" s="298" t="s">
        <v>762</v>
      </c>
      <c r="L126" s="298" t="s">
        <v>762</v>
      </c>
      <c r="M126" s="363"/>
      <c r="N126" s="220"/>
    </row>
    <row r="127" spans="1:26" s="208" customFormat="1" ht="24" customHeight="1" x14ac:dyDescent="0.25">
      <c r="A127" s="291">
        <v>121</v>
      </c>
      <c r="B127" s="343"/>
      <c r="C127" s="342" t="s">
        <v>1201</v>
      </c>
      <c r="D127" s="310" t="s">
        <v>902</v>
      </c>
      <c r="E127" s="444">
        <f t="shared" si="2"/>
        <v>5</v>
      </c>
      <c r="F127" s="441" t="s">
        <v>165</v>
      </c>
      <c r="G127" s="499" t="s">
        <v>663</v>
      </c>
      <c r="H127" s="441" t="s">
        <v>165</v>
      </c>
      <c r="I127" s="499" t="s">
        <v>663</v>
      </c>
      <c r="J127" s="499" t="s">
        <v>663</v>
      </c>
      <c r="K127" s="499" t="s">
        <v>663</v>
      </c>
      <c r="L127" s="499" t="s">
        <v>663</v>
      </c>
      <c r="M127" s="291"/>
      <c r="N127" s="220"/>
    </row>
    <row r="128" spans="1:26" s="208" customFormat="1" ht="24" customHeight="1" x14ac:dyDescent="0.25">
      <c r="A128" s="291">
        <v>122</v>
      </c>
      <c r="B128" s="343"/>
      <c r="C128" s="346"/>
      <c r="D128" s="293" t="s">
        <v>903</v>
      </c>
      <c r="E128" s="311"/>
      <c r="F128" s="298" t="s">
        <v>664</v>
      </c>
      <c r="G128" s="441" t="s">
        <v>165</v>
      </c>
      <c r="H128" s="298" t="s">
        <v>448</v>
      </c>
      <c r="I128" s="441" t="s">
        <v>165</v>
      </c>
      <c r="J128" s="441" t="s">
        <v>165</v>
      </c>
      <c r="K128" s="441" t="s">
        <v>165</v>
      </c>
      <c r="L128" s="441" t="s">
        <v>165</v>
      </c>
      <c r="M128" s="363"/>
      <c r="N128" s="220"/>
    </row>
    <row r="129" spans="1:14" s="208" customFormat="1" ht="24" customHeight="1" x14ac:dyDescent="0.25">
      <c r="A129" s="291">
        <v>123</v>
      </c>
      <c r="B129" s="343"/>
      <c r="C129" s="346"/>
      <c r="D129" s="293" t="s">
        <v>1056</v>
      </c>
      <c r="E129" s="311"/>
      <c r="F129" s="499" t="s">
        <v>663</v>
      </c>
      <c r="G129" s="499" t="s">
        <v>663</v>
      </c>
      <c r="H129" s="499" t="s">
        <v>663</v>
      </c>
      <c r="I129" s="298" t="s">
        <v>448</v>
      </c>
      <c r="J129" s="298" t="s">
        <v>448</v>
      </c>
      <c r="K129" s="298" t="s">
        <v>448</v>
      </c>
      <c r="L129" s="298" t="s">
        <v>448</v>
      </c>
      <c r="M129" s="363"/>
      <c r="N129" s="220"/>
    </row>
    <row r="130" spans="1:14" s="208" customFormat="1" ht="24" customHeight="1" x14ac:dyDescent="0.25">
      <c r="A130" s="291">
        <v>124</v>
      </c>
      <c r="B130" s="345"/>
      <c r="C130" s="314"/>
      <c r="D130" s="293" t="s">
        <v>524</v>
      </c>
      <c r="E130" s="311"/>
      <c r="F130" s="298" t="s">
        <v>762</v>
      </c>
      <c r="G130" s="298" t="s">
        <v>762</v>
      </c>
      <c r="H130" s="298" t="s">
        <v>762</v>
      </c>
      <c r="I130" s="298" t="s">
        <v>762</v>
      </c>
      <c r="J130" s="298" t="s">
        <v>762</v>
      </c>
      <c r="K130" s="298" t="s">
        <v>762</v>
      </c>
      <c r="L130" s="298" t="s">
        <v>762</v>
      </c>
      <c r="M130" s="291"/>
      <c r="N130" s="220"/>
    </row>
    <row r="131" spans="1:14" s="208" customFormat="1" ht="24" customHeight="1" x14ac:dyDescent="0.25">
      <c r="A131" s="291">
        <v>125</v>
      </c>
      <c r="B131" s="343"/>
      <c r="C131" s="341" t="s">
        <v>611</v>
      </c>
      <c r="D131" s="310" t="s">
        <v>792</v>
      </c>
      <c r="E131" s="311"/>
      <c r="F131" s="441" t="s">
        <v>165</v>
      </c>
      <c r="G131" s="441" t="s">
        <v>165</v>
      </c>
      <c r="H131" s="441" t="s">
        <v>165</v>
      </c>
      <c r="I131" s="441" t="s">
        <v>165</v>
      </c>
      <c r="J131" s="441" t="s">
        <v>165</v>
      </c>
      <c r="K131" s="441" t="s">
        <v>165</v>
      </c>
      <c r="L131" s="441" t="s">
        <v>165</v>
      </c>
      <c r="M131" s="291"/>
      <c r="N131" s="220"/>
    </row>
    <row r="132" spans="1:14" s="208" customFormat="1" ht="24" customHeight="1" x14ac:dyDescent="0.25">
      <c r="A132" s="291">
        <v>126</v>
      </c>
      <c r="B132" s="343"/>
      <c r="C132" s="346"/>
      <c r="D132" s="293" t="s">
        <v>794</v>
      </c>
      <c r="E132" s="311"/>
      <c r="F132" s="298" t="s">
        <v>664</v>
      </c>
      <c r="G132" s="298" t="s">
        <v>448</v>
      </c>
      <c r="H132" s="298" t="s">
        <v>448</v>
      </c>
      <c r="I132" s="298" t="s">
        <v>448</v>
      </c>
      <c r="J132" s="298" t="s">
        <v>448</v>
      </c>
      <c r="K132" s="298" t="s">
        <v>448</v>
      </c>
      <c r="L132" s="298" t="s">
        <v>448</v>
      </c>
      <c r="M132" s="291"/>
      <c r="N132" s="220"/>
    </row>
    <row r="133" spans="1:14" s="208" customFormat="1" ht="24" customHeight="1" x14ac:dyDescent="0.25">
      <c r="A133" s="291">
        <v>127</v>
      </c>
      <c r="B133" s="345"/>
      <c r="C133" s="314"/>
      <c r="D133" s="293" t="s">
        <v>524</v>
      </c>
      <c r="E133" s="311"/>
      <c r="F133" s="298" t="s">
        <v>762</v>
      </c>
      <c r="G133" s="298" t="s">
        <v>762</v>
      </c>
      <c r="H133" s="298" t="s">
        <v>762</v>
      </c>
      <c r="I133" s="298" t="s">
        <v>762</v>
      </c>
      <c r="J133" s="298" t="s">
        <v>762</v>
      </c>
      <c r="K133" s="298" t="s">
        <v>762</v>
      </c>
      <c r="L133" s="298" t="s">
        <v>762</v>
      </c>
      <c r="M133" s="291"/>
      <c r="N133" s="220"/>
    </row>
    <row r="134" spans="1:14" s="208" customFormat="1" ht="24" customHeight="1" x14ac:dyDescent="0.25">
      <c r="A134" s="291">
        <v>128</v>
      </c>
      <c r="B134" s="343"/>
      <c r="C134" s="341" t="s">
        <v>629</v>
      </c>
      <c r="D134" s="310" t="s">
        <v>1326</v>
      </c>
      <c r="E134" s="311"/>
      <c r="F134" s="441" t="s">
        <v>165</v>
      </c>
      <c r="G134" s="441" t="s">
        <v>165</v>
      </c>
      <c r="H134" s="441" t="s">
        <v>165</v>
      </c>
      <c r="I134" s="298" t="s">
        <v>448</v>
      </c>
      <c r="J134" s="298" t="s">
        <v>448</v>
      </c>
      <c r="K134" s="298" t="s">
        <v>448</v>
      </c>
      <c r="L134" s="298" t="s">
        <v>448</v>
      </c>
      <c r="M134" s="291"/>
      <c r="N134" s="220"/>
    </row>
    <row r="135" spans="1:14" s="208" customFormat="1" ht="24" customHeight="1" x14ac:dyDescent="0.25">
      <c r="A135" s="291">
        <v>129</v>
      </c>
      <c r="B135" s="343"/>
      <c r="C135" s="343"/>
      <c r="D135" s="293" t="s">
        <v>1327</v>
      </c>
      <c r="E135" s="311"/>
      <c r="F135" s="298" t="s">
        <v>664</v>
      </c>
      <c r="G135" s="298" t="s">
        <v>448</v>
      </c>
      <c r="H135" s="298" t="s">
        <v>448</v>
      </c>
      <c r="I135" s="441" t="s">
        <v>165</v>
      </c>
      <c r="J135" s="441" t="s">
        <v>165</v>
      </c>
      <c r="K135" s="441" t="s">
        <v>165</v>
      </c>
      <c r="L135" s="441" t="s">
        <v>165</v>
      </c>
      <c r="M135" s="291"/>
    </row>
    <row r="136" spans="1:14" s="208" customFormat="1" ht="24" customHeight="1" x14ac:dyDescent="0.25">
      <c r="A136" s="291">
        <v>130</v>
      </c>
      <c r="B136" s="343"/>
      <c r="C136" s="343"/>
      <c r="D136" s="293" t="s">
        <v>1317</v>
      </c>
      <c r="E136" s="311"/>
      <c r="F136" s="298" t="s">
        <v>664</v>
      </c>
      <c r="G136" s="298" t="s">
        <v>448</v>
      </c>
      <c r="H136" s="298" t="s">
        <v>448</v>
      </c>
      <c r="I136" s="298" t="s">
        <v>448</v>
      </c>
      <c r="J136" s="298" t="s">
        <v>448</v>
      </c>
      <c r="K136" s="298" t="s">
        <v>448</v>
      </c>
      <c r="L136" s="298" t="s">
        <v>448</v>
      </c>
      <c r="M136" s="363"/>
    </row>
    <row r="137" spans="1:14" s="208" customFormat="1" ht="24" customHeight="1" x14ac:dyDescent="0.25">
      <c r="A137" s="291">
        <v>131</v>
      </c>
      <c r="B137" s="343"/>
      <c r="C137" s="343"/>
      <c r="D137" s="293" t="s">
        <v>1318</v>
      </c>
      <c r="E137" s="311"/>
      <c r="F137" s="298" t="s">
        <v>664</v>
      </c>
      <c r="G137" s="298" t="s">
        <v>448</v>
      </c>
      <c r="H137" s="298" t="s">
        <v>448</v>
      </c>
      <c r="I137" s="298" t="s">
        <v>448</v>
      </c>
      <c r="J137" s="298" t="s">
        <v>448</v>
      </c>
      <c r="K137" s="298" t="s">
        <v>448</v>
      </c>
      <c r="L137" s="298" t="s">
        <v>448</v>
      </c>
      <c r="M137" s="363"/>
    </row>
    <row r="138" spans="1:14" s="208" customFormat="1" ht="24" customHeight="1" x14ac:dyDescent="0.25">
      <c r="A138" s="291">
        <v>132</v>
      </c>
      <c r="B138" s="343"/>
      <c r="C138" s="343"/>
      <c r="D138" s="306" t="s">
        <v>989</v>
      </c>
      <c r="E138" s="311"/>
      <c r="F138" s="298" t="s">
        <v>664</v>
      </c>
      <c r="G138" s="298" t="s">
        <v>448</v>
      </c>
      <c r="H138" s="298" t="s">
        <v>448</v>
      </c>
      <c r="I138" s="298" t="s">
        <v>448</v>
      </c>
      <c r="J138" s="298" t="s">
        <v>448</v>
      </c>
      <c r="K138" s="298" t="s">
        <v>448</v>
      </c>
      <c r="L138" s="298" t="s">
        <v>448</v>
      </c>
      <c r="M138" s="363"/>
    </row>
    <row r="139" spans="1:14" s="208" customFormat="1" ht="24" customHeight="1" x14ac:dyDescent="0.25">
      <c r="A139" s="291">
        <v>133</v>
      </c>
      <c r="B139" s="343"/>
      <c r="C139" s="343"/>
      <c r="D139" s="306" t="s">
        <v>1089</v>
      </c>
      <c r="E139" s="311"/>
      <c r="F139" s="298" t="s">
        <v>664</v>
      </c>
      <c r="G139" s="298" t="s">
        <v>448</v>
      </c>
      <c r="H139" s="298" t="s">
        <v>448</v>
      </c>
      <c r="I139" s="298" t="s">
        <v>448</v>
      </c>
      <c r="J139" s="298" t="s">
        <v>448</v>
      </c>
      <c r="K139" s="298" t="s">
        <v>448</v>
      </c>
      <c r="L139" s="298" t="s">
        <v>448</v>
      </c>
      <c r="M139" s="363"/>
    </row>
    <row r="140" spans="1:14" s="208" customFormat="1" ht="24" customHeight="1" x14ac:dyDescent="0.25">
      <c r="A140" s="291">
        <v>134</v>
      </c>
      <c r="B140" s="345"/>
      <c r="C140" s="314"/>
      <c r="D140" s="293" t="s">
        <v>524</v>
      </c>
      <c r="E140" s="311"/>
      <c r="F140" s="298" t="s">
        <v>762</v>
      </c>
      <c r="G140" s="298" t="s">
        <v>762</v>
      </c>
      <c r="H140" s="298" t="s">
        <v>762</v>
      </c>
      <c r="I140" s="298" t="s">
        <v>762</v>
      </c>
      <c r="J140" s="298" t="s">
        <v>762</v>
      </c>
      <c r="K140" s="298" t="s">
        <v>762</v>
      </c>
      <c r="L140" s="298" t="s">
        <v>762</v>
      </c>
      <c r="M140" s="291"/>
      <c r="N140" s="220"/>
    </row>
    <row r="141" spans="1:14" s="208" customFormat="1" ht="24" customHeight="1" x14ac:dyDescent="0.25">
      <c r="A141" s="291">
        <v>135</v>
      </c>
      <c r="B141" s="343"/>
      <c r="C141" s="342" t="s">
        <v>630</v>
      </c>
      <c r="D141" s="347" t="s">
        <v>1324</v>
      </c>
      <c r="E141" s="170"/>
      <c r="F141" s="441" t="s">
        <v>165</v>
      </c>
      <c r="G141" s="499" t="s">
        <v>663</v>
      </c>
      <c r="H141" s="441" t="s">
        <v>165</v>
      </c>
      <c r="I141" s="441" t="s">
        <v>165</v>
      </c>
      <c r="J141" s="499" t="s">
        <v>663</v>
      </c>
      <c r="K141" s="441" t="s">
        <v>165</v>
      </c>
      <c r="L141" s="441" t="s">
        <v>165</v>
      </c>
      <c r="M141" s="291"/>
      <c r="N141" s="220"/>
    </row>
    <row r="142" spans="1:14" s="208" customFormat="1" ht="24" customHeight="1" x14ac:dyDescent="0.25">
      <c r="A142" s="291">
        <v>136</v>
      </c>
      <c r="B142" s="343"/>
      <c r="C142" s="344"/>
      <c r="D142" s="306" t="s">
        <v>615</v>
      </c>
      <c r="E142" s="170"/>
      <c r="F142" s="298" t="s">
        <v>664</v>
      </c>
      <c r="G142" s="499" t="s">
        <v>663</v>
      </c>
      <c r="H142" s="298" t="s">
        <v>448</v>
      </c>
      <c r="I142" s="298" t="s">
        <v>448</v>
      </c>
      <c r="J142" s="499" t="s">
        <v>663</v>
      </c>
      <c r="K142" s="499" t="s">
        <v>663</v>
      </c>
      <c r="L142" s="298" t="s">
        <v>448</v>
      </c>
      <c r="M142" s="291"/>
      <c r="N142" s="220"/>
    </row>
    <row r="143" spans="1:14" s="208" customFormat="1" ht="24" customHeight="1" x14ac:dyDescent="0.25">
      <c r="A143" s="291">
        <v>137</v>
      </c>
      <c r="B143" s="343"/>
      <c r="C143" s="437"/>
      <c r="D143" s="306" t="s">
        <v>1202</v>
      </c>
      <c r="E143" s="311"/>
      <c r="F143" s="298" t="s">
        <v>664</v>
      </c>
      <c r="G143" s="441" t="s">
        <v>165</v>
      </c>
      <c r="H143" s="298" t="s">
        <v>448</v>
      </c>
      <c r="I143" s="298" t="s">
        <v>448</v>
      </c>
      <c r="J143" s="441" t="s">
        <v>165</v>
      </c>
      <c r="K143" s="298" t="s">
        <v>448</v>
      </c>
      <c r="L143" s="298" t="s">
        <v>448</v>
      </c>
      <c r="M143" s="363"/>
      <c r="N143" s="220"/>
    </row>
    <row r="144" spans="1:14" s="208" customFormat="1" ht="24" customHeight="1" x14ac:dyDescent="0.25">
      <c r="A144" s="291">
        <v>138</v>
      </c>
      <c r="B144" s="345"/>
      <c r="C144" s="314"/>
      <c r="D144" s="293" t="s">
        <v>616</v>
      </c>
      <c r="E144" s="311"/>
      <c r="F144" s="298" t="s">
        <v>762</v>
      </c>
      <c r="G144" s="298" t="s">
        <v>762</v>
      </c>
      <c r="H144" s="298" t="s">
        <v>762</v>
      </c>
      <c r="I144" s="298" t="s">
        <v>762</v>
      </c>
      <c r="J144" s="298" t="s">
        <v>762</v>
      </c>
      <c r="K144" s="298" t="s">
        <v>762</v>
      </c>
      <c r="L144" s="298" t="s">
        <v>762</v>
      </c>
      <c r="M144" s="291"/>
    </row>
    <row r="145" spans="1:13" s="208" customFormat="1" ht="24" customHeight="1" x14ac:dyDescent="0.25">
      <c r="A145" s="291">
        <v>139</v>
      </c>
      <c r="B145" s="343"/>
      <c r="C145" s="342" t="s">
        <v>1090</v>
      </c>
      <c r="D145" s="347" t="s">
        <v>166</v>
      </c>
      <c r="E145" s="311"/>
      <c r="F145" s="441" t="s">
        <v>165</v>
      </c>
      <c r="G145" s="441" t="s">
        <v>165</v>
      </c>
      <c r="H145" s="441" t="s">
        <v>165</v>
      </c>
      <c r="I145" s="441" t="s">
        <v>165</v>
      </c>
      <c r="J145" s="441" t="s">
        <v>165</v>
      </c>
      <c r="K145" s="441" t="s">
        <v>165</v>
      </c>
      <c r="L145" s="441" t="s">
        <v>165</v>
      </c>
      <c r="M145" s="291"/>
    </row>
    <row r="146" spans="1:13" s="208" customFormat="1" ht="24" customHeight="1" x14ac:dyDescent="0.25">
      <c r="A146" s="291">
        <v>140</v>
      </c>
      <c r="B146" s="343"/>
      <c r="C146" s="348"/>
      <c r="D146" s="311" t="s">
        <v>1155</v>
      </c>
      <c r="E146" s="311"/>
      <c r="F146" s="298" t="s">
        <v>664</v>
      </c>
      <c r="G146" s="298" t="s">
        <v>448</v>
      </c>
      <c r="H146" s="298" t="s">
        <v>448</v>
      </c>
      <c r="I146" s="298" t="s">
        <v>448</v>
      </c>
      <c r="J146" s="298" t="s">
        <v>448</v>
      </c>
      <c r="K146" s="298" t="s">
        <v>448</v>
      </c>
      <c r="L146" s="298" t="s">
        <v>448</v>
      </c>
      <c r="M146" s="291"/>
    </row>
    <row r="147" spans="1:13" s="208" customFormat="1" ht="24" customHeight="1" x14ac:dyDescent="0.25">
      <c r="A147" s="291">
        <v>141</v>
      </c>
      <c r="B147" s="345"/>
      <c r="C147" s="314"/>
      <c r="D147" s="293" t="s">
        <v>524</v>
      </c>
      <c r="E147" s="311"/>
      <c r="F147" s="298" t="s">
        <v>762</v>
      </c>
      <c r="G147" s="298" t="s">
        <v>762</v>
      </c>
      <c r="H147" s="298" t="s">
        <v>762</v>
      </c>
      <c r="I147" s="298" t="s">
        <v>762</v>
      </c>
      <c r="J147" s="298" t="s">
        <v>762</v>
      </c>
      <c r="K147" s="298" t="s">
        <v>762</v>
      </c>
      <c r="L147" s="298" t="s">
        <v>762</v>
      </c>
      <c r="M147" s="291"/>
    </row>
    <row r="148" spans="1:13" s="208" customFormat="1" ht="24" customHeight="1" x14ac:dyDescent="0.25">
      <c r="A148" s="291">
        <v>142</v>
      </c>
      <c r="B148" s="343"/>
      <c r="C148" s="342" t="s">
        <v>16</v>
      </c>
      <c r="D148" s="310" t="s">
        <v>779</v>
      </c>
      <c r="E148" s="311"/>
      <c r="F148" s="441" t="s">
        <v>165</v>
      </c>
      <c r="G148" s="441" t="s">
        <v>165</v>
      </c>
      <c r="H148" s="441" t="s">
        <v>165</v>
      </c>
      <c r="I148" s="441" t="s">
        <v>165</v>
      </c>
      <c r="J148" s="441" t="s">
        <v>165</v>
      </c>
      <c r="K148" s="441" t="s">
        <v>165</v>
      </c>
      <c r="L148" s="441" t="s">
        <v>165</v>
      </c>
      <c r="M148" s="363"/>
    </row>
    <row r="149" spans="1:13" s="208" customFormat="1" ht="24" customHeight="1" x14ac:dyDescent="0.25">
      <c r="A149" s="291">
        <v>143</v>
      </c>
      <c r="B149" s="343"/>
      <c r="C149" s="344"/>
      <c r="D149" s="311" t="s">
        <v>794</v>
      </c>
      <c r="E149" s="311"/>
      <c r="F149" s="298" t="s">
        <v>664</v>
      </c>
      <c r="G149" s="298" t="s">
        <v>448</v>
      </c>
      <c r="H149" s="298" t="s">
        <v>448</v>
      </c>
      <c r="I149" s="298" t="s">
        <v>448</v>
      </c>
      <c r="J149" s="298" t="s">
        <v>448</v>
      </c>
      <c r="K149" s="298" t="s">
        <v>448</v>
      </c>
      <c r="L149" s="298" t="s">
        <v>448</v>
      </c>
      <c r="M149" s="291"/>
    </row>
    <row r="150" spans="1:13" s="208" customFormat="1" ht="24" customHeight="1" x14ac:dyDescent="0.25">
      <c r="A150" s="291">
        <v>144</v>
      </c>
      <c r="B150" s="345"/>
      <c r="C150" s="314"/>
      <c r="D150" s="293" t="s">
        <v>524</v>
      </c>
      <c r="E150" s="170"/>
      <c r="F150" s="298" t="s">
        <v>762</v>
      </c>
      <c r="G150" s="298" t="s">
        <v>762</v>
      </c>
      <c r="H150" s="298" t="s">
        <v>762</v>
      </c>
      <c r="I150" s="298" t="s">
        <v>762</v>
      </c>
      <c r="J150" s="298" t="s">
        <v>762</v>
      </c>
      <c r="K150" s="298" t="s">
        <v>762</v>
      </c>
      <c r="L150" s="298" t="s">
        <v>762</v>
      </c>
      <c r="M150" s="291"/>
    </row>
    <row r="151" spans="1:13" s="208" customFormat="1" ht="24" customHeight="1" x14ac:dyDescent="0.25">
      <c r="A151" s="291">
        <v>145</v>
      </c>
      <c r="B151" s="343"/>
      <c r="C151" s="342" t="s">
        <v>965</v>
      </c>
      <c r="D151" s="310" t="s">
        <v>841</v>
      </c>
      <c r="E151" s="311"/>
      <c r="F151" s="441" t="s">
        <v>165</v>
      </c>
      <c r="G151" s="441" t="s">
        <v>165</v>
      </c>
      <c r="H151" s="441" t="s">
        <v>165</v>
      </c>
      <c r="I151" s="441" t="s">
        <v>165</v>
      </c>
      <c r="J151" s="441" t="s">
        <v>165</v>
      </c>
      <c r="K151" s="441" t="s">
        <v>165</v>
      </c>
      <c r="L151" s="441" t="s">
        <v>165</v>
      </c>
      <c r="M151" s="291"/>
    </row>
    <row r="152" spans="1:13" s="208" customFormat="1" ht="24" customHeight="1" x14ac:dyDescent="0.25">
      <c r="A152" s="291">
        <v>146</v>
      </c>
      <c r="B152" s="343"/>
      <c r="C152" s="344"/>
      <c r="D152" s="311" t="s">
        <v>964</v>
      </c>
      <c r="E152" s="311"/>
      <c r="F152" s="298" t="s">
        <v>664</v>
      </c>
      <c r="G152" s="298" t="s">
        <v>448</v>
      </c>
      <c r="H152" s="298" t="s">
        <v>448</v>
      </c>
      <c r="I152" s="499" t="s">
        <v>663</v>
      </c>
      <c r="J152" s="499" t="s">
        <v>663</v>
      </c>
      <c r="K152" s="499" t="s">
        <v>663</v>
      </c>
      <c r="L152" s="499" t="s">
        <v>663</v>
      </c>
      <c r="M152" s="291"/>
    </row>
    <row r="153" spans="1:13" s="208" customFormat="1" ht="24" customHeight="1" x14ac:dyDescent="0.25">
      <c r="A153" s="291">
        <v>147</v>
      </c>
      <c r="B153" s="343"/>
      <c r="C153" s="344"/>
      <c r="D153" s="311" t="s">
        <v>963</v>
      </c>
      <c r="E153" s="311"/>
      <c r="F153" s="298" t="s">
        <v>664</v>
      </c>
      <c r="G153" s="298" t="s">
        <v>448</v>
      </c>
      <c r="H153" s="298" t="s">
        <v>448</v>
      </c>
      <c r="I153" s="298" t="s">
        <v>448</v>
      </c>
      <c r="J153" s="298" t="s">
        <v>448</v>
      </c>
      <c r="K153" s="298" t="s">
        <v>448</v>
      </c>
      <c r="L153" s="298" t="s">
        <v>448</v>
      </c>
      <c r="M153" s="291"/>
    </row>
    <row r="154" spans="1:13" s="208" customFormat="1" ht="24" customHeight="1" x14ac:dyDescent="0.25">
      <c r="A154" s="291">
        <v>148</v>
      </c>
      <c r="B154" s="343"/>
      <c r="C154" s="344"/>
      <c r="D154" s="311" t="s">
        <v>962</v>
      </c>
      <c r="E154" s="311"/>
      <c r="F154" s="298" t="s">
        <v>664</v>
      </c>
      <c r="G154" s="298" t="s">
        <v>448</v>
      </c>
      <c r="H154" s="298" t="s">
        <v>448</v>
      </c>
      <c r="I154" s="499" t="s">
        <v>663</v>
      </c>
      <c r="J154" s="499" t="s">
        <v>663</v>
      </c>
      <c r="K154" s="499" t="s">
        <v>663</v>
      </c>
      <c r="L154" s="499" t="s">
        <v>663</v>
      </c>
      <c r="M154" s="291"/>
    </row>
    <row r="155" spans="1:13" s="208" customFormat="1" ht="24" customHeight="1" x14ac:dyDescent="0.25">
      <c r="A155" s="291">
        <v>149</v>
      </c>
      <c r="B155" s="345"/>
      <c r="C155" s="314"/>
      <c r="D155" s="293" t="s">
        <v>524</v>
      </c>
      <c r="E155" s="170"/>
      <c r="F155" s="298" t="s">
        <v>762</v>
      </c>
      <c r="G155" s="298" t="s">
        <v>762</v>
      </c>
      <c r="H155" s="298" t="s">
        <v>762</v>
      </c>
      <c r="I155" s="298" t="s">
        <v>762</v>
      </c>
      <c r="J155" s="298" t="s">
        <v>762</v>
      </c>
      <c r="K155" s="298" t="s">
        <v>762</v>
      </c>
      <c r="L155" s="298" t="s">
        <v>762</v>
      </c>
      <c r="M155" s="363"/>
    </row>
    <row r="156" spans="1:13" s="208" customFormat="1" ht="24" customHeight="1" x14ac:dyDescent="0.25">
      <c r="A156" s="291">
        <v>150</v>
      </c>
      <c r="B156" s="343"/>
      <c r="C156" s="342" t="s">
        <v>966</v>
      </c>
      <c r="D156" s="310" t="s">
        <v>841</v>
      </c>
      <c r="E156" s="311"/>
      <c r="F156" s="441" t="s">
        <v>165</v>
      </c>
      <c r="G156" s="441" t="s">
        <v>165</v>
      </c>
      <c r="H156" s="441" t="s">
        <v>165</v>
      </c>
      <c r="I156" s="441" t="s">
        <v>165</v>
      </c>
      <c r="J156" s="441" t="s">
        <v>165</v>
      </c>
      <c r="K156" s="441" t="s">
        <v>165</v>
      </c>
      <c r="L156" s="441" t="s">
        <v>165</v>
      </c>
      <c r="M156" s="291"/>
    </row>
    <row r="157" spans="1:13" s="208" customFormat="1" ht="24" customHeight="1" x14ac:dyDescent="0.25">
      <c r="A157" s="291">
        <v>151</v>
      </c>
      <c r="B157" s="343"/>
      <c r="C157" s="344"/>
      <c r="D157" s="311" t="s">
        <v>794</v>
      </c>
      <c r="E157" s="311"/>
      <c r="F157" s="298" t="s">
        <v>664</v>
      </c>
      <c r="G157" s="298" t="s">
        <v>448</v>
      </c>
      <c r="H157" s="298" t="s">
        <v>448</v>
      </c>
      <c r="I157" s="298" t="s">
        <v>448</v>
      </c>
      <c r="J157" s="298" t="s">
        <v>448</v>
      </c>
      <c r="K157" s="298" t="s">
        <v>448</v>
      </c>
      <c r="L157" s="298" t="s">
        <v>448</v>
      </c>
      <c r="M157" s="291"/>
    </row>
    <row r="158" spans="1:13" s="208" customFormat="1" ht="24" customHeight="1" x14ac:dyDescent="0.25">
      <c r="A158" s="291">
        <v>152</v>
      </c>
      <c r="B158" s="345"/>
      <c r="C158" s="314"/>
      <c r="D158" s="293" t="s">
        <v>524</v>
      </c>
      <c r="E158" s="170"/>
      <c r="F158" s="298" t="s">
        <v>762</v>
      </c>
      <c r="G158" s="298" t="s">
        <v>762</v>
      </c>
      <c r="H158" s="298" t="s">
        <v>762</v>
      </c>
      <c r="I158" s="298" t="s">
        <v>762</v>
      </c>
      <c r="J158" s="298" t="s">
        <v>762</v>
      </c>
      <c r="K158" s="298" t="s">
        <v>762</v>
      </c>
      <c r="L158" s="298" t="s">
        <v>762</v>
      </c>
      <c r="M158" s="291"/>
    </row>
    <row r="159" spans="1:13" s="208" customFormat="1" ht="24" customHeight="1" x14ac:dyDescent="0.25">
      <c r="A159" s="291">
        <v>153</v>
      </c>
      <c r="B159" s="343"/>
      <c r="C159" s="342" t="s">
        <v>967</v>
      </c>
      <c r="D159" s="310" t="s">
        <v>970</v>
      </c>
      <c r="E159" s="301"/>
      <c r="F159" s="441" t="s">
        <v>165</v>
      </c>
      <c r="G159" s="441" t="s">
        <v>165</v>
      </c>
      <c r="H159" s="441" t="s">
        <v>165</v>
      </c>
      <c r="I159" s="441" t="s">
        <v>165</v>
      </c>
      <c r="J159" s="441" t="s">
        <v>165</v>
      </c>
      <c r="K159" s="441" t="s">
        <v>165</v>
      </c>
      <c r="L159" s="441" t="s">
        <v>165</v>
      </c>
      <c r="M159" s="291"/>
    </row>
    <row r="160" spans="1:13" s="208" customFormat="1" ht="24" customHeight="1" x14ac:dyDescent="0.25">
      <c r="A160" s="291">
        <v>154</v>
      </c>
      <c r="B160" s="343"/>
      <c r="C160" s="344"/>
      <c r="D160" s="293" t="s">
        <v>792</v>
      </c>
      <c r="E160" s="301"/>
      <c r="F160" s="298" t="s">
        <v>664</v>
      </c>
      <c r="G160" s="298" t="s">
        <v>448</v>
      </c>
      <c r="H160" s="298" t="s">
        <v>448</v>
      </c>
      <c r="I160" s="298" t="s">
        <v>448</v>
      </c>
      <c r="J160" s="298" t="s">
        <v>448</v>
      </c>
      <c r="K160" s="298" t="s">
        <v>448</v>
      </c>
      <c r="L160" s="298" t="s">
        <v>448</v>
      </c>
      <c r="M160" s="291"/>
    </row>
    <row r="161" spans="1:13" s="208" customFormat="1" ht="24" customHeight="1" x14ac:dyDescent="0.25">
      <c r="A161" s="291">
        <v>155</v>
      </c>
      <c r="B161" s="345"/>
      <c r="C161" s="314"/>
      <c r="D161" s="293" t="s">
        <v>524</v>
      </c>
      <c r="E161" s="301"/>
      <c r="F161" s="298" t="s">
        <v>762</v>
      </c>
      <c r="G161" s="298" t="s">
        <v>762</v>
      </c>
      <c r="H161" s="298" t="s">
        <v>762</v>
      </c>
      <c r="I161" s="298" t="s">
        <v>762</v>
      </c>
      <c r="J161" s="298" t="s">
        <v>762</v>
      </c>
      <c r="K161" s="298" t="s">
        <v>762</v>
      </c>
      <c r="L161" s="298" t="s">
        <v>762</v>
      </c>
      <c r="M161" s="291"/>
    </row>
    <row r="162" spans="1:13" s="208" customFormat="1" ht="24" customHeight="1" x14ac:dyDescent="0.25">
      <c r="A162" s="291">
        <v>156</v>
      </c>
      <c r="B162" s="343"/>
      <c r="C162" s="342" t="s">
        <v>968</v>
      </c>
      <c r="D162" s="310" t="s">
        <v>904</v>
      </c>
      <c r="E162" s="311"/>
      <c r="F162" s="441" t="s">
        <v>165</v>
      </c>
      <c r="G162" s="441" t="s">
        <v>165</v>
      </c>
      <c r="H162" s="499" t="s">
        <v>663</v>
      </c>
      <c r="I162" s="441" t="s">
        <v>165</v>
      </c>
      <c r="J162" s="441" t="s">
        <v>165</v>
      </c>
      <c r="K162" s="499" t="s">
        <v>663</v>
      </c>
      <c r="L162" s="499" t="s">
        <v>663</v>
      </c>
      <c r="M162" s="363"/>
    </row>
    <row r="163" spans="1:13" s="208" customFormat="1" ht="24" customHeight="1" x14ac:dyDescent="0.25">
      <c r="A163" s="291">
        <v>157</v>
      </c>
      <c r="B163" s="343"/>
      <c r="C163" s="344"/>
      <c r="D163" s="293" t="s">
        <v>905</v>
      </c>
      <c r="E163" s="170"/>
      <c r="F163" s="298" t="s">
        <v>664</v>
      </c>
      <c r="G163" s="499" t="s">
        <v>663</v>
      </c>
      <c r="H163" s="441" t="s">
        <v>165</v>
      </c>
      <c r="I163" s="298" t="s">
        <v>448</v>
      </c>
      <c r="J163" s="499" t="s">
        <v>663</v>
      </c>
      <c r="K163" s="441" t="s">
        <v>165</v>
      </c>
      <c r="L163" s="441" t="s">
        <v>165</v>
      </c>
      <c r="M163" s="291"/>
    </row>
    <row r="164" spans="1:13" s="208" customFormat="1" ht="24" customHeight="1" x14ac:dyDescent="0.25">
      <c r="A164" s="291">
        <v>158</v>
      </c>
      <c r="B164" s="343"/>
      <c r="C164" s="346"/>
      <c r="D164" s="293" t="s">
        <v>906</v>
      </c>
      <c r="E164" s="311"/>
      <c r="F164" s="298" t="s">
        <v>664</v>
      </c>
      <c r="G164" s="499" t="s">
        <v>663</v>
      </c>
      <c r="H164" s="499" t="s">
        <v>663</v>
      </c>
      <c r="I164" s="298" t="s">
        <v>448</v>
      </c>
      <c r="J164" s="499" t="s">
        <v>663</v>
      </c>
      <c r="K164" s="499" t="s">
        <v>663</v>
      </c>
      <c r="L164" s="499" t="s">
        <v>663</v>
      </c>
      <c r="M164" s="291"/>
    </row>
    <row r="165" spans="1:13" s="208" customFormat="1" ht="24" customHeight="1" x14ac:dyDescent="0.25">
      <c r="A165" s="291">
        <v>159</v>
      </c>
      <c r="B165" s="345"/>
      <c r="C165" s="314"/>
      <c r="D165" s="293" t="s">
        <v>524</v>
      </c>
      <c r="E165" s="311"/>
      <c r="F165" s="298" t="s">
        <v>762</v>
      </c>
      <c r="G165" s="298" t="s">
        <v>762</v>
      </c>
      <c r="H165" s="298" t="s">
        <v>762</v>
      </c>
      <c r="I165" s="298" t="s">
        <v>762</v>
      </c>
      <c r="J165" s="298" t="s">
        <v>762</v>
      </c>
      <c r="K165" s="298" t="s">
        <v>762</v>
      </c>
      <c r="L165" s="298" t="s">
        <v>762</v>
      </c>
      <c r="M165" s="291"/>
    </row>
    <row r="166" spans="1:13" s="208" customFormat="1" ht="24" customHeight="1" x14ac:dyDescent="0.25">
      <c r="A166" s="291">
        <v>160</v>
      </c>
      <c r="B166" s="343"/>
      <c r="C166" s="342" t="s">
        <v>969</v>
      </c>
      <c r="D166" s="310" t="s">
        <v>907</v>
      </c>
      <c r="E166" s="311"/>
      <c r="F166" s="441" t="s">
        <v>165</v>
      </c>
      <c r="G166" s="441" t="s">
        <v>165</v>
      </c>
      <c r="H166" s="441" t="s">
        <v>165</v>
      </c>
      <c r="I166" s="441" t="s">
        <v>165</v>
      </c>
      <c r="J166" s="441" t="s">
        <v>165</v>
      </c>
      <c r="K166" s="441" t="s">
        <v>165</v>
      </c>
      <c r="L166" s="441" t="s">
        <v>165</v>
      </c>
      <c r="M166" s="291"/>
    </row>
    <row r="167" spans="1:13" s="208" customFormat="1" ht="24" customHeight="1" x14ac:dyDescent="0.25">
      <c r="A167" s="291">
        <v>161</v>
      </c>
      <c r="B167" s="343"/>
      <c r="C167" s="344"/>
      <c r="D167" s="306" t="s">
        <v>533</v>
      </c>
      <c r="E167" s="170"/>
      <c r="F167" s="298" t="s">
        <v>664</v>
      </c>
      <c r="G167" s="298" t="s">
        <v>448</v>
      </c>
      <c r="H167" s="298" t="s">
        <v>448</v>
      </c>
      <c r="I167" s="298" t="s">
        <v>448</v>
      </c>
      <c r="J167" s="298" t="s">
        <v>448</v>
      </c>
      <c r="K167" s="298" t="s">
        <v>448</v>
      </c>
      <c r="L167" s="298" t="s">
        <v>448</v>
      </c>
      <c r="M167" s="291"/>
    </row>
    <row r="168" spans="1:13" s="208" customFormat="1" ht="24" customHeight="1" x14ac:dyDescent="0.25">
      <c r="A168" s="291">
        <v>162</v>
      </c>
      <c r="B168" s="345"/>
      <c r="C168" s="314"/>
      <c r="D168" s="293" t="s">
        <v>524</v>
      </c>
      <c r="E168" s="444"/>
      <c r="F168" s="298" t="s">
        <v>762</v>
      </c>
      <c r="G168" s="298" t="s">
        <v>762</v>
      </c>
      <c r="H168" s="298" t="s">
        <v>762</v>
      </c>
      <c r="I168" s="298" t="s">
        <v>762</v>
      </c>
      <c r="J168" s="298" t="s">
        <v>762</v>
      </c>
      <c r="K168" s="298" t="s">
        <v>762</v>
      </c>
      <c r="L168" s="298" t="s">
        <v>762</v>
      </c>
      <c r="M168" s="291"/>
    </row>
    <row r="169" spans="1:13" s="208" customFormat="1" ht="24" customHeight="1" x14ac:dyDescent="0.25">
      <c r="A169" s="291">
        <v>163</v>
      </c>
      <c r="B169" s="343"/>
      <c r="C169" s="342" t="s">
        <v>1335</v>
      </c>
      <c r="D169" s="310" t="s">
        <v>792</v>
      </c>
      <c r="E169" s="311"/>
      <c r="F169" s="441" t="s">
        <v>165</v>
      </c>
      <c r="G169" s="441" t="s">
        <v>165</v>
      </c>
      <c r="H169" s="441" t="s">
        <v>165</v>
      </c>
      <c r="I169" s="441" t="s">
        <v>165</v>
      </c>
      <c r="J169" s="441" t="s">
        <v>165</v>
      </c>
      <c r="K169" s="441" t="s">
        <v>165</v>
      </c>
      <c r="L169" s="441" t="s">
        <v>165</v>
      </c>
      <c r="M169" s="363"/>
    </row>
    <row r="170" spans="1:13" s="208" customFormat="1" ht="24" customHeight="1" x14ac:dyDescent="0.25">
      <c r="A170" s="291">
        <v>164</v>
      </c>
      <c r="B170" s="343"/>
      <c r="C170" s="344"/>
      <c r="D170" s="293" t="s">
        <v>1336</v>
      </c>
      <c r="E170" s="311"/>
      <c r="F170" s="298" t="s">
        <v>664</v>
      </c>
      <c r="G170" s="298" t="s">
        <v>448</v>
      </c>
      <c r="H170" s="298" t="s">
        <v>448</v>
      </c>
      <c r="I170" s="298" t="s">
        <v>448</v>
      </c>
      <c r="J170" s="298" t="s">
        <v>448</v>
      </c>
      <c r="K170" s="298" t="s">
        <v>448</v>
      </c>
      <c r="L170" s="298" t="s">
        <v>448</v>
      </c>
      <c r="M170" s="291"/>
    </row>
    <row r="171" spans="1:13" s="208" customFormat="1" ht="24" customHeight="1" x14ac:dyDescent="0.25">
      <c r="A171" s="291">
        <v>165</v>
      </c>
      <c r="B171" s="343"/>
      <c r="C171" s="344"/>
      <c r="D171" s="293" t="s">
        <v>1337</v>
      </c>
      <c r="E171" s="311"/>
      <c r="F171" s="298" t="s">
        <v>448</v>
      </c>
      <c r="G171" s="298" t="s">
        <v>448</v>
      </c>
      <c r="H171" s="298" t="s">
        <v>448</v>
      </c>
      <c r="I171" s="298" t="s">
        <v>448</v>
      </c>
      <c r="J171" s="298" t="s">
        <v>448</v>
      </c>
      <c r="K171" s="298" t="s">
        <v>448</v>
      </c>
      <c r="L171" s="298" t="s">
        <v>448</v>
      </c>
      <c r="M171" s="291"/>
    </row>
    <row r="172" spans="1:13" s="208" customFormat="1" ht="24" customHeight="1" x14ac:dyDescent="0.25">
      <c r="A172" s="291">
        <v>166</v>
      </c>
      <c r="B172" s="343"/>
      <c r="C172" s="344"/>
      <c r="D172" s="293" t="s">
        <v>1338</v>
      </c>
      <c r="E172" s="311"/>
      <c r="F172" s="298" t="s">
        <v>448</v>
      </c>
      <c r="G172" s="298" t="s">
        <v>448</v>
      </c>
      <c r="H172" s="298" t="s">
        <v>448</v>
      </c>
      <c r="I172" s="298" t="s">
        <v>448</v>
      </c>
      <c r="J172" s="298" t="s">
        <v>448</v>
      </c>
      <c r="K172" s="298" t="s">
        <v>448</v>
      </c>
      <c r="L172" s="298" t="s">
        <v>448</v>
      </c>
      <c r="M172" s="291"/>
    </row>
    <row r="173" spans="1:13" s="208" customFormat="1" ht="24" customHeight="1" x14ac:dyDescent="0.25">
      <c r="A173" s="291">
        <v>167</v>
      </c>
      <c r="B173" s="343"/>
      <c r="C173" s="344"/>
      <c r="D173" s="438" t="s">
        <v>1339</v>
      </c>
      <c r="E173" s="311"/>
      <c r="F173" s="298" t="s">
        <v>664</v>
      </c>
      <c r="G173" s="298" t="s">
        <v>448</v>
      </c>
      <c r="H173" s="298" t="s">
        <v>448</v>
      </c>
      <c r="I173" s="298" t="s">
        <v>448</v>
      </c>
      <c r="J173" s="298" t="s">
        <v>448</v>
      </c>
      <c r="K173" s="298" t="s">
        <v>448</v>
      </c>
      <c r="L173" s="298" t="s">
        <v>448</v>
      </c>
      <c r="M173" s="291"/>
    </row>
    <row r="174" spans="1:13" s="208" customFormat="1" ht="24" customHeight="1" x14ac:dyDescent="0.25">
      <c r="A174" s="291">
        <v>168</v>
      </c>
      <c r="B174" s="343"/>
      <c r="C174" s="344"/>
      <c r="D174" s="438" t="s">
        <v>1340</v>
      </c>
      <c r="E174" s="311"/>
      <c r="F174" s="298" t="s">
        <v>448</v>
      </c>
      <c r="G174" s="298" t="s">
        <v>448</v>
      </c>
      <c r="H174" s="298" t="s">
        <v>448</v>
      </c>
      <c r="I174" s="298" t="s">
        <v>448</v>
      </c>
      <c r="J174" s="298" t="s">
        <v>448</v>
      </c>
      <c r="K174" s="298" t="s">
        <v>448</v>
      </c>
      <c r="L174" s="298" t="s">
        <v>448</v>
      </c>
      <c r="M174" s="291"/>
    </row>
    <row r="175" spans="1:13" s="208" customFormat="1" ht="24" customHeight="1" x14ac:dyDescent="0.25">
      <c r="A175" s="291">
        <v>169</v>
      </c>
      <c r="B175" s="343"/>
      <c r="C175" s="344"/>
      <c r="D175" s="438" t="s">
        <v>1341</v>
      </c>
      <c r="E175" s="311"/>
      <c r="F175" s="298" t="s">
        <v>448</v>
      </c>
      <c r="G175" s="298" t="s">
        <v>448</v>
      </c>
      <c r="H175" s="298" t="s">
        <v>448</v>
      </c>
      <c r="I175" s="298" t="s">
        <v>448</v>
      </c>
      <c r="J175" s="298" t="s">
        <v>448</v>
      </c>
      <c r="K175" s="298" t="s">
        <v>448</v>
      </c>
      <c r="L175" s="298" t="s">
        <v>448</v>
      </c>
      <c r="M175" s="291"/>
    </row>
    <row r="176" spans="1:13" s="208" customFormat="1" ht="24" customHeight="1" x14ac:dyDescent="0.25">
      <c r="A176" s="291">
        <v>170</v>
      </c>
      <c r="B176" s="345"/>
      <c r="C176" s="314"/>
      <c r="D176" s="293" t="s">
        <v>524</v>
      </c>
      <c r="E176" s="170"/>
      <c r="F176" s="298" t="s">
        <v>762</v>
      </c>
      <c r="G176" s="298" t="s">
        <v>762</v>
      </c>
      <c r="H176" s="298" t="s">
        <v>762</v>
      </c>
      <c r="I176" s="298" t="s">
        <v>762</v>
      </c>
      <c r="J176" s="298" t="s">
        <v>762</v>
      </c>
      <c r="K176" s="298" t="s">
        <v>762</v>
      </c>
      <c r="L176" s="298" t="s">
        <v>762</v>
      </c>
      <c r="M176" s="291"/>
    </row>
    <row r="177" spans="1:13" s="208" customFormat="1" ht="24" customHeight="1" x14ac:dyDescent="0.25">
      <c r="A177" s="291">
        <v>171</v>
      </c>
      <c r="B177" s="343"/>
      <c r="C177" s="342" t="s">
        <v>0</v>
      </c>
      <c r="D177" s="310" t="s">
        <v>792</v>
      </c>
      <c r="E177" s="444"/>
      <c r="F177" s="441" t="s">
        <v>165</v>
      </c>
      <c r="G177" s="441" t="s">
        <v>165</v>
      </c>
      <c r="H177" s="441" t="s">
        <v>165</v>
      </c>
      <c r="I177" s="441" t="s">
        <v>165</v>
      </c>
      <c r="J177" s="441" t="s">
        <v>165</v>
      </c>
      <c r="K177" s="441" t="s">
        <v>165</v>
      </c>
      <c r="L177" s="441" t="s">
        <v>165</v>
      </c>
      <c r="M177" s="291"/>
    </row>
    <row r="178" spans="1:13" s="208" customFormat="1" ht="24" customHeight="1" x14ac:dyDescent="0.25">
      <c r="A178" s="291">
        <v>172</v>
      </c>
      <c r="B178" s="343"/>
      <c r="C178" s="343"/>
      <c r="D178" s="293" t="s">
        <v>534</v>
      </c>
      <c r="E178" s="311"/>
      <c r="F178" s="298" t="s">
        <v>664</v>
      </c>
      <c r="G178" s="298" t="s">
        <v>448</v>
      </c>
      <c r="H178" s="298" t="s">
        <v>448</v>
      </c>
      <c r="I178" s="298" t="s">
        <v>448</v>
      </c>
      <c r="J178" s="298" t="s">
        <v>448</v>
      </c>
      <c r="K178" s="298" t="s">
        <v>448</v>
      </c>
      <c r="L178" s="298" t="s">
        <v>448</v>
      </c>
      <c r="M178" s="291"/>
    </row>
    <row r="179" spans="1:13" s="208" customFormat="1" ht="24" customHeight="1" x14ac:dyDescent="0.25">
      <c r="A179" s="291">
        <v>173</v>
      </c>
      <c r="B179" s="345"/>
      <c r="C179" s="314"/>
      <c r="D179" s="293" t="s">
        <v>524</v>
      </c>
      <c r="E179" s="170"/>
      <c r="F179" s="298" t="s">
        <v>762</v>
      </c>
      <c r="G179" s="298" t="s">
        <v>762</v>
      </c>
      <c r="H179" s="298" t="s">
        <v>762</v>
      </c>
      <c r="I179" s="298" t="s">
        <v>762</v>
      </c>
      <c r="J179" s="298" t="s">
        <v>762</v>
      </c>
      <c r="K179" s="298" t="s">
        <v>762</v>
      </c>
      <c r="L179" s="298" t="s">
        <v>762</v>
      </c>
      <c r="M179" s="291"/>
    </row>
    <row r="180" spans="1:13" s="208" customFormat="1" ht="24" customHeight="1" x14ac:dyDescent="0.25">
      <c r="A180" s="291">
        <v>174</v>
      </c>
      <c r="B180" s="343"/>
      <c r="C180" s="342" t="s">
        <v>1</v>
      </c>
      <c r="D180" s="310" t="s">
        <v>792</v>
      </c>
      <c r="E180" s="311"/>
      <c r="F180" s="441" t="s">
        <v>165</v>
      </c>
      <c r="G180" s="441" t="s">
        <v>165</v>
      </c>
      <c r="H180" s="441" t="s">
        <v>165</v>
      </c>
      <c r="I180" s="441" t="s">
        <v>165</v>
      </c>
      <c r="J180" s="441" t="s">
        <v>165</v>
      </c>
      <c r="K180" s="441" t="s">
        <v>165</v>
      </c>
      <c r="L180" s="441" t="s">
        <v>165</v>
      </c>
      <c r="M180" s="291"/>
    </row>
    <row r="181" spans="1:13" s="208" customFormat="1" ht="24" customHeight="1" x14ac:dyDescent="0.25">
      <c r="A181" s="291">
        <v>175</v>
      </c>
      <c r="B181" s="343"/>
      <c r="C181" s="343"/>
      <c r="D181" s="293" t="s">
        <v>535</v>
      </c>
      <c r="E181" s="311"/>
      <c r="F181" s="298" t="s">
        <v>664</v>
      </c>
      <c r="G181" s="298" t="s">
        <v>448</v>
      </c>
      <c r="H181" s="298" t="s">
        <v>448</v>
      </c>
      <c r="I181" s="298" t="s">
        <v>448</v>
      </c>
      <c r="J181" s="298" t="s">
        <v>448</v>
      </c>
      <c r="K181" s="298" t="s">
        <v>448</v>
      </c>
      <c r="L181" s="298" t="s">
        <v>448</v>
      </c>
      <c r="M181" s="291"/>
    </row>
    <row r="182" spans="1:13" s="208" customFormat="1" ht="24" customHeight="1" x14ac:dyDescent="0.25">
      <c r="A182" s="291">
        <v>176</v>
      </c>
      <c r="B182" s="345"/>
      <c r="C182" s="314"/>
      <c r="D182" s="293" t="s">
        <v>524</v>
      </c>
      <c r="E182" s="170"/>
      <c r="F182" s="298" t="s">
        <v>762</v>
      </c>
      <c r="G182" s="298" t="s">
        <v>762</v>
      </c>
      <c r="H182" s="298" t="s">
        <v>762</v>
      </c>
      <c r="I182" s="298" t="s">
        <v>762</v>
      </c>
      <c r="J182" s="298" t="s">
        <v>762</v>
      </c>
      <c r="K182" s="298" t="s">
        <v>762</v>
      </c>
      <c r="L182" s="298" t="s">
        <v>762</v>
      </c>
      <c r="M182" s="291"/>
    </row>
    <row r="183" spans="1:13" s="208" customFormat="1" ht="24" customHeight="1" x14ac:dyDescent="0.25">
      <c r="A183" s="291">
        <v>177</v>
      </c>
      <c r="B183" s="343"/>
      <c r="C183" s="342" t="s">
        <v>2</v>
      </c>
      <c r="D183" s="310" t="s">
        <v>792</v>
      </c>
      <c r="E183" s="311"/>
      <c r="F183" s="441" t="s">
        <v>165</v>
      </c>
      <c r="G183" s="441" t="s">
        <v>165</v>
      </c>
      <c r="H183" s="441" t="s">
        <v>165</v>
      </c>
      <c r="I183" s="441" t="s">
        <v>165</v>
      </c>
      <c r="J183" s="441" t="s">
        <v>165</v>
      </c>
      <c r="K183" s="441" t="s">
        <v>165</v>
      </c>
      <c r="L183" s="441" t="s">
        <v>165</v>
      </c>
      <c r="M183" s="291"/>
    </row>
    <row r="184" spans="1:13" s="208" customFormat="1" ht="24" customHeight="1" x14ac:dyDescent="0.25">
      <c r="A184" s="291">
        <v>178</v>
      </c>
      <c r="B184" s="343"/>
      <c r="C184" s="344"/>
      <c r="D184" s="293" t="s">
        <v>794</v>
      </c>
      <c r="E184" s="311"/>
      <c r="F184" s="298" t="s">
        <v>664</v>
      </c>
      <c r="G184" s="298" t="s">
        <v>448</v>
      </c>
      <c r="H184" s="298" t="s">
        <v>448</v>
      </c>
      <c r="I184" s="298" t="s">
        <v>448</v>
      </c>
      <c r="J184" s="298" t="s">
        <v>448</v>
      </c>
      <c r="K184" s="298" t="s">
        <v>448</v>
      </c>
      <c r="L184" s="298" t="s">
        <v>448</v>
      </c>
      <c r="M184" s="291"/>
    </row>
    <row r="185" spans="1:13" s="208" customFormat="1" ht="24" customHeight="1" x14ac:dyDescent="0.25">
      <c r="A185" s="291">
        <v>179</v>
      </c>
      <c r="B185" s="345"/>
      <c r="C185" s="314"/>
      <c r="D185" s="293" t="s">
        <v>524</v>
      </c>
      <c r="E185" s="170"/>
      <c r="F185" s="298" t="s">
        <v>762</v>
      </c>
      <c r="G185" s="298" t="s">
        <v>762</v>
      </c>
      <c r="H185" s="298" t="s">
        <v>762</v>
      </c>
      <c r="I185" s="298" t="s">
        <v>762</v>
      </c>
      <c r="J185" s="298" t="s">
        <v>762</v>
      </c>
      <c r="K185" s="298" t="s">
        <v>762</v>
      </c>
      <c r="L185" s="298" t="s">
        <v>762</v>
      </c>
      <c r="M185" s="291"/>
    </row>
    <row r="186" spans="1:13" s="208" customFormat="1" ht="24" customHeight="1" x14ac:dyDescent="0.25">
      <c r="A186" s="291">
        <v>180</v>
      </c>
      <c r="B186" s="350" t="s">
        <v>908</v>
      </c>
      <c r="C186" s="320" t="s">
        <v>631</v>
      </c>
      <c r="D186" s="299" t="s">
        <v>909</v>
      </c>
      <c r="E186" s="311"/>
      <c r="F186" s="441" t="s">
        <v>165</v>
      </c>
      <c r="G186" s="441" t="s">
        <v>165</v>
      </c>
      <c r="H186" s="441" t="s">
        <v>165</v>
      </c>
      <c r="I186" s="441" t="s">
        <v>165</v>
      </c>
      <c r="J186" s="441" t="s">
        <v>165</v>
      </c>
      <c r="K186" s="441" t="s">
        <v>165</v>
      </c>
      <c r="L186" s="441" t="s">
        <v>165</v>
      </c>
      <c r="M186" s="363"/>
    </row>
    <row r="187" spans="1:13" s="208" customFormat="1" ht="24" customHeight="1" x14ac:dyDescent="0.25">
      <c r="A187" s="291">
        <v>181</v>
      </c>
      <c r="B187" s="315"/>
      <c r="C187" s="323"/>
      <c r="D187" s="293" t="s">
        <v>910</v>
      </c>
      <c r="E187" s="311"/>
      <c r="F187" s="298" t="s">
        <v>664</v>
      </c>
      <c r="G187" s="298" t="s">
        <v>448</v>
      </c>
      <c r="H187" s="298" t="s">
        <v>448</v>
      </c>
      <c r="I187" s="298" t="s">
        <v>448</v>
      </c>
      <c r="J187" s="298" t="s">
        <v>448</v>
      </c>
      <c r="K187" s="298" t="s">
        <v>448</v>
      </c>
      <c r="L187" s="298" t="s">
        <v>448</v>
      </c>
      <c r="M187" s="291"/>
    </row>
    <row r="188" spans="1:13" s="208" customFormat="1" ht="24" customHeight="1" x14ac:dyDescent="0.25">
      <c r="A188" s="291">
        <v>182</v>
      </c>
      <c r="B188" s="325"/>
      <c r="C188" s="351"/>
      <c r="D188" s="293" t="s">
        <v>524</v>
      </c>
      <c r="E188" s="170"/>
      <c r="F188" s="298" t="s">
        <v>762</v>
      </c>
      <c r="G188" s="298" t="s">
        <v>762</v>
      </c>
      <c r="H188" s="298" t="s">
        <v>762</v>
      </c>
      <c r="I188" s="298" t="s">
        <v>762</v>
      </c>
      <c r="J188" s="298" t="s">
        <v>762</v>
      </c>
      <c r="K188" s="298" t="s">
        <v>762</v>
      </c>
      <c r="L188" s="298" t="s">
        <v>762</v>
      </c>
      <c r="M188" s="363"/>
    </row>
    <row r="189" spans="1:13" s="208" customFormat="1" ht="24" customHeight="1" x14ac:dyDescent="0.25">
      <c r="A189" s="291">
        <v>183</v>
      </c>
      <c r="B189" s="315"/>
      <c r="C189" s="320" t="s">
        <v>632</v>
      </c>
      <c r="D189" s="299" t="s">
        <v>792</v>
      </c>
      <c r="E189" s="311"/>
      <c r="F189" s="441" t="s">
        <v>165</v>
      </c>
      <c r="G189" s="298" t="s">
        <v>448</v>
      </c>
      <c r="H189" s="441" t="s">
        <v>165</v>
      </c>
      <c r="I189" s="441" t="s">
        <v>165</v>
      </c>
      <c r="J189" s="298" t="s">
        <v>448</v>
      </c>
      <c r="K189" s="441" t="s">
        <v>165</v>
      </c>
      <c r="L189" s="441" t="s">
        <v>165</v>
      </c>
      <c r="M189" s="291"/>
    </row>
    <row r="190" spans="1:13" s="208" customFormat="1" ht="24" customHeight="1" x14ac:dyDescent="0.25">
      <c r="A190" s="291">
        <v>184</v>
      </c>
      <c r="B190" s="315"/>
      <c r="C190" s="323"/>
      <c r="D190" s="293" t="s">
        <v>536</v>
      </c>
      <c r="E190" s="311"/>
      <c r="F190" s="298" t="s">
        <v>664</v>
      </c>
      <c r="G190" s="441" t="s">
        <v>165</v>
      </c>
      <c r="H190" s="298" t="s">
        <v>448</v>
      </c>
      <c r="I190" s="298" t="s">
        <v>448</v>
      </c>
      <c r="J190" s="441" t="s">
        <v>165</v>
      </c>
      <c r="K190" s="298" t="s">
        <v>448</v>
      </c>
      <c r="L190" s="298" t="s">
        <v>448</v>
      </c>
      <c r="M190" s="291"/>
    </row>
    <row r="191" spans="1:13" s="208" customFormat="1" ht="24" customHeight="1" x14ac:dyDescent="0.25">
      <c r="A191" s="291">
        <v>185</v>
      </c>
      <c r="B191" s="325"/>
      <c r="C191" s="351"/>
      <c r="D191" s="293" t="s">
        <v>524</v>
      </c>
      <c r="E191" s="170"/>
      <c r="F191" s="298" t="s">
        <v>762</v>
      </c>
      <c r="G191" s="298" t="s">
        <v>762</v>
      </c>
      <c r="H191" s="298" t="s">
        <v>762</v>
      </c>
      <c r="I191" s="298" t="s">
        <v>762</v>
      </c>
      <c r="J191" s="298" t="s">
        <v>762</v>
      </c>
      <c r="K191" s="298" t="s">
        <v>762</v>
      </c>
      <c r="L191" s="298" t="s">
        <v>762</v>
      </c>
      <c r="M191" s="363"/>
    </row>
    <row r="192" spans="1:13" s="208" customFormat="1" ht="24" customHeight="1" x14ac:dyDescent="0.25">
      <c r="A192" s="291">
        <v>186</v>
      </c>
      <c r="B192" s="315"/>
      <c r="C192" s="320" t="s">
        <v>612</v>
      </c>
      <c r="D192" s="299" t="s">
        <v>537</v>
      </c>
      <c r="E192" s="311"/>
      <c r="F192" s="441" t="s">
        <v>165</v>
      </c>
      <c r="G192" s="298" t="s">
        <v>448</v>
      </c>
      <c r="H192" s="441" t="s">
        <v>165</v>
      </c>
      <c r="I192" s="441" t="s">
        <v>165</v>
      </c>
      <c r="J192" s="298" t="s">
        <v>448</v>
      </c>
      <c r="K192" s="441" t="s">
        <v>165</v>
      </c>
      <c r="L192" s="441" t="s">
        <v>165</v>
      </c>
      <c r="M192" s="291"/>
    </row>
    <row r="193" spans="1:13" s="208" customFormat="1" ht="24" customHeight="1" x14ac:dyDescent="0.25">
      <c r="A193" s="291">
        <v>187</v>
      </c>
      <c r="B193" s="315"/>
      <c r="C193" s="323"/>
      <c r="D193" s="293" t="s">
        <v>538</v>
      </c>
      <c r="E193" s="311"/>
      <c r="F193" s="298" t="s">
        <v>664</v>
      </c>
      <c r="G193" s="441" t="s">
        <v>165</v>
      </c>
      <c r="H193" s="298" t="s">
        <v>448</v>
      </c>
      <c r="I193" s="298" t="s">
        <v>448</v>
      </c>
      <c r="J193" s="441" t="s">
        <v>165</v>
      </c>
      <c r="K193" s="298" t="s">
        <v>448</v>
      </c>
      <c r="L193" s="298" t="s">
        <v>448</v>
      </c>
      <c r="M193" s="291"/>
    </row>
    <row r="194" spans="1:13" s="208" customFormat="1" ht="24" customHeight="1" x14ac:dyDescent="0.25">
      <c r="A194" s="291">
        <v>188</v>
      </c>
      <c r="B194" s="325"/>
      <c r="C194" s="351"/>
      <c r="D194" s="293" t="s">
        <v>524</v>
      </c>
      <c r="E194" s="170"/>
      <c r="F194" s="298" t="s">
        <v>762</v>
      </c>
      <c r="G194" s="298" t="s">
        <v>762</v>
      </c>
      <c r="H194" s="298" t="s">
        <v>762</v>
      </c>
      <c r="I194" s="298" t="s">
        <v>762</v>
      </c>
      <c r="J194" s="298" t="s">
        <v>762</v>
      </c>
      <c r="K194" s="298" t="s">
        <v>762</v>
      </c>
      <c r="L194" s="298" t="s">
        <v>762</v>
      </c>
      <c r="M194" s="363"/>
    </row>
    <row r="195" spans="1:13" s="208" customFormat="1" ht="24" customHeight="1" x14ac:dyDescent="0.25">
      <c r="A195" s="291">
        <v>189</v>
      </c>
      <c r="B195" s="315"/>
      <c r="C195" s="320" t="s">
        <v>613</v>
      </c>
      <c r="D195" s="299" t="s">
        <v>911</v>
      </c>
      <c r="E195" s="311"/>
      <c r="F195" s="441" t="s">
        <v>165</v>
      </c>
      <c r="G195" s="441" t="s">
        <v>165</v>
      </c>
      <c r="H195" s="441" t="s">
        <v>165</v>
      </c>
      <c r="I195" s="441" t="s">
        <v>165</v>
      </c>
      <c r="J195" s="441" t="s">
        <v>165</v>
      </c>
      <c r="K195" s="441" t="s">
        <v>165</v>
      </c>
      <c r="L195" s="441" t="s">
        <v>165</v>
      </c>
      <c r="M195" s="291"/>
    </row>
    <row r="196" spans="1:13" s="208" customFormat="1" ht="24" customHeight="1" x14ac:dyDescent="0.25">
      <c r="A196" s="291">
        <v>190</v>
      </c>
      <c r="B196" s="315"/>
      <c r="C196" s="323"/>
      <c r="D196" s="305" t="s">
        <v>840</v>
      </c>
      <c r="E196" s="170"/>
      <c r="F196" s="298" t="s">
        <v>664</v>
      </c>
      <c r="G196" s="298" t="s">
        <v>448</v>
      </c>
      <c r="H196" s="298" t="s">
        <v>448</v>
      </c>
      <c r="I196" s="298" t="s">
        <v>448</v>
      </c>
      <c r="J196" s="298" t="s">
        <v>448</v>
      </c>
      <c r="K196" s="298" t="s">
        <v>448</v>
      </c>
      <c r="L196" s="298" t="s">
        <v>448</v>
      </c>
      <c r="M196" s="291"/>
    </row>
    <row r="197" spans="1:13" s="208" customFormat="1" ht="24" customHeight="1" x14ac:dyDescent="0.25">
      <c r="A197" s="291">
        <v>191</v>
      </c>
      <c r="B197" s="325"/>
      <c r="C197" s="351"/>
      <c r="D197" s="293" t="s">
        <v>524</v>
      </c>
      <c r="E197" s="311"/>
      <c r="F197" s="298" t="s">
        <v>762</v>
      </c>
      <c r="G197" s="298" t="s">
        <v>762</v>
      </c>
      <c r="H197" s="298" t="s">
        <v>762</v>
      </c>
      <c r="I197" s="298" t="s">
        <v>762</v>
      </c>
      <c r="J197" s="298" t="s">
        <v>762</v>
      </c>
      <c r="K197" s="298" t="s">
        <v>762</v>
      </c>
      <c r="L197" s="298" t="s">
        <v>762</v>
      </c>
      <c r="M197" s="291"/>
    </row>
    <row r="198" spans="1:13" s="208" customFormat="1" ht="24" customHeight="1" x14ac:dyDescent="0.25">
      <c r="A198" s="291">
        <v>192</v>
      </c>
      <c r="B198" s="315"/>
      <c r="C198" s="320" t="s">
        <v>614</v>
      </c>
      <c r="D198" s="299" t="s">
        <v>1156</v>
      </c>
      <c r="E198" s="311"/>
      <c r="F198" s="441" t="s">
        <v>165</v>
      </c>
      <c r="G198" s="441" t="s">
        <v>165</v>
      </c>
      <c r="H198" s="441" t="s">
        <v>165</v>
      </c>
      <c r="I198" s="441" t="s">
        <v>165</v>
      </c>
      <c r="J198" s="441" t="s">
        <v>165</v>
      </c>
      <c r="K198" s="441" t="s">
        <v>165</v>
      </c>
      <c r="L198" s="441" t="s">
        <v>165</v>
      </c>
      <c r="M198" s="291"/>
    </row>
    <row r="199" spans="1:13" s="208" customFormat="1" ht="24" customHeight="1" x14ac:dyDescent="0.25">
      <c r="A199" s="291">
        <v>193</v>
      </c>
      <c r="B199" s="315"/>
      <c r="C199" s="323"/>
      <c r="D199" s="293" t="s">
        <v>832</v>
      </c>
      <c r="E199" s="311"/>
      <c r="F199" s="298" t="s">
        <v>664</v>
      </c>
      <c r="G199" s="298" t="s">
        <v>448</v>
      </c>
      <c r="H199" s="298" t="s">
        <v>448</v>
      </c>
      <c r="I199" s="298" t="s">
        <v>448</v>
      </c>
      <c r="J199" s="298" t="s">
        <v>448</v>
      </c>
      <c r="K199" s="298" t="s">
        <v>448</v>
      </c>
      <c r="L199" s="298" t="s">
        <v>448</v>
      </c>
      <c r="M199" s="291"/>
    </row>
    <row r="200" spans="1:13" s="208" customFormat="1" ht="24" customHeight="1" x14ac:dyDescent="0.25">
      <c r="A200" s="291">
        <v>194</v>
      </c>
      <c r="B200" s="315"/>
      <c r="C200" s="323"/>
      <c r="D200" s="293" t="s">
        <v>833</v>
      </c>
      <c r="E200" s="311"/>
      <c r="F200" s="298" t="s">
        <v>664</v>
      </c>
      <c r="G200" s="298" t="s">
        <v>448</v>
      </c>
      <c r="H200" s="298" t="s">
        <v>448</v>
      </c>
      <c r="I200" s="298" t="s">
        <v>448</v>
      </c>
      <c r="J200" s="298" t="s">
        <v>448</v>
      </c>
      <c r="K200" s="298" t="s">
        <v>448</v>
      </c>
      <c r="L200" s="298" t="s">
        <v>448</v>
      </c>
      <c r="M200" s="291"/>
    </row>
    <row r="201" spans="1:13" s="208" customFormat="1" ht="24" customHeight="1" x14ac:dyDescent="0.25">
      <c r="A201" s="291">
        <v>195</v>
      </c>
      <c r="B201" s="325"/>
      <c r="C201" s="351"/>
      <c r="D201" s="293" t="s">
        <v>524</v>
      </c>
      <c r="E201" s="170"/>
      <c r="F201" s="298" t="s">
        <v>762</v>
      </c>
      <c r="G201" s="298" t="s">
        <v>762</v>
      </c>
      <c r="H201" s="298" t="s">
        <v>762</v>
      </c>
      <c r="I201" s="298" t="s">
        <v>762</v>
      </c>
      <c r="J201" s="298" t="s">
        <v>762</v>
      </c>
      <c r="K201" s="298" t="s">
        <v>762</v>
      </c>
      <c r="L201" s="298" t="s">
        <v>762</v>
      </c>
      <c r="M201" s="291"/>
    </row>
    <row r="202" spans="1:13" s="208" customFormat="1" ht="24" customHeight="1" x14ac:dyDescent="0.25">
      <c r="A202" s="291">
        <v>196</v>
      </c>
      <c r="B202" s="315"/>
      <c r="C202" s="320" t="s">
        <v>435</v>
      </c>
      <c r="D202" s="312" t="s">
        <v>834</v>
      </c>
      <c r="E202" s="311"/>
      <c r="F202" s="298" t="s">
        <v>664</v>
      </c>
      <c r="G202" s="441" t="s">
        <v>165</v>
      </c>
      <c r="H202" s="298" t="s">
        <v>448</v>
      </c>
      <c r="I202" s="298" t="s">
        <v>448</v>
      </c>
      <c r="J202" s="441" t="s">
        <v>165</v>
      </c>
      <c r="K202" s="298" t="s">
        <v>448</v>
      </c>
      <c r="L202" s="298" t="s">
        <v>448</v>
      </c>
      <c r="M202" s="291"/>
    </row>
    <row r="203" spans="1:13" s="208" customFormat="1" ht="24" customHeight="1" x14ac:dyDescent="0.25">
      <c r="A203" s="291">
        <v>197</v>
      </c>
      <c r="B203" s="315"/>
      <c r="C203" s="323"/>
      <c r="D203" s="306" t="s">
        <v>835</v>
      </c>
      <c r="E203" s="311"/>
      <c r="F203" s="298" t="s">
        <v>664</v>
      </c>
      <c r="G203" s="298" t="s">
        <v>448</v>
      </c>
      <c r="H203" s="298" t="s">
        <v>448</v>
      </c>
      <c r="I203" s="298" t="s">
        <v>448</v>
      </c>
      <c r="J203" s="298" t="s">
        <v>448</v>
      </c>
      <c r="K203" s="298" t="s">
        <v>448</v>
      </c>
      <c r="L203" s="298" t="s">
        <v>448</v>
      </c>
      <c r="M203" s="291"/>
    </row>
    <row r="204" spans="1:13" s="208" customFormat="1" ht="24" customHeight="1" x14ac:dyDescent="0.25">
      <c r="A204" s="291">
        <v>198</v>
      </c>
      <c r="B204" s="315"/>
      <c r="C204" s="323"/>
      <c r="D204" s="306" t="s">
        <v>836</v>
      </c>
      <c r="E204" s="311"/>
      <c r="F204" s="298" t="s">
        <v>664</v>
      </c>
      <c r="G204" s="298" t="s">
        <v>448</v>
      </c>
      <c r="H204" s="298" t="s">
        <v>448</v>
      </c>
      <c r="I204" s="298" t="s">
        <v>448</v>
      </c>
      <c r="J204" s="298" t="s">
        <v>448</v>
      </c>
      <c r="K204" s="298" t="s">
        <v>448</v>
      </c>
      <c r="L204" s="298" t="s">
        <v>448</v>
      </c>
      <c r="M204" s="291"/>
    </row>
    <row r="205" spans="1:13" s="208" customFormat="1" ht="24" customHeight="1" x14ac:dyDescent="0.25">
      <c r="A205" s="291">
        <v>199</v>
      </c>
      <c r="B205" s="315"/>
      <c r="C205" s="323"/>
      <c r="D205" s="306" t="s">
        <v>837</v>
      </c>
      <c r="E205" s="311"/>
      <c r="F205" s="441" t="s">
        <v>165</v>
      </c>
      <c r="G205" s="298" t="s">
        <v>448</v>
      </c>
      <c r="H205" s="441" t="s">
        <v>165</v>
      </c>
      <c r="I205" s="441" t="s">
        <v>165</v>
      </c>
      <c r="J205" s="298" t="s">
        <v>448</v>
      </c>
      <c r="K205" s="441" t="s">
        <v>165</v>
      </c>
      <c r="L205" s="441" t="s">
        <v>165</v>
      </c>
      <c r="M205" s="291"/>
    </row>
    <row r="206" spans="1:13" s="208" customFormat="1" ht="24" customHeight="1" x14ac:dyDescent="0.25">
      <c r="A206" s="291">
        <v>200</v>
      </c>
      <c r="B206" s="325"/>
      <c r="C206" s="351"/>
      <c r="D206" s="293" t="s">
        <v>524</v>
      </c>
      <c r="E206" s="311"/>
      <c r="F206" s="298" t="s">
        <v>762</v>
      </c>
      <c r="G206" s="298" t="s">
        <v>762</v>
      </c>
      <c r="H206" s="298" t="s">
        <v>762</v>
      </c>
      <c r="I206" s="298" t="s">
        <v>762</v>
      </c>
      <c r="J206" s="298" t="s">
        <v>762</v>
      </c>
      <c r="K206" s="298" t="s">
        <v>762</v>
      </c>
      <c r="L206" s="298" t="s">
        <v>762</v>
      </c>
      <c r="M206" s="363"/>
    </row>
    <row r="207" spans="1:13" s="208" customFormat="1" ht="24" customHeight="1" x14ac:dyDescent="0.25">
      <c r="A207" s="291">
        <v>201</v>
      </c>
      <c r="B207" s="315"/>
      <c r="C207" s="320" t="s">
        <v>622</v>
      </c>
      <c r="D207" s="299" t="s">
        <v>539</v>
      </c>
      <c r="E207" s="170"/>
      <c r="F207" s="441" t="s">
        <v>165</v>
      </c>
      <c r="G207" s="298" t="s">
        <v>448</v>
      </c>
      <c r="H207" s="441" t="s">
        <v>165</v>
      </c>
      <c r="I207" s="441" t="s">
        <v>165</v>
      </c>
      <c r="J207" s="298" t="s">
        <v>448</v>
      </c>
      <c r="K207" s="441" t="s">
        <v>165</v>
      </c>
      <c r="L207" s="441" t="s">
        <v>165</v>
      </c>
      <c r="M207" s="291"/>
    </row>
    <row r="208" spans="1:13" s="208" customFormat="1" ht="24" customHeight="1" x14ac:dyDescent="0.25">
      <c r="A208" s="291">
        <v>202</v>
      </c>
      <c r="B208" s="315"/>
      <c r="C208" s="323"/>
      <c r="D208" s="293" t="s">
        <v>838</v>
      </c>
      <c r="E208" s="311"/>
      <c r="F208" s="298" t="s">
        <v>664</v>
      </c>
      <c r="G208" s="441" t="s">
        <v>165</v>
      </c>
      <c r="H208" s="298" t="s">
        <v>448</v>
      </c>
      <c r="I208" s="298" t="s">
        <v>448</v>
      </c>
      <c r="J208" s="441" t="s">
        <v>165</v>
      </c>
      <c r="K208" s="298" t="s">
        <v>448</v>
      </c>
      <c r="L208" s="298" t="s">
        <v>448</v>
      </c>
      <c r="M208" s="291"/>
    </row>
    <row r="209" spans="1:13" s="208" customFormat="1" ht="24" customHeight="1" x14ac:dyDescent="0.25">
      <c r="A209" s="291">
        <v>203</v>
      </c>
      <c r="B209" s="315"/>
      <c r="C209" s="323"/>
      <c r="D209" s="293" t="s">
        <v>839</v>
      </c>
      <c r="E209" s="311"/>
      <c r="F209" s="298" t="s">
        <v>664</v>
      </c>
      <c r="G209" s="298" t="s">
        <v>448</v>
      </c>
      <c r="H209" s="298" t="s">
        <v>448</v>
      </c>
      <c r="I209" s="298" t="s">
        <v>448</v>
      </c>
      <c r="J209" s="298" t="s">
        <v>448</v>
      </c>
      <c r="K209" s="298" t="s">
        <v>448</v>
      </c>
      <c r="L209" s="298" t="s">
        <v>448</v>
      </c>
      <c r="M209" s="291"/>
    </row>
    <row r="210" spans="1:13" s="208" customFormat="1" ht="24" customHeight="1" x14ac:dyDescent="0.25">
      <c r="A210" s="291">
        <v>204</v>
      </c>
      <c r="B210" s="325"/>
      <c r="C210" s="351"/>
      <c r="D210" s="293" t="s">
        <v>524</v>
      </c>
      <c r="E210" s="311"/>
      <c r="F210" s="298" t="s">
        <v>762</v>
      </c>
      <c r="G210" s="298" t="s">
        <v>762</v>
      </c>
      <c r="H210" s="298" t="s">
        <v>762</v>
      </c>
      <c r="I210" s="298" t="s">
        <v>762</v>
      </c>
      <c r="J210" s="298" t="s">
        <v>762</v>
      </c>
      <c r="K210" s="298" t="s">
        <v>762</v>
      </c>
      <c r="L210" s="298" t="s">
        <v>762</v>
      </c>
      <c r="M210" s="291"/>
    </row>
    <row r="211" spans="1:13" s="208" customFormat="1" ht="24" customHeight="1" x14ac:dyDescent="0.25">
      <c r="A211" s="291">
        <v>205</v>
      </c>
      <c r="B211" s="325"/>
      <c r="C211" s="326" t="s">
        <v>17</v>
      </c>
      <c r="D211" s="299" t="s">
        <v>792</v>
      </c>
      <c r="E211" s="170"/>
      <c r="F211" s="441" t="s">
        <v>165</v>
      </c>
      <c r="G211" s="298" t="s">
        <v>448</v>
      </c>
      <c r="H211" s="441" t="s">
        <v>165</v>
      </c>
      <c r="I211" s="441" t="s">
        <v>165</v>
      </c>
      <c r="J211" s="298" t="s">
        <v>448</v>
      </c>
      <c r="K211" s="441" t="s">
        <v>165</v>
      </c>
      <c r="L211" s="441" t="s">
        <v>165</v>
      </c>
      <c r="M211" s="291"/>
    </row>
    <row r="212" spans="1:13" s="208" customFormat="1" ht="24" customHeight="1" x14ac:dyDescent="0.25">
      <c r="A212" s="291">
        <v>206</v>
      </c>
      <c r="B212" s="325"/>
      <c r="C212" s="326"/>
      <c r="D212" s="293" t="s">
        <v>794</v>
      </c>
      <c r="E212" s="311"/>
      <c r="F212" s="298" t="s">
        <v>664</v>
      </c>
      <c r="G212" s="441" t="s">
        <v>165</v>
      </c>
      <c r="H212" s="298" t="s">
        <v>448</v>
      </c>
      <c r="I212" s="298" t="s">
        <v>448</v>
      </c>
      <c r="J212" s="441" t="s">
        <v>165</v>
      </c>
      <c r="K212" s="298" t="s">
        <v>448</v>
      </c>
      <c r="L212" s="298" t="s">
        <v>448</v>
      </c>
      <c r="M212" s="291"/>
    </row>
    <row r="213" spans="1:13" s="208" customFormat="1" ht="24" customHeight="1" x14ac:dyDescent="0.25">
      <c r="A213" s="291">
        <v>207</v>
      </c>
      <c r="B213" s="325"/>
      <c r="C213" s="326"/>
      <c r="D213" s="293" t="s">
        <v>524</v>
      </c>
      <c r="E213" s="311"/>
      <c r="F213" s="298" t="s">
        <v>762</v>
      </c>
      <c r="G213" s="298" t="s">
        <v>762</v>
      </c>
      <c r="H213" s="298" t="s">
        <v>762</v>
      </c>
      <c r="I213" s="298" t="s">
        <v>762</v>
      </c>
      <c r="J213" s="298" t="s">
        <v>762</v>
      </c>
      <c r="K213" s="298" t="s">
        <v>762</v>
      </c>
      <c r="L213" s="298" t="s">
        <v>762</v>
      </c>
      <c r="M213" s="291"/>
    </row>
    <row r="214" spans="1:13" s="208" customFormat="1" ht="24" customHeight="1" x14ac:dyDescent="0.25">
      <c r="A214" s="291">
        <v>208</v>
      </c>
      <c r="B214" s="315"/>
      <c r="C214" s="320" t="s">
        <v>18</v>
      </c>
      <c r="D214" s="299" t="s">
        <v>912</v>
      </c>
      <c r="E214" s="311"/>
      <c r="F214" s="441" t="s">
        <v>165</v>
      </c>
      <c r="G214" s="441" t="s">
        <v>165</v>
      </c>
      <c r="H214" s="441" t="s">
        <v>165</v>
      </c>
      <c r="I214" s="441" t="s">
        <v>165</v>
      </c>
      <c r="J214" s="441" t="s">
        <v>165</v>
      </c>
      <c r="K214" s="441" t="s">
        <v>165</v>
      </c>
      <c r="L214" s="441" t="s">
        <v>165</v>
      </c>
      <c r="M214" s="291"/>
    </row>
    <row r="215" spans="1:13" s="208" customFormat="1" ht="24" customHeight="1" x14ac:dyDescent="0.25">
      <c r="A215" s="291">
        <v>209</v>
      </c>
      <c r="B215" s="315"/>
      <c r="C215" s="323"/>
      <c r="D215" s="293" t="s">
        <v>1055</v>
      </c>
      <c r="E215" s="170"/>
      <c r="F215" s="298" t="s">
        <v>664</v>
      </c>
      <c r="G215" s="298" t="s">
        <v>448</v>
      </c>
      <c r="H215" s="298" t="s">
        <v>448</v>
      </c>
      <c r="I215" s="298" t="s">
        <v>448</v>
      </c>
      <c r="J215" s="298" t="s">
        <v>448</v>
      </c>
      <c r="K215" s="298" t="s">
        <v>448</v>
      </c>
      <c r="L215" s="298" t="s">
        <v>448</v>
      </c>
      <c r="M215" s="291"/>
    </row>
    <row r="216" spans="1:13" s="208" customFormat="1" ht="24" customHeight="1" x14ac:dyDescent="0.25">
      <c r="A216" s="291">
        <v>210</v>
      </c>
      <c r="B216" s="325"/>
      <c r="C216" s="351"/>
      <c r="D216" s="293" t="s">
        <v>524</v>
      </c>
      <c r="E216" s="311"/>
      <c r="F216" s="298" t="s">
        <v>762</v>
      </c>
      <c r="G216" s="298" t="s">
        <v>762</v>
      </c>
      <c r="H216" s="298" t="s">
        <v>762</v>
      </c>
      <c r="I216" s="298" t="s">
        <v>762</v>
      </c>
      <c r="J216" s="298" t="s">
        <v>762</v>
      </c>
      <c r="K216" s="298" t="s">
        <v>762</v>
      </c>
      <c r="L216" s="298" t="s">
        <v>762</v>
      </c>
      <c r="M216" s="291"/>
    </row>
    <row r="217" spans="1:13" s="208" customFormat="1" ht="24" customHeight="1" x14ac:dyDescent="0.25">
      <c r="A217" s="291">
        <v>211</v>
      </c>
      <c r="B217" s="315"/>
      <c r="C217" s="320" t="s">
        <v>19</v>
      </c>
      <c r="D217" s="299" t="s">
        <v>540</v>
      </c>
      <c r="E217" s="301"/>
      <c r="F217" s="441" t="s">
        <v>165</v>
      </c>
      <c r="G217" s="441" t="s">
        <v>165</v>
      </c>
      <c r="H217" s="441" t="s">
        <v>165</v>
      </c>
      <c r="I217" s="441" t="s">
        <v>165</v>
      </c>
      <c r="J217" s="441" t="s">
        <v>165</v>
      </c>
      <c r="K217" s="441" t="s">
        <v>165</v>
      </c>
      <c r="L217" s="441" t="s">
        <v>165</v>
      </c>
      <c r="M217" s="291"/>
    </row>
    <row r="218" spans="1:13" s="208" customFormat="1" ht="24" customHeight="1" x14ac:dyDescent="0.25">
      <c r="A218" s="291">
        <v>212</v>
      </c>
      <c r="B218" s="315"/>
      <c r="C218" s="323"/>
      <c r="D218" s="293" t="s">
        <v>541</v>
      </c>
      <c r="E218" s="170"/>
      <c r="F218" s="298" t="s">
        <v>664</v>
      </c>
      <c r="G218" s="298" t="s">
        <v>448</v>
      </c>
      <c r="H218" s="298" t="s">
        <v>448</v>
      </c>
      <c r="I218" s="298" t="s">
        <v>448</v>
      </c>
      <c r="J218" s="298" t="s">
        <v>448</v>
      </c>
      <c r="K218" s="298" t="s">
        <v>448</v>
      </c>
      <c r="L218" s="298" t="s">
        <v>448</v>
      </c>
      <c r="M218" s="363"/>
    </row>
    <row r="219" spans="1:13" s="208" customFormat="1" ht="24" customHeight="1" x14ac:dyDescent="0.25">
      <c r="A219" s="291">
        <v>213</v>
      </c>
      <c r="B219" s="315"/>
      <c r="C219" s="323"/>
      <c r="D219" s="293" t="s">
        <v>542</v>
      </c>
      <c r="E219" s="301"/>
      <c r="F219" s="298" t="s">
        <v>664</v>
      </c>
      <c r="G219" s="298" t="s">
        <v>448</v>
      </c>
      <c r="H219" s="298" t="s">
        <v>448</v>
      </c>
      <c r="I219" s="298" t="s">
        <v>448</v>
      </c>
      <c r="J219" s="298" t="s">
        <v>448</v>
      </c>
      <c r="K219" s="298" t="s">
        <v>448</v>
      </c>
      <c r="L219" s="298" t="s">
        <v>448</v>
      </c>
      <c r="M219" s="291"/>
    </row>
    <row r="220" spans="1:13" s="208" customFormat="1" ht="24" customHeight="1" x14ac:dyDescent="0.25">
      <c r="A220" s="291">
        <v>214</v>
      </c>
      <c r="B220" s="315"/>
      <c r="C220" s="323"/>
      <c r="D220" s="293" t="s">
        <v>543</v>
      </c>
      <c r="E220" s="301"/>
      <c r="F220" s="298" t="s">
        <v>664</v>
      </c>
      <c r="G220" s="298" t="s">
        <v>448</v>
      </c>
      <c r="H220" s="298" t="s">
        <v>448</v>
      </c>
      <c r="I220" s="298" t="s">
        <v>448</v>
      </c>
      <c r="J220" s="298" t="s">
        <v>448</v>
      </c>
      <c r="K220" s="298" t="s">
        <v>448</v>
      </c>
      <c r="L220" s="298" t="s">
        <v>448</v>
      </c>
      <c r="M220" s="291"/>
    </row>
    <row r="221" spans="1:13" s="208" customFormat="1" ht="24" customHeight="1" x14ac:dyDescent="0.25">
      <c r="A221" s="291">
        <v>215</v>
      </c>
      <c r="B221" s="315"/>
      <c r="C221" s="323"/>
      <c r="D221" s="293" t="s">
        <v>544</v>
      </c>
      <c r="E221" s="170"/>
      <c r="F221" s="298" t="s">
        <v>664</v>
      </c>
      <c r="G221" s="298" t="s">
        <v>448</v>
      </c>
      <c r="H221" s="298" t="s">
        <v>448</v>
      </c>
      <c r="I221" s="298" t="s">
        <v>448</v>
      </c>
      <c r="J221" s="298" t="s">
        <v>448</v>
      </c>
      <c r="K221" s="298" t="s">
        <v>448</v>
      </c>
      <c r="L221" s="298" t="s">
        <v>448</v>
      </c>
      <c r="M221" s="308"/>
    </row>
    <row r="222" spans="1:13" s="208" customFormat="1" ht="24" customHeight="1" x14ac:dyDescent="0.25">
      <c r="A222" s="291">
        <v>216</v>
      </c>
      <c r="B222" s="315"/>
      <c r="C222" s="323"/>
      <c r="D222" s="293" t="s">
        <v>545</v>
      </c>
      <c r="E222" s="311"/>
      <c r="F222" s="298" t="s">
        <v>664</v>
      </c>
      <c r="G222" s="298" t="s">
        <v>448</v>
      </c>
      <c r="H222" s="298" t="s">
        <v>448</v>
      </c>
      <c r="I222" s="298" t="s">
        <v>448</v>
      </c>
      <c r="J222" s="298" t="s">
        <v>448</v>
      </c>
      <c r="K222" s="298" t="s">
        <v>448</v>
      </c>
      <c r="L222" s="298" t="s">
        <v>448</v>
      </c>
      <c r="M222" s="363"/>
    </row>
    <row r="223" spans="1:13" s="208" customFormat="1" ht="24" customHeight="1" x14ac:dyDescent="0.25">
      <c r="A223" s="291">
        <v>217</v>
      </c>
      <c r="B223" s="315"/>
      <c r="C223" s="323"/>
      <c r="D223" s="293" t="s">
        <v>546</v>
      </c>
      <c r="E223" s="311"/>
      <c r="F223" s="298" t="s">
        <v>664</v>
      </c>
      <c r="G223" s="298" t="s">
        <v>448</v>
      </c>
      <c r="H223" s="298" t="s">
        <v>448</v>
      </c>
      <c r="I223" s="298" t="s">
        <v>448</v>
      </c>
      <c r="J223" s="298" t="s">
        <v>448</v>
      </c>
      <c r="K223" s="298" t="s">
        <v>448</v>
      </c>
      <c r="L223" s="298" t="s">
        <v>448</v>
      </c>
      <c r="M223" s="291"/>
    </row>
    <row r="224" spans="1:13" s="208" customFormat="1" ht="24" customHeight="1" x14ac:dyDescent="0.25">
      <c r="A224" s="291">
        <v>218</v>
      </c>
      <c r="B224" s="315"/>
      <c r="C224" s="323"/>
      <c r="D224" s="293" t="s">
        <v>547</v>
      </c>
      <c r="E224" s="170"/>
      <c r="F224" s="298" t="s">
        <v>664</v>
      </c>
      <c r="G224" s="298" t="s">
        <v>448</v>
      </c>
      <c r="H224" s="298" t="s">
        <v>448</v>
      </c>
      <c r="I224" s="298" t="s">
        <v>448</v>
      </c>
      <c r="J224" s="298" t="s">
        <v>448</v>
      </c>
      <c r="K224" s="298" t="s">
        <v>448</v>
      </c>
      <c r="L224" s="298" t="s">
        <v>448</v>
      </c>
      <c r="M224" s="291"/>
    </row>
    <row r="225" spans="1:13" s="208" customFormat="1" ht="24" customHeight="1" x14ac:dyDescent="0.25">
      <c r="A225" s="291">
        <v>219</v>
      </c>
      <c r="B225" s="315"/>
      <c r="C225" s="323"/>
      <c r="D225" s="293" t="s">
        <v>566</v>
      </c>
      <c r="E225" s="311"/>
      <c r="F225" s="298" t="s">
        <v>664</v>
      </c>
      <c r="G225" s="298" t="s">
        <v>448</v>
      </c>
      <c r="H225" s="298" t="s">
        <v>448</v>
      </c>
      <c r="I225" s="298" t="s">
        <v>448</v>
      </c>
      <c r="J225" s="298" t="s">
        <v>448</v>
      </c>
      <c r="K225" s="298" t="s">
        <v>448</v>
      </c>
      <c r="L225" s="298" t="s">
        <v>448</v>
      </c>
      <c r="M225" s="308"/>
    </row>
    <row r="226" spans="1:13" s="208" customFormat="1" ht="24" customHeight="1" x14ac:dyDescent="0.25">
      <c r="A226" s="291">
        <v>220</v>
      </c>
      <c r="B226" s="315"/>
      <c r="C226" s="323"/>
      <c r="D226" s="293" t="s">
        <v>567</v>
      </c>
      <c r="E226" s="311"/>
      <c r="F226" s="298" t="s">
        <v>664</v>
      </c>
      <c r="G226" s="298" t="s">
        <v>448</v>
      </c>
      <c r="H226" s="298" t="s">
        <v>448</v>
      </c>
      <c r="I226" s="298" t="s">
        <v>448</v>
      </c>
      <c r="J226" s="298" t="s">
        <v>448</v>
      </c>
      <c r="K226" s="298" t="s">
        <v>448</v>
      </c>
      <c r="L226" s="298" t="s">
        <v>448</v>
      </c>
      <c r="M226" s="363"/>
    </row>
    <row r="227" spans="1:13" s="208" customFormat="1" ht="24" customHeight="1" x14ac:dyDescent="0.25">
      <c r="A227" s="291">
        <v>221</v>
      </c>
      <c r="B227" s="315"/>
      <c r="C227" s="323"/>
      <c r="D227" s="293" t="s">
        <v>568</v>
      </c>
      <c r="E227" s="170"/>
      <c r="F227" s="298" t="s">
        <v>664</v>
      </c>
      <c r="G227" s="298" t="s">
        <v>448</v>
      </c>
      <c r="H227" s="298" t="s">
        <v>448</v>
      </c>
      <c r="I227" s="298" t="s">
        <v>448</v>
      </c>
      <c r="J227" s="298" t="s">
        <v>448</v>
      </c>
      <c r="K227" s="298" t="s">
        <v>448</v>
      </c>
      <c r="L227" s="298" t="s">
        <v>448</v>
      </c>
      <c r="M227" s="291"/>
    </row>
    <row r="228" spans="1:13" s="208" customFormat="1" ht="24" customHeight="1" x14ac:dyDescent="0.25">
      <c r="A228" s="291">
        <v>222</v>
      </c>
      <c r="B228" s="315"/>
      <c r="C228" s="323"/>
      <c r="D228" s="293" t="s">
        <v>569</v>
      </c>
      <c r="E228" s="311"/>
      <c r="F228" s="298" t="s">
        <v>664</v>
      </c>
      <c r="G228" s="298" t="s">
        <v>448</v>
      </c>
      <c r="H228" s="298" t="s">
        <v>448</v>
      </c>
      <c r="I228" s="298" t="s">
        <v>448</v>
      </c>
      <c r="J228" s="298" t="s">
        <v>448</v>
      </c>
      <c r="K228" s="298" t="s">
        <v>448</v>
      </c>
      <c r="L228" s="298" t="s">
        <v>448</v>
      </c>
      <c r="M228" s="291"/>
    </row>
    <row r="229" spans="1:13" s="208" customFormat="1" ht="24" customHeight="1" x14ac:dyDescent="0.25">
      <c r="A229" s="291">
        <v>223</v>
      </c>
      <c r="B229" s="325"/>
      <c r="C229" s="351"/>
      <c r="D229" s="293" t="s">
        <v>524</v>
      </c>
      <c r="E229" s="311"/>
      <c r="F229" s="298" t="s">
        <v>762</v>
      </c>
      <c r="G229" s="298" t="s">
        <v>762</v>
      </c>
      <c r="H229" s="298" t="s">
        <v>762</v>
      </c>
      <c r="I229" s="298" t="s">
        <v>762</v>
      </c>
      <c r="J229" s="298" t="s">
        <v>762</v>
      </c>
      <c r="K229" s="298" t="s">
        <v>762</v>
      </c>
      <c r="L229" s="298" t="s">
        <v>762</v>
      </c>
      <c r="M229" s="308"/>
    </row>
    <row r="230" spans="1:13" s="208" customFormat="1" ht="24" customHeight="1" x14ac:dyDescent="0.25">
      <c r="A230" s="291">
        <v>224</v>
      </c>
      <c r="B230" s="336" t="s">
        <v>786</v>
      </c>
      <c r="C230" s="337" t="s">
        <v>623</v>
      </c>
      <c r="D230" s="309" t="s">
        <v>1091</v>
      </c>
      <c r="E230" s="170"/>
      <c r="F230" s="441" t="s">
        <v>165</v>
      </c>
      <c r="G230" s="499" t="s">
        <v>663</v>
      </c>
      <c r="H230" s="441" t="s">
        <v>165</v>
      </c>
      <c r="I230" s="499" t="s">
        <v>663</v>
      </c>
      <c r="J230" s="499" t="s">
        <v>663</v>
      </c>
      <c r="K230" s="499" t="s">
        <v>663</v>
      </c>
      <c r="L230" s="499" t="s">
        <v>663</v>
      </c>
      <c r="M230" s="363"/>
    </row>
    <row r="231" spans="1:13" s="208" customFormat="1" ht="24" customHeight="1" x14ac:dyDescent="0.25">
      <c r="A231" s="291">
        <v>225</v>
      </c>
      <c r="B231" s="313"/>
      <c r="C231" s="338"/>
      <c r="D231" s="436" t="s">
        <v>1172</v>
      </c>
      <c r="E231" s="311"/>
      <c r="F231" s="499" t="s">
        <v>663</v>
      </c>
      <c r="G231" s="441" t="s">
        <v>165</v>
      </c>
      <c r="H231" s="499" t="s">
        <v>663</v>
      </c>
      <c r="I231" s="499" t="s">
        <v>663</v>
      </c>
      <c r="J231" s="499" t="s">
        <v>663</v>
      </c>
      <c r="K231" s="499" t="s">
        <v>663</v>
      </c>
      <c r="L231" s="499" t="s">
        <v>663</v>
      </c>
      <c r="M231" s="291"/>
    </row>
    <row r="232" spans="1:13" s="208" customFormat="1" ht="24" customHeight="1" x14ac:dyDescent="0.25">
      <c r="A232" s="291">
        <v>226</v>
      </c>
      <c r="B232" s="313"/>
      <c r="C232" s="338"/>
      <c r="D232" s="436" t="s">
        <v>1173</v>
      </c>
      <c r="E232" s="311"/>
      <c r="F232" s="499" t="s">
        <v>663</v>
      </c>
      <c r="G232" s="298" t="s">
        <v>448</v>
      </c>
      <c r="H232" s="499" t="s">
        <v>663</v>
      </c>
      <c r="I232" s="499" t="s">
        <v>663</v>
      </c>
      <c r="J232" s="499" t="s">
        <v>663</v>
      </c>
      <c r="K232" s="499" t="s">
        <v>663</v>
      </c>
      <c r="L232" s="499" t="s">
        <v>663</v>
      </c>
      <c r="M232" s="363"/>
    </row>
    <row r="233" spans="1:13" s="208" customFormat="1" ht="24" customHeight="1" x14ac:dyDescent="0.25">
      <c r="A233" s="291">
        <v>227</v>
      </c>
      <c r="B233" s="313"/>
      <c r="C233" s="338"/>
      <c r="D233" s="436" t="s">
        <v>1174</v>
      </c>
      <c r="E233" s="170"/>
      <c r="F233" s="499" t="s">
        <v>663</v>
      </c>
      <c r="G233" s="298" t="s">
        <v>448</v>
      </c>
      <c r="H233" s="499" t="s">
        <v>663</v>
      </c>
      <c r="I233" s="499" t="s">
        <v>663</v>
      </c>
      <c r="J233" s="499" t="s">
        <v>663</v>
      </c>
      <c r="K233" s="499" t="s">
        <v>663</v>
      </c>
      <c r="L233" s="499" t="s">
        <v>663</v>
      </c>
      <c r="M233" s="291"/>
    </row>
    <row r="234" spans="1:13" s="208" customFormat="1" ht="24" customHeight="1" x14ac:dyDescent="0.25">
      <c r="A234" s="291">
        <v>228</v>
      </c>
      <c r="B234" s="313"/>
      <c r="C234" s="338"/>
      <c r="D234" s="306" t="s">
        <v>1175</v>
      </c>
      <c r="E234" s="306"/>
      <c r="F234" s="298" t="s">
        <v>664</v>
      </c>
      <c r="G234" s="298" t="s">
        <v>448</v>
      </c>
      <c r="H234" s="298" t="s">
        <v>448</v>
      </c>
      <c r="I234" s="499" t="s">
        <v>663</v>
      </c>
      <c r="J234" s="499" t="s">
        <v>663</v>
      </c>
      <c r="K234" s="499" t="s">
        <v>663</v>
      </c>
      <c r="L234" s="499" t="s">
        <v>663</v>
      </c>
      <c r="M234" s="363"/>
    </row>
    <row r="235" spans="1:13" s="208" customFormat="1" ht="24" customHeight="1" x14ac:dyDescent="0.25">
      <c r="A235" s="291">
        <v>229</v>
      </c>
      <c r="B235" s="313"/>
      <c r="C235" s="338"/>
      <c r="D235" s="306" t="s">
        <v>1099</v>
      </c>
      <c r="E235" s="306"/>
      <c r="F235" s="298" t="s">
        <v>664</v>
      </c>
      <c r="G235" s="298" t="s">
        <v>448</v>
      </c>
      <c r="H235" s="298" t="s">
        <v>448</v>
      </c>
      <c r="I235" s="499" t="s">
        <v>663</v>
      </c>
      <c r="J235" s="499" t="s">
        <v>663</v>
      </c>
      <c r="K235" s="499" t="s">
        <v>663</v>
      </c>
      <c r="L235" s="499" t="s">
        <v>663</v>
      </c>
      <c r="M235" s="291"/>
    </row>
    <row r="236" spans="1:13" s="208" customFormat="1" ht="24" customHeight="1" x14ac:dyDescent="0.25">
      <c r="A236" s="291">
        <v>230</v>
      </c>
      <c r="B236" s="313"/>
      <c r="C236" s="338"/>
      <c r="D236" s="464" t="s">
        <v>1176</v>
      </c>
      <c r="E236" s="352"/>
      <c r="F236" s="499" t="s">
        <v>663</v>
      </c>
      <c r="G236" s="499" t="s">
        <v>663</v>
      </c>
      <c r="H236" s="499" t="s">
        <v>663</v>
      </c>
      <c r="I236" s="441" t="s">
        <v>165</v>
      </c>
      <c r="J236" s="298" t="s">
        <v>448</v>
      </c>
      <c r="K236" s="499" t="s">
        <v>663</v>
      </c>
      <c r="L236" s="499" t="s">
        <v>663</v>
      </c>
      <c r="M236" s="291"/>
    </row>
    <row r="237" spans="1:13" s="208" customFormat="1" ht="24" customHeight="1" x14ac:dyDescent="0.25">
      <c r="A237" s="291">
        <v>231</v>
      </c>
      <c r="B237" s="313"/>
      <c r="C237" s="338"/>
      <c r="D237" s="464" t="s">
        <v>1177</v>
      </c>
      <c r="E237" s="352"/>
      <c r="F237" s="499" t="s">
        <v>663</v>
      </c>
      <c r="G237" s="499" t="s">
        <v>663</v>
      </c>
      <c r="H237" s="499" t="s">
        <v>663</v>
      </c>
      <c r="I237" s="298" t="s">
        <v>448</v>
      </c>
      <c r="J237" s="298" t="s">
        <v>448</v>
      </c>
      <c r="K237" s="499" t="s">
        <v>663</v>
      </c>
      <c r="L237" s="499" t="s">
        <v>663</v>
      </c>
      <c r="M237" s="291"/>
    </row>
    <row r="238" spans="1:13" s="208" customFormat="1" ht="24" customHeight="1" x14ac:dyDescent="0.25">
      <c r="A238" s="291">
        <v>232</v>
      </c>
      <c r="B238" s="313"/>
      <c r="C238" s="338"/>
      <c r="D238" s="464" t="s">
        <v>1328</v>
      </c>
      <c r="E238" s="352"/>
      <c r="F238" s="499" t="s">
        <v>663</v>
      </c>
      <c r="G238" s="499" t="s">
        <v>663</v>
      </c>
      <c r="H238" s="499" t="s">
        <v>663</v>
      </c>
      <c r="I238" s="298" t="s">
        <v>448</v>
      </c>
      <c r="J238" s="441" t="s">
        <v>165</v>
      </c>
      <c r="K238" s="441" t="s">
        <v>165</v>
      </c>
      <c r="L238" s="441" t="s">
        <v>165</v>
      </c>
      <c r="M238" s="291"/>
    </row>
    <row r="239" spans="1:13" s="208" customFormat="1" ht="24" customHeight="1" x14ac:dyDescent="0.25">
      <c r="A239" s="291">
        <v>233</v>
      </c>
      <c r="B239" s="313"/>
      <c r="C239" s="338"/>
      <c r="D239" s="464" t="s">
        <v>1329</v>
      </c>
      <c r="E239" s="352"/>
      <c r="F239" s="499" t="s">
        <v>663</v>
      </c>
      <c r="G239" s="499" t="s">
        <v>663</v>
      </c>
      <c r="H239" s="499" t="s">
        <v>663</v>
      </c>
      <c r="I239" s="298" t="s">
        <v>448</v>
      </c>
      <c r="J239" s="298" t="s">
        <v>448</v>
      </c>
      <c r="K239" s="298" t="s">
        <v>448</v>
      </c>
      <c r="L239" s="298" t="s">
        <v>448</v>
      </c>
      <c r="M239" s="291"/>
    </row>
    <row r="240" spans="1:13" s="208" customFormat="1" ht="24" customHeight="1" x14ac:dyDescent="0.25">
      <c r="A240" s="291">
        <v>234</v>
      </c>
      <c r="B240" s="339"/>
      <c r="C240" s="317"/>
      <c r="D240" s="293" t="s">
        <v>524</v>
      </c>
      <c r="E240" s="170"/>
      <c r="F240" s="298" t="s">
        <v>762</v>
      </c>
      <c r="G240" s="298" t="s">
        <v>762</v>
      </c>
      <c r="H240" s="298" t="s">
        <v>762</v>
      </c>
      <c r="I240" s="298" t="s">
        <v>762</v>
      </c>
      <c r="J240" s="298" t="s">
        <v>762</v>
      </c>
      <c r="K240" s="298" t="s">
        <v>762</v>
      </c>
      <c r="L240" s="298" t="s">
        <v>762</v>
      </c>
      <c r="M240" s="363"/>
    </row>
    <row r="241" spans="1:13" s="208" customFormat="1" ht="24" customHeight="1" x14ac:dyDescent="0.25">
      <c r="A241" s="291">
        <v>235</v>
      </c>
      <c r="B241" s="339"/>
      <c r="C241" s="340" t="s">
        <v>20</v>
      </c>
      <c r="D241" s="309" t="s">
        <v>913</v>
      </c>
      <c r="E241" s="311"/>
      <c r="F241" s="441" t="s">
        <v>165</v>
      </c>
      <c r="G241" s="298" t="s">
        <v>448</v>
      </c>
      <c r="H241" s="441" t="s">
        <v>165</v>
      </c>
      <c r="I241" s="441" t="s">
        <v>165</v>
      </c>
      <c r="J241" s="298" t="s">
        <v>448</v>
      </c>
      <c r="K241" s="441" t="s">
        <v>165</v>
      </c>
      <c r="L241" s="441" t="s">
        <v>165</v>
      </c>
      <c r="M241" s="291"/>
    </row>
    <row r="242" spans="1:13" s="208" customFormat="1" ht="24" customHeight="1" x14ac:dyDescent="0.25">
      <c r="A242" s="291">
        <v>236</v>
      </c>
      <c r="B242" s="339"/>
      <c r="C242" s="340"/>
      <c r="D242" s="293" t="s">
        <v>914</v>
      </c>
      <c r="E242" s="306"/>
      <c r="F242" s="298" t="s">
        <v>664</v>
      </c>
      <c r="G242" s="441" t="s">
        <v>165</v>
      </c>
      <c r="H242" s="298" t="s">
        <v>448</v>
      </c>
      <c r="I242" s="298" t="s">
        <v>448</v>
      </c>
      <c r="J242" s="441" t="s">
        <v>165</v>
      </c>
      <c r="K242" s="298" t="s">
        <v>448</v>
      </c>
      <c r="L242" s="298" t="s">
        <v>448</v>
      </c>
      <c r="M242" s="291"/>
    </row>
    <row r="243" spans="1:13" s="208" customFormat="1" ht="24" customHeight="1" x14ac:dyDescent="0.25">
      <c r="A243" s="291">
        <v>237</v>
      </c>
      <c r="B243" s="339"/>
      <c r="C243" s="317"/>
      <c r="D243" s="293" t="s">
        <v>524</v>
      </c>
      <c r="E243" s="170"/>
      <c r="F243" s="298" t="s">
        <v>762</v>
      </c>
      <c r="G243" s="298" t="s">
        <v>762</v>
      </c>
      <c r="H243" s="298" t="s">
        <v>762</v>
      </c>
      <c r="I243" s="298" t="s">
        <v>762</v>
      </c>
      <c r="J243" s="298" t="s">
        <v>762</v>
      </c>
      <c r="K243" s="298" t="s">
        <v>762</v>
      </c>
      <c r="L243" s="298" t="s">
        <v>762</v>
      </c>
      <c r="M243" s="291"/>
    </row>
    <row r="244" spans="1:13" s="208" customFormat="1" ht="24" customHeight="1" x14ac:dyDescent="0.25">
      <c r="A244" s="291">
        <v>238</v>
      </c>
      <c r="B244" s="339"/>
      <c r="C244" s="340" t="s">
        <v>21</v>
      </c>
      <c r="D244" s="309" t="s">
        <v>167</v>
      </c>
      <c r="E244" s="306"/>
      <c r="F244" s="441" t="s">
        <v>165</v>
      </c>
      <c r="G244" s="499" t="s">
        <v>663</v>
      </c>
      <c r="H244" s="441" t="s">
        <v>165</v>
      </c>
      <c r="I244" s="441" t="s">
        <v>165</v>
      </c>
      <c r="J244" s="499" t="s">
        <v>663</v>
      </c>
      <c r="K244" s="441" t="s">
        <v>165</v>
      </c>
      <c r="L244" s="441" t="s">
        <v>165</v>
      </c>
      <c r="M244" s="291"/>
    </row>
    <row r="245" spans="1:13" s="208" customFormat="1" ht="24" customHeight="1" x14ac:dyDescent="0.25">
      <c r="A245" s="291">
        <v>239</v>
      </c>
      <c r="B245" s="339"/>
      <c r="C245" s="340"/>
      <c r="D245" s="293" t="s">
        <v>229</v>
      </c>
      <c r="E245" s="306"/>
      <c r="F245" s="298" t="s">
        <v>664</v>
      </c>
      <c r="G245" s="441" t="s">
        <v>165</v>
      </c>
      <c r="H245" s="298" t="s">
        <v>448</v>
      </c>
      <c r="I245" s="298" t="s">
        <v>448</v>
      </c>
      <c r="J245" s="441" t="s">
        <v>165</v>
      </c>
      <c r="K245" s="298" t="s">
        <v>448</v>
      </c>
      <c r="L245" s="298" t="s">
        <v>448</v>
      </c>
      <c r="M245" s="291"/>
    </row>
    <row r="246" spans="1:13" s="208" customFormat="1" ht="24" customHeight="1" x14ac:dyDescent="0.25">
      <c r="A246" s="291">
        <v>240</v>
      </c>
      <c r="B246" s="339"/>
      <c r="C246" s="317"/>
      <c r="D246" s="293" t="s">
        <v>524</v>
      </c>
      <c r="E246" s="170"/>
      <c r="F246" s="298" t="s">
        <v>762</v>
      </c>
      <c r="G246" s="298" t="s">
        <v>762</v>
      </c>
      <c r="H246" s="298" t="s">
        <v>762</v>
      </c>
      <c r="I246" s="298" t="s">
        <v>762</v>
      </c>
      <c r="J246" s="298" t="s">
        <v>762</v>
      </c>
      <c r="K246" s="298" t="s">
        <v>762</v>
      </c>
      <c r="L246" s="298" t="s">
        <v>762</v>
      </c>
      <c r="M246" s="291"/>
    </row>
    <row r="247" spans="1:13" s="208" customFormat="1" ht="24" customHeight="1" x14ac:dyDescent="0.25">
      <c r="A247" s="291">
        <v>241</v>
      </c>
      <c r="B247" s="313"/>
      <c r="C247" s="337" t="s">
        <v>22</v>
      </c>
      <c r="D247" s="309" t="s">
        <v>792</v>
      </c>
      <c r="E247" s="306"/>
      <c r="F247" s="441" t="s">
        <v>165</v>
      </c>
      <c r="G247" s="298" t="s">
        <v>448</v>
      </c>
      <c r="H247" s="441" t="s">
        <v>165</v>
      </c>
      <c r="I247" s="441" t="s">
        <v>165</v>
      </c>
      <c r="J247" s="298" t="s">
        <v>448</v>
      </c>
      <c r="K247" s="441" t="s">
        <v>165</v>
      </c>
      <c r="L247" s="441" t="s">
        <v>165</v>
      </c>
      <c r="M247" s="291"/>
    </row>
    <row r="248" spans="1:13" s="208" customFormat="1" ht="24" customHeight="1" x14ac:dyDescent="0.25">
      <c r="A248" s="291">
        <v>242</v>
      </c>
      <c r="B248" s="313"/>
      <c r="C248" s="338"/>
      <c r="D248" s="293" t="s">
        <v>1157</v>
      </c>
      <c r="E248" s="306"/>
      <c r="F248" s="298" t="s">
        <v>664</v>
      </c>
      <c r="G248" s="441" t="s">
        <v>165</v>
      </c>
      <c r="H248" s="298" t="s">
        <v>448</v>
      </c>
      <c r="I248" s="298" t="s">
        <v>448</v>
      </c>
      <c r="J248" s="441" t="s">
        <v>165</v>
      </c>
      <c r="K248" s="298" t="s">
        <v>448</v>
      </c>
      <c r="L248" s="298" t="s">
        <v>448</v>
      </c>
      <c r="M248" s="308"/>
    </row>
    <row r="249" spans="1:13" s="208" customFormat="1" ht="24" customHeight="1" x14ac:dyDescent="0.25">
      <c r="A249" s="291">
        <v>243</v>
      </c>
      <c r="B249" s="339"/>
      <c r="C249" s="317"/>
      <c r="D249" s="293" t="s">
        <v>524</v>
      </c>
      <c r="E249" s="306"/>
      <c r="F249" s="298" t="s">
        <v>762</v>
      </c>
      <c r="G249" s="298" t="s">
        <v>762</v>
      </c>
      <c r="H249" s="298" t="s">
        <v>762</v>
      </c>
      <c r="I249" s="298" t="s">
        <v>762</v>
      </c>
      <c r="J249" s="298" t="s">
        <v>762</v>
      </c>
      <c r="K249" s="298" t="s">
        <v>762</v>
      </c>
      <c r="L249" s="298" t="s">
        <v>762</v>
      </c>
      <c r="M249" s="291"/>
    </row>
    <row r="250" spans="1:13" s="208" customFormat="1" ht="24" customHeight="1" x14ac:dyDescent="0.25">
      <c r="A250" s="291">
        <v>244</v>
      </c>
      <c r="B250" s="313"/>
      <c r="C250" s="337" t="s">
        <v>624</v>
      </c>
      <c r="D250" s="309" t="s">
        <v>1057</v>
      </c>
      <c r="E250" s="306"/>
      <c r="F250" s="441" t="s">
        <v>165</v>
      </c>
      <c r="G250" s="441" t="s">
        <v>165</v>
      </c>
      <c r="H250" s="441" t="s">
        <v>165</v>
      </c>
      <c r="I250" s="499" t="s">
        <v>663</v>
      </c>
      <c r="J250" s="499" t="s">
        <v>663</v>
      </c>
      <c r="K250" s="499" t="s">
        <v>663</v>
      </c>
      <c r="L250" s="499" t="s">
        <v>663</v>
      </c>
      <c r="M250" s="308"/>
    </row>
    <row r="251" spans="1:13" s="208" customFormat="1" ht="24" customHeight="1" x14ac:dyDescent="0.25">
      <c r="A251" s="291">
        <v>245</v>
      </c>
      <c r="B251" s="313"/>
      <c r="C251" s="338"/>
      <c r="D251" s="293" t="s">
        <v>1100</v>
      </c>
      <c r="E251" s="170"/>
      <c r="F251" s="298" t="s">
        <v>664</v>
      </c>
      <c r="G251" s="298" t="s">
        <v>448</v>
      </c>
      <c r="H251" s="298" t="s">
        <v>448</v>
      </c>
      <c r="I251" s="298" t="s">
        <v>448</v>
      </c>
      <c r="J251" s="298" t="s">
        <v>448</v>
      </c>
      <c r="K251" s="298" t="s">
        <v>448</v>
      </c>
      <c r="L251" s="298" t="s">
        <v>448</v>
      </c>
      <c r="M251" s="363"/>
    </row>
    <row r="252" spans="1:13" s="208" customFormat="1" ht="24" customHeight="1" x14ac:dyDescent="0.25">
      <c r="A252" s="291">
        <v>246</v>
      </c>
      <c r="B252" s="313"/>
      <c r="C252" s="338"/>
      <c r="D252" s="293" t="s">
        <v>1092</v>
      </c>
      <c r="E252" s="170"/>
      <c r="F252" s="499" t="s">
        <v>663</v>
      </c>
      <c r="G252" s="499" t="s">
        <v>663</v>
      </c>
      <c r="H252" s="499" t="s">
        <v>663</v>
      </c>
      <c r="I252" s="441" t="s">
        <v>165</v>
      </c>
      <c r="J252" s="441" t="s">
        <v>165</v>
      </c>
      <c r="K252" s="441" t="s">
        <v>165</v>
      </c>
      <c r="L252" s="441" t="s">
        <v>165</v>
      </c>
      <c r="M252" s="363"/>
    </row>
    <row r="253" spans="1:13" s="208" customFormat="1" ht="24" customHeight="1" x14ac:dyDescent="0.25">
      <c r="A253" s="291">
        <v>247</v>
      </c>
      <c r="B253" s="313"/>
      <c r="C253" s="338"/>
      <c r="D253" s="293" t="s">
        <v>1093</v>
      </c>
      <c r="E253" s="170"/>
      <c r="F253" s="499" t="s">
        <v>663</v>
      </c>
      <c r="G253" s="499" t="s">
        <v>663</v>
      </c>
      <c r="H253" s="499" t="s">
        <v>663</v>
      </c>
      <c r="I253" s="298" t="s">
        <v>448</v>
      </c>
      <c r="J253" s="298" t="s">
        <v>448</v>
      </c>
      <c r="K253" s="298" t="s">
        <v>448</v>
      </c>
      <c r="L253" s="298" t="s">
        <v>448</v>
      </c>
      <c r="M253" s="363"/>
    </row>
    <row r="254" spans="1:13" s="208" customFormat="1" ht="24" customHeight="1" x14ac:dyDescent="0.25">
      <c r="A254" s="291">
        <v>248</v>
      </c>
      <c r="B254" s="339"/>
      <c r="C254" s="317"/>
      <c r="D254" s="293" t="s">
        <v>1059</v>
      </c>
      <c r="E254" s="311"/>
      <c r="F254" s="298" t="s">
        <v>762</v>
      </c>
      <c r="G254" s="298" t="s">
        <v>762</v>
      </c>
      <c r="H254" s="298" t="s">
        <v>762</v>
      </c>
      <c r="I254" s="298" t="s">
        <v>762</v>
      </c>
      <c r="J254" s="298" t="s">
        <v>762</v>
      </c>
      <c r="K254" s="298" t="s">
        <v>762</v>
      </c>
      <c r="L254" s="298" t="s">
        <v>762</v>
      </c>
      <c r="M254" s="291"/>
    </row>
    <row r="255" spans="1:13" s="208" customFormat="1" ht="24" customHeight="1" x14ac:dyDescent="0.25">
      <c r="A255" s="291">
        <v>249</v>
      </c>
      <c r="B255" s="313"/>
      <c r="C255" s="336" t="s">
        <v>633</v>
      </c>
      <c r="D255" s="309" t="s">
        <v>792</v>
      </c>
      <c r="E255" s="352"/>
      <c r="F255" s="441" t="s">
        <v>165</v>
      </c>
      <c r="G255" s="298" t="s">
        <v>448</v>
      </c>
      <c r="H255" s="441" t="s">
        <v>165</v>
      </c>
      <c r="I255" s="441" t="s">
        <v>165</v>
      </c>
      <c r="J255" s="499" t="s">
        <v>663</v>
      </c>
      <c r="K255" s="441" t="s">
        <v>165</v>
      </c>
      <c r="L255" s="441" t="s">
        <v>165</v>
      </c>
      <c r="M255" s="291"/>
    </row>
    <row r="256" spans="1:13" s="208" customFormat="1" ht="24" customHeight="1" x14ac:dyDescent="0.25">
      <c r="A256" s="291">
        <v>250</v>
      </c>
      <c r="B256" s="313"/>
      <c r="C256" s="313"/>
      <c r="D256" s="293" t="s">
        <v>570</v>
      </c>
      <c r="E256" s="352"/>
      <c r="F256" s="298" t="s">
        <v>664</v>
      </c>
      <c r="G256" s="441" t="s">
        <v>165</v>
      </c>
      <c r="H256" s="298" t="s">
        <v>448</v>
      </c>
      <c r="I256" s="499" t="s">
        <v>663</v>
      </c>
      <c r="J256" s="499" t="s">
        <v>663</v>
      </c>
      <c r="K256" s="499" t="s">
        <v>663</v>
      </c>
      <c r="L256" s="499" t="s">
        <v>663</v>
      </c>
      <c r="M256" s="291"/>
    </row>
    <row r="257" spans="1:13" s="208" customFormat="1" ht="24" customHeight="1" x14ac:dyDescent="0.25">
      <c r="A257" s="291">
        <v>251</v>
      </c>
      <c r="B257" s="313"/>
      <c r="C257" s="313"/>
      <c r="D257" s="293" t="s">
        <v>1058</v>
      </c>
      <c r="E257" s="352"/>
      <c r="F257" s="499" t="s">
        <v>663</v>
      </c>
      <c r="G257" s="499" t="s">
        <v>663</v>
      </c>
      <c r="H257" s="499" t="s">
        <v>663</v>
      </c>
      <c r="I257" s="298" t="s">
        <v>448</v>
      </c>
      <c r="J257" s="441" t="s">
        <v>165</v>
      </c>
      <c r="K257" s="298" t="s">
        <v>448</v>
      </c>
      <c r="L257" s="298" t="s">
        <v>448</v>
      </c>
      <c r="M257" s="291"/>
    </row>
    <row r="258" spans="1:13" s="208" customFormat="1" ht="24" customHeight="1" x14ac:dyDescent="0.25">
      <c r="A258" s="291">
        <v>252</v>
      </c>
      <c r="B258" s="313"/>
      <c r="C258" s="313"/>
      <c r="D258" s="293" t="s">
        <v>1158</v>
      </c>
      <c r="E258" s="352"/>
      <c r="F258" s="499" t="s">
        <v>663</v>
      </c>
      <c r="G258" s="499" t="s">
        <v>663</v>
      </c>
      <c r="H258" s="499" t="s">
        <v>663</v>
      </c>
      <c r="I258" s="499" t="s">
        <v>663</v>
      </c>
      <c r="J258" s="298" t="s">
        <v>448</v>
      </c>
      <c r="K258" s="499" t="s">
        <v>663</v>
      </c>
      <c r="L258" s="499" t="s">
        <v>663</v>
      </c>
      <c r="M258" s="291"/>
    </row>
    <row r="259" spans="1:13" s="208" customFormat="1" ht="24" customHeight="1" x14ac:dyDescent="0.25">
      <c r="A259" s="291">
        <v>253</v>
      </c>
      <c r="B259" s="339"/>
      <c r="C259" s="317"/>
      <c r="D259" s="293" t="s">
        <v>524</v>
      </c>
      <c r="E259" s="170"/>
      <c r="F259" s="298" t="s">
        <v>762</v>
      </c>
      <c r="G259" s="298" t="s">
        <v>762</v>
      </c>
      <c r="H259" s="298" t="s">
        <v>762</v>
      </c>
      <c r="I259" s="298" t="s">
        <v>762</v>
      </c>
      <c r="J259" s="298" t="s">
        <v>762</v>
      </c>
      <c r="K259" s="298" t="s">
        <v>762</v>
      </c>
      <c r="L259" s="298" t="s">
        <v>762</v>
      </c>
      <c r="M259" s="291"/>
    </row>
    <row r="260" spans="1:13" s="208" customFormat="1" ht="24" customHeight="1" x14ac:dyDescent="0.25">
      <c r="A260" s="291">
        <v>254</v>
      </c>
      <c r="B260" s="313"/>
      <c r="C260" s="337" t="s">
        <v>625</v>
      </c>
      <c r="D260" s="309" t="s">
        <v>1043</v>
      </c>
      <c r="E260" s="311"/>
      <c r="F260" s="441" t="s">
        <v>165</v>
      </c>
      <c r="G260" s="499" t="s">
        <v>663</v>
      </c>
      <c r="H260" s="499" t="s">
        <v>663</v>
      </c>
      <c r="I260" s="499" t="s">
        <v>663</v>
      </c>
      <c r="J260" s="499" t="s">
        <v>663</v>
      </c>
      <c r="K260" s="499" t="s">
        <v>663</v>
      </c>
      <c r="L260" s="499" t="s">
        <v>663</v>
      </c>
      <c r="M260" s="291"/>
    </row>
    <row r="261" spans="1:13" s="208" customFormat="1" ht="24" customHeight="1" x14ac:dyDescent="0.25">
      <c r="A261" s="291">
        <v>255</v>
      </c>
      <c r="B261" s="313"/>
      <c r="C261" s="338"/>
      <c r="D261" s="293" t="s">
        <v>1094</v>
      </c>
      <c r="E261" s="324"/>
      <c r="F261" s="298" t="s">
        <v>664</v>
      </c>
      <c r="G261" s="499" t="s">
        <v>663</v>
      </c>
      <c r="H261" s="499" t="s">
        <v>663</v>
      </c>
      <c r="I261" s="441" t="s">
        <v>165</v>
      </c>
      <c r="J261" s="499" t="s">
        <v>663</v>
      </c>
      <c r="K261" s="499" t="s">
        <v>663</v>
      </c>
      <c r="L261" s="499" t="s">
        <v>663</v>
      </c>
      <c r="M261" s="291"/>
    </row>
    <row r="262" spans="1:13" s="208" customFormat="1" ht="24" customHeight="1" x14ac:dyDescent="0.25">
      <c r="A262" s="291">
        <v>256</v>
      </c>
      <c r="B262" s="313"/>
      <c r="C262" s="338"/>
      <c r="D262" s="293" t="s">
        <v>1095</v>
      </c>
      <c r="E262" s="324"/>
      <c r="F262" s="298" t="s">
        <v>664</v>
      </c>
      <c r="G262" s="499" t="s">
        <v>663</v>
      </c>
      <c r="H262" s="441" t="s">
        <v>165</v>
      </c>
      <c r="I262" s="298" t="s">
        <v>448</v>
      </c>
      <c r="J262" s="499" t="s">
        <v>663</v>
      </c>
      <c r="K262" s="499" t="s">
        <v>663</v>
      </c>
      <c r="L262" s="499" t="s">
        <v>663</v>
      </c>
      <c r="M262" s="291"/>
    </row>
    <row r="263" spans="1:13" s="208" customFormat="1" ht="24" customHeight="1" x14ac:dyDescent="0.25">
      <c r="A263" s="291">
        <v>257</v>
      </c>
      <c r="B263" s="313"/>
      <c r="C263" s="338"/>
      <c r="D263" s="293" t="s">
        <v>915</v>
      </c>
      <c r="E263" s="324"/>
      <c r="F263" s="298" t="s">
        <v>448</v>
      </c>
      <c r="G263" s="441" t="s">
        <v>165</v>
      </c>
      <c r="H263" s="298" t="s">
        <v>448</v>
      </c>
      <c r="I263" s="298" t="s">
        <v>448</v>
      </c>
      <c r="J263" s="441" t="s">
        <v>165</v>
      </c>
      <c r="K263" s="441" t="s">
        <v>165</v>
      </c>
      <c r="L263" s="441" t="s">
        <v>165</v>
      </c>
      <c r="M263" s="291"/>
    </row>
    <row r="264" spans="1:13" s="208" customFormat="1" ht="24" customHeight="1" x14ac:dyDescent="0.25">
      <c r="A264" s="291">
        <v>258</v>
      </c>
      <c r="B264" s="339"/>
      <c r="C264" s="317"/>
      <c r="D264" s="293" t="s">
        <v>524</v>
      </c>
      <c r="E264" s="170"/>
      <c r="F264" s="298" t="s">
        <v>762</v>
      </c>
      <c r="G264" s="298" t="s">
        <v>762</v>
      </c>
      <c r="H264" s="298" t="s">
        <v>762</v>
      </c>
      <c r="I264" s="298" t="s">
        <v>762</v>
      </c>
      <c r="J264" s="298" t="s">
        <v>762</v>
      </c>
      <c r="K264" s="298" t="s">
        <v>762</v>
      </c>
      <c r="L264" s="298" t="s">
        <v>762</v>
      </c>
      <c r="M264" s="308"/>
    </row>
    <row r="265" spans="1:13" s="208" customFormat="1" ht="24" customHeight="1" x14ac:dyDescent="0.25">
      <c r="A265" s="291">
        <v>259</v>
      </c>
      <c r="B265" s="313"/>
      <c r="C265" s="337" t="s">
        <v>634</v>
      </c>
      <c r="D265" s="309" t="s">
        <v>792</v>
      </c>
      <c r="E265" s="311"/>
      <c r="F265" s="441" t="s">
        <v>165</v>
      </c>
      <c r="G265" s="441" t="s">
        <v>165</v>
      </c>
      <c r="H265" s="441" t="s">
        <v>165</v>
      </c>
      <c r="I265" s="441" t="s">
        <v>165</v>
      </c>
      <c r="J265" s="441" t="s">
        <v>165</v>
      </c>
      <c r="K265" s="441" t="s">
        <v>165</v>
      </c>
      <c r="L265" s="441" t="s">
        <v>165</v>
      </c>
      <c r="M265" s="363"/>
    </row>
    <row r="266" spans="1:13" s="208" customFormat="1" ht="24" customHeight="1" x14ac:dyDescent="0.25">
      <c r="A266" s="291">
        <v>260</v>
      </c>
      <c r="B266" s="313"/>
      <c r="C266" s="338"/>
      <c r="D266" s="293" t="s">
        <v>794</v>
      </c>
      <c r="E266" s="311"/>
      <c r="F266" s="298" t="s">
        <v>664</v>
      </c>
      <c r="G266" s="499" t="s">
        <v>663</v>
      </c>
      <c r="H266" s="298" t="s">
        <v>448</v>
      </c>
      <c r="I266" s="298" t="s">
        <v>448</v>
      </c>
      <c r="J266" s="499" t="s">
        <v>663</v>
      </c>
      <c r="K266" s="499" t="s">
        <v>663</v>
      </c>
      <c r="L266" s="499" t="s">
        <v>663</v>
      </c>
      <c r="M266" s="308"/>
    </row>
    <row r="267" spans="1:13" s="208" customFormat="1" ht="24" customHeight="1" x14ac:dyDescent="0.25">
      <c r="A267" s="291">
        <v>261</v>
      </c>
      <c r="B267" s="339"/>
      <c r="C267" s="317"/>
      <c r="D267" s="293" t="s">
        <v>524</v>
      </c>
      <c r="E267" s="324"/>
      <c r="F267" s="298" t="s">
        <v>762</v>
      </c>
      <c r="G267" s="298" t="s">
        <v>762</v>
      </c>
      <c r="H267" s="298" t="s">
        <v>762</v>
      </c>
      <c r="I267" s="298" t="s">
        <v>762</v>
      </c>
      <c r="J267" s="298" t="s">
        <v>762</v>
      </c>
      <c r="K267" s="298" t="s">
        <v>762</v>
      </c>
      <c r="L267" s="298" t="s">
        <v>762</v>
      </c>
      <c r="M267" s="308"/>
    </row>
    <row r="268" spans="1:13" s="208" customFormat="1" ht="24" customHeight="1" x14ac:dyDescent="0.25">
      <c r="A268" s="291">
        <v>262</v>
      </c>
      <c r="B268" s="339"/>
      <c r="C268" s="340" t="s">
        <v>635</v>
      </c>
      <c r="D268" s="309" t="s">
        <v>792</v>
      </c>
      <c r="E268" s="170"/>
      <c r="F268" s="441" t="s">
        <v>165</v>
      </c>
      <c r="G268" s="441" t="s">
        <v>165</v>
      </c>
      <c r="H268" s="441" t="s">
        <v>165</v>
      </c>
      <c r="I268" s="441" t="s">
        <v>165</v>
      </c>
      <c r="J268" s="441" t="s">
        <v>165</v>
      </c>
      <c r="K268" s="441" t="s">
        <v>165</v>
      </c>
      <c r="L268" s="441" t="s">
        <v>165</v>
      </c>
      <c r="M268" s="291"/>
    </row>
    <row r="269" spans="1:13" s="208" customFormat="1" ht="24" customHeight="1" x14ac:dyDescent="0.25">
      <c r="A269" s="291">
        <v>263</v>
      </c>
      <c r="B269" s="339"/>
      <c r="C269" s="340"/>
      <c r="D269" s="311" t="s">
        <v>1154</v>
      </c>
      <c r="E269" s="311"/>
      <c r="F269" s="298" t="s">
        <v>664</v>
      </c>
      <c r="G269" s="298" t="s">
        <v>448</v>
      </c>
      <c r="H269" s="298" t="s">
        <v>448</v>
      </c>
      <c r="I269" s="298" t="s">
        <v>448</v>
      </c>
      <c r="J269" s="298" t="s">
        <v>448</v>
      </c>
      <c r="K269" s="298" t="s">
        <v>448</v>
      </c>
      <c r="L269" s="298" t="s">
        <v>448</v>
      </c>
      <c r="M269" s="308"/>
    </row>
    <row r="270" spans="1:13" s="208" customFormat="1" ht="24" customHeight="1" x14ac:dyDescent="0.25">
      <c r="A270" s="291">
        <v>264</v>
      </c>
      <c r="B270" s="339"/>
      <c r="C270" s="340"/>
      <c r="D270" s="311" t="s">
        <v>1120</v>
      </c>
      <c r="E270" s="311"/>
      <c r="F270" s="298" t="s">
        <v>664</v>
      </c>
      <c r="G270" s="298" t="s">
        <v>448</v>
      </c>
      <c r="H270" s="298" t="s">
        <v>448</v>
      </c>
      <c r="I270" s="298" t="s">
        <v>448</v>
      </c>
      <c r="J270" s="298" t="s">
        <v>448</v>
      </c>
      <c r="K270" s="298" t="s">
        <v>448</v>
      </c>
      <c r="L270" s="298" t="s">
        <v>448</v>
      </c>
      <c r="M270" s="291"/>
    </row>
    <row r="271" spans="1:13" s="208" customFormat="1" ht="24" customHeight="1" x14ac:dyDescent="0.25">
      <c r="A271" s="291">
        <v>265</v>
      </c>
      <c r="B271" s="339"/>
      <c r="C271" s="340"/>
      <c r="D271" s="311" t="s">
        <v>1121</v>
      </c>
      <c r="E271" s="170"/>
      <c r="F271" s="298" t="s">
        <v>664</v>
      </c>
      <c r="G271" s="298" t="s">
        <v>448</v>
      </c>
      <c r="H271" s="298" t="s">
        <v>448</v>
      </c>
      <c r="I271" s="298" t="s">
        <v>448</v>
      </c>
      <c r="J271" s="298" t="s">
        <v>448</v>
      </c>
      <c r="K271" s="298" t="s">
        <v>448</v>
      </c>
      <c r="L271" s="298" t="s">
        <v>448</v>
      </c>
      <c r="M271" s="291"/>
    </row>
    <row r="272" spans="1:13" s="208" customFormat="1" ht="24" customHeight="1" x14ac:dyDescent="0.25">
      <c r="A272" s="291">
        <v>266</v>
      </c>
      <c r="B272" s="339"/>
      <c r="C272" s="340"/>
      <c r="D272" s="311" t="s">
        <v>1122</v>
      </c>
      <c r="E272" s="311"/>
      <c r="F272" s="298" t="s">
        <v>664</v>
      </c>
      <c r="G272" s="298" t="s">
        <v>448</v>
      </c>
      <c r="H272" s="298" t="s">
        <v>448</v>
      </c>
      <c r="I272" s="298" t="s">
        <v>448</v>
      </c>
      <c r="J272" s="298" t="s">
        <v>448</v>
      </c>
      <c r="K272" s="298" t="s">
        <v>448</v>
      </c>
      <c r="L272" s="298" t="s">
        <v>448</v>
      </c>
      <c r="M272" s="291"/>
    </row>
    <row r="273" spans="1:13" s="208" customFormat="1" ht="24" customHeight="1" x14ac:dyDescent="0.25">
      <c r="A273" s="291">
        <v>267</v>
      </c>
      <c r="B273" s="339"/>
      <c r="C273" s="340"/>
      <c r="D273" s="311" t="s">
        <v>1123</v>
      </c>
      <c r="E273" s="311"/>
      <c r="F273" s="298" t="s">
        <v>664</v>
      </c>
      <c r="G273" s="298" t="s">
        <v>448</v>
      </c>
      <c r="H273" s="298" t="s">
        <v>448</v>
      </c>
      <c r="I273" s="298" t="s">
        <v>448</v>
      </c>
      <c r="J273" s="298" t="s">
        <v>448</v>
      </c>
      <c r="K273" s="298" t="s">
        <v>448</v>
      </c>
      <c r="L273" s="298" t="s">
        <v>448</v>
      </c>
      <c r="M273" s="291"/>
    </row>
    <row r="274" spans="1:13" s="208" customFormat="1" ht="24" customHeight="1" x14ac:dyDescent="0.25">
      <c r="A274" s="291">
        <v>268</v>
      </c>
      <c r="B274" s="339"/>
      <c r="C274" s="340"/>
      <c r="D274" s="311" t="s">
        <v>1124</v>
      </c>
      <c r="E274" s="170"/>
      <c r="F274" s="298" t="s">
        <v>664</v>
      </c>
      <c r="G274" s="298" t="s">
        <v>448</v>
      </c>
      <c r="H274" s="298" t="s">
        <v>448</v>
      </c>
      <c r="I274" s="298" t="s">
        <v>448</v>
      </c>
      <c r="J274" s="298" t="s">
        <v>448</v>
      </c>
      <c r="K274" s="298" t="s">
        <v>448</v>
      </c>
      <c r="L274" s="298" t="s">
        <v>448</v>
      </c>
      <c r="M274" s="291"/>
    </row>
    <row r="275" spans="1:13" s="208" customFormat="1" ht="24" customHeight="1" x14ac:dyDescent="0.25">
      <c r="A275" s="291">
        <v>269</v>
      </c>
      <c r="B275" s="339"/>
      <c r="C275" s="340"/>
      <c r="D275" s="301" t="s">
        <v>1152</v>
      </c>
      <c r="E275" s="311"/>
      <c r="F275" s="298" t="s">
        <v>664</v>
      </c>
      <c r="G275" s="298" t="s">
        <v>448</v>
      </c>
      <c r="H275" s="298" t="s">
        <v>448</v>
      </c>
      <c r="I275" s="298" t="s">
        <v>448</v>
      </c>
      <c r="J275" s="298" t="s">
        <v>448</v>
      </c>
      <c r="K275" s="298" t="s">
        <v>448</v>
      </c>
      <c r="L275" s="298" t="s">
        <v>448</v>
      </c>
      <c r="M275" s="363"/>
    </row>
    <row r="276" spans="1:13" s="208" customFormat="1" ht="24" customHeight="1" x14ac:dyDescent="0.25">
      <c r="A276" s="291">
        <v>270</v>
      </c>
      <c r="B276" s="339"/>
      <c r="C276" s="340"/>
      <c r="D276" s="301" t="s">
        <v>1127</v>
      </c>
      <c r="E276" s="311"/>
      <c r="F276" s="298" t="s">
        <v>664</v>
      </c>
      <c r="G276" s="298" t="s">
        <v>448</v>
      </c>
      <c r="H276" s="298" t="s">
        <v>448</v>
      </c>
      <c r="I276" s="298" t="s">
        <v>448</v>
      </c>
      <c r="J276" s="298" t="s">
        <v>448</v>
      </c>
      <c r="K276" s="298" t="s">
        <v>448</v>
      </c>
      <c r="L276" s="298" t="s">
        <v>448</v>
      </c>
      <c r="M276" s="291"/>
    </row>
    <row r="277" spans="1:13" s="208" customFormat="1" ht="24" customHeight="1" x14ac:dyDescent="0.25">
      <c r="A277" s="291">
        <v>271</v>
      </c>
      <c r="B277" s="339"/>
      <c r="C277" s="340"/>
      <c r="D277" s="301" t="s">
        <v>1129</v>
      </c>
      <c r="E277" s="170"/>
      <c r="F277" s="298" t="s">
        <v>664</v>
      </c>
      <c r="G277" s="298" t="s">
        <v>448</v>
      </c>
      <c r="H277" s="298" t="s">
        <v>448</v>
      </c>
      <c r="I277" s="298" t="s">
        <v>448</v>
      </c>
      <c r="J277" s="298" t="s">
        <v>448</v>
      </c>
      <c r="K277" s="298" t="s">
        <v>448</v>
      </c>
      <c r="L277" s="298" t="s">
        <v>448</v>
      </c>
      <c r="M277" s="291"/>
    </row>
    <row r="278" spans="1:13" s="208" customFormat="1" ht="24" customHeight="1" x14ac:dyDescent="0.25">
      <c r="A278" s="291">
        <v>272</v>
      </c>
      <c r="B278" s="339"/>
      <c r="C278" s="340"/>
      <c r="D278" s="301" t="s">
        <v>1148</v>
      </c>
      <c r="E278" s="311"/>
      <c r="F278" s="298" t="s">
        <v>664</v>
      </c>
      <c r="G278" s="298" t="s">
        <v>448</v>
      </c>
      <c r="H278" s="298" t="s">
        <v>448</v>
      </c>
      <c r="I278" s="298" t="s">
        <v>448</v>
      </c>
      <c r="J278" s="298" t="s">
        <v>448</v>
      </c>
      <c r="K278" s="298" t="s">
        <v>448</v>
      </c>
      <c r="L278" s="298" t="s">
        <v>448</v>
      </c>
      <c r="M278" s="308"/>
    </row>
    <row r="279" spans="1:13" s="208" customFormat="1" ht="24" customHeight="1" x14ac:dyDescent="0.25">
      <c r="A279" s="291">
        <v>273</v>
      </c>
      <c r="B279" s="339"/>
      <c r="C279" s="340"/>
      <c r="D279" s="301" t="s">
        <v>1132</v>
      </c>
      <c r="E279" s="311"/>
      <c r="F279" s="298" t="s">
        <v>664</v>
      </c>
      <c r="G279" s="298" t="s">
        <v>448</v>
      </c>
      <c r="H279" s="298" t="s">
        <v>448</v>
      </c>
      <c r="I279" s="298" t="s">
        <v>448</v>
      </c>
      <c r="J279" s="298" t="s">
        <v>448</v>
      </c>
      <c r="K279" s="298" t="s">
        <v>448</v>
      </c>
      <c r="L279" s="298" t="s">
        <v>448</v>
      </c>
      <c r="M279" s="363"/>
    </row>
    <row r="280" spans="1:13" s="208" customFormat="1" ht="24" customHeight="1" x14ac:dyDescent="0.25">
      <c r="A280" s="291">
        <v>274</v>
      </c>
      <c r="B280" s="339"/>
      <c r="C280" s="340"/>
      <c r="D280" s="301" t="s">
        <v>1134</v>
      </c>
      <c r="E280" s="170"/>
      <c r="F280" s="298" t="s">
        <v>664</v>
      </c>
      <c r="G280" s="298" t="s">
        <v>448</v>
      </c>
      <c r="H280" s="298" t="s">
        <v>448</v>
      </c>
      <c r="I280" s="298" t="s">
        <v>448</v>
      </c>
      <c r="J280" s="298" t="s">
        <v>448</v>
      </c>
      <c r="K280" s="298" t="s">
        <v>448</v>
      </c>
      <c r="L280" s="298" t="s">
        <v>448</v>
      </c>
      <c r="M280" s="308"/>
    </row>
    <row r="281" spans="1:13" s="208" customFormat="1" ht="24" customHeight="1" x14ac:dyDescent="0.25">
      <c r="A281" s="291">
        <v>275</v>
      </c>
      <c r="B281" s="339"/>
      <c r="C281" s="340"/>
      <c r="D281" s="311" t="s">
        <v>1136</v>
      </c>
      <c r="E281" s="311"/>
      <c r="F281" s="298" t="s">
        <v>664</v>
      </c>
      <c r="G281" s="298" t="s">
        <v>448</v>
      </c>
      <c r="H281" s="298" t="s">
        <v>448</v>
      </c>
      <c r="I281" s="298" t="s">
        <v>448</v>
      </c>
      <c r="J281" s="298" t="s">
        <v>448</v>
      </c>
      <c r="K281" s="298" t="s">
        <v>448</v>
      </c>
      <c r="L281" s="298" t="s">
        <v>448</v>
      </c>
      <c r="M281" s="291"/>
    </row>
    <row r="282" spans="1:13" s="208" customFormat="1" ht="24" customHeight="1" x14ac:dyDescent="0.25">
      <c r="A282" s="291">
        <v>276</v>
      </c>
      <c r="B282" s="339"/>
      <c r="C282" s="340"/>
      <c r="D282" s="311" t="s">
        <v>1138</v>
      </c>
      <c r="E282" s="311"/>
      <c r="F282" s="298" t="s">
        <v>664</v>
      </c>
      <c r="G282" s="298" t="s">
        <v>448</v>
      </c>
      <c r="H282" s="298" t="s">
        <v>448</v>
      </c>
      <c r="I282" s="298" t="s">
        <v>448</v>
      </c>
      <c r="J282" s="298" t="s">
        <v>448</v>
      </c>
      <c r="K282" s="298" t="s">
        <v>448</v>
      </c>
      <c r="L282" s="298" t="s">
        <v>448</v>
      </c>
      <c r="M282" s="291"/>
    </row>
    <row r="283" spans="1:13" s="208" customFormat="1" ht="24" customHeight="1" x14ac:dyDescent="0.25">
      <c r="A283" s="291">
        <v>277</v>
      </c>
      <c r="B283" s="339"/>
      <c r="C283" s="340"/>
      <c r="D283" s="311" t="s">
        <v>1149</v>
      </c>
      <c r="E283" s="311"/>
      <c r="F283" s="298" t="s">
        <v>664</v>
      </c>
      <c r="G283" s="298" t="s">
        <v>448</v>
      </c>
      <c r="H283" s="298" t="s">
        <v>448</v>
      </c>
      <c r="I283" s="298" t="s">
        <v>448</v>
      </c>
      <c r="J283" s="298" t="s">
        <v>448</v>
      </c>
      <c r="K283" s="298" t="s">
        <v>448</v>
      </c>
      <c r="L283" s="298" t="s">
        <v>448</v>
      </c>
      <c r="M283" s="291"/>
    </row>
    <row r="284" spans="1:13" s="208" customFormat="1" ht="24" customHeight="1" x14ac:dyDescent="0.25">
      <c r="A284" s="291">
        <v>278</v>
      </c>
      <c r="B284" s="339"/>
      <c r="C284" s="340"/>
      <c r="D284" s="311" t="s">
        <v>1153</v>
      </c>
      <c r="E284" s="311"/>
      <c r="F284" s="298" t="s">
        <v>664</v>
      </c>
      <c r="G284" s="298" t="s">
        <v>448</v>
      </c>
      <c r="H284" s="298" t="s">
        <v>448</v>
      </c>
      <c r="I284" s="298" t="s">
        <v>448</v>
      </c>
      <c r="J284" s="298" t="s">
        <v>448</v>
      </c>
      <c r="K284" s="298" t="s">
        <v>448</v>
      </c>
      <c r="L284" s="298" t="s">
        <v>448</v>
      </c>
      <c r="M284" s="291"/>
    </row>
    <row r="285" spans="1:13" s="208" customFormat="1" ht="24" customHeight="1" x14ac:dyDescent="0.25">
      <c r="A285" s="291">
        <v>279</v>
      </c>
      <c r="B285" s="339"/>
      <c r="C285" s="340"/>
      <c r="D285" s="311" t="s">
        <v>1142</v>
      </c>
      <c r="E285" s="311"/>
      <c r="F285" s="298" t="s">
        <v>10</v>
      </c>
      <c r="G285" s="298" t="s">
        <v>10</v>
      </c>
      <c r="H285" s="298" t="s">
        <v>10</v>
      </c>
      <c r="I285" s="298" t="s">
        <v>10</v>
      </c>
      <c r="J285" s="298" t="s">
        <v>10</v>
      </c>
      <c r="K285" s="298" t="s">
        <v>10</v>
      </c>
      <c r="L285" s="298" t="s">
        <v>10</v>
      </c>
      <c r="M285" s="291"/>
    </row>
    <row r="286" spans="1:13" s="208" customFormat="1" ht="24" customHeight="1" x14ac:dyDescent="0.25">
      <c r="A286" s="291">
        <v>280</v>
      </c>
      <c r="B286" s="339"/>
      <c r="C286" s="340"/>
      <c r="D286" s="311" t="s">
        <v>1144</v>
      </c>
      <c r="E286" s="311"/>
      <c r="F286" s="298" t="s">
        <v>10</v>
      </c>
      <c r="G286" s="298" t="s">
        <v>10</v>
      </c>
      <c r="H286" s="298" t="s">
        <v>10</v>
      </c>
      <c r="I286" s="298" t="s">
        <v>10</v>
      </c>
      <c r="J286" s="298" t="s">
        <v>10</v>
      </c>
      <c r="K286" s="298" t="s">
        <v>10</v>
      </c>
      <c r="L286" s="298" t="s">
        <v>10</v>
      </c>
      <c r="M286" s="291"/>
    </row>
    <row r="287" spans="1:13" s="208" customFormat="1" ht="24" customHeight="1" x14ac:dyDescent="0.25">
      <c r="A287" s="291">
        <v>281</v>
      </c>
      <c r="B287" s="339"/>
      <c r="C287" s="340"/>
      <c r="D287" s="311" t="s">
        <v>1150</v>
      </c>
      <c r="E287" s="311"/>
      <c r="F287" s="298" t="s">
        <v>10</v>
      </c>
      <c r="G287" s="298" t="s">
        <v>10</v>
      </c>
      <c r="H287" s="298" t="s">
        <v>10</v>
      </c>
      <c r="I287" s="298" t="s">
        <v>10</v>
      </c>
      <c r="J287" s="298" t="s">
        <v>10</v>
      </c>
      <c r="K287" s="298" t="s">
        <v>10</v>
      </c>
      <c r="L287" s="298" t="s">
        <v>10</v>
      </c>
      <c r="M287" s="291"/>
    </row>
    <row r="288" spans="1:13" s="208" customFormat="1" ht="24" customHeight="1" x14ac:dyDescent="0.25">
      <c r="A288" s="291">
        <v>282</v>
      </c>
      <c r="B288" s="339"/>
      <c r="C288" s="340"/>
      <c r="D288" s="311" t="s">
        <v>1151</v>
      </c>
      <c r="E288" s="311"/>
      <c r="F288" s="298" t="s">
        <v>10</v>
      </c>
      <c r="G288" s="298" t="s">
        <v>10</v>
      </c>
      <c r="H288" s="298" t="s">
        <v>10</v>
      </c>
      <c r="I288" s="298" t="s">
        <v>10</v>
      </c>
      <c r="J288" s="298" t="s">
        <v>10</v>
      </c>
      <c r="K288" s="298" t="s">
        <v>10</v>
      </c>
      <c r="L288" s="298" t="s">
        <v>10</v>
      </c>
      <c r="M288" s="291"/>
    </row>
    <row r="289" spans="1:13" s="208" customFormat="1" ht="24" customHeight="1" x14ac:dyDescent="0.25">
      <c r="A289" s="291">
        <v>283</v>
      </c>
      <c r="B289" s="339"/>
      <c r="C289" s="340"/>
      <c r="D289" s="293" t="s">
        <v>524</v>
      </c>
      <c r="E289" s="311"/>
      <c r="F289" s="298" t="s">
        <v>762</v>
      </c>
      <c r="G289" s="298" t="s">
        <v>762</v>
      </c>
      <c r="H289" s="298" t="s">
        <v>762</v>
      </c>
      <c r="I289" s="298" t="s">
        <v>762</v>
      </c>
      <c r="J289" s="298" t="s">
        <v>762</v>
      </c>
      <c r="K289" s="298" t="s">
        <v>762</v>
      </c>
      <c r="L289" s="298" t="s">
        <v>762</v>
      </c>
      <c r="M289" s="291"/>
    </row>
    <row r="290" spans="1:13" s="208" customFormat="1" ht="24" customHeight="1" x14ac:dyDescent="0.25">
      <c r="A290" s="291">
        <v>284</v>
      </c>
      <c r="B290" s="313"/>
      <c r="C290" s="337" t="s">
        <v>23</v>
      </c>
      <c r="D290" s="309" t="s">
        <v>792</v>
      </c>
      <c r="E290" s="311"/>
      <c r="F290" s="441" t="s">
        <v>165</v>
      </c>
      <c r="G290" s="441" t="s">
        <v>165</v>
      </c>
      <c r="H290" s="441" t="s">
        <v>165</v>
      </c>
      <c r="I290" s="441" t="s">
        <v>165</v>
      </c>
      <c r="J290" s="441" t="s">
        <v>165</v>
      </c>
      <c r="K290" s="441" t="s">
        <v>165</v>
      </c>
      <c r="L290" s="441" t="s">
        <v>165</v>
      </c>
      <c r="M290" s="291"/>
    </row>
    <row r="291" spans="1:13" s="208" customFormat="1" ht="24" customHeight="1" x14ac:dyDescent="0.25">
      <c r="A291" s="291">
        <v>285</v>
      </c>
      <c r="B291" s="313"/>
      <c r="C291" s="338"/>
      <c r="D291" s="293" t="s">
        <v>1096</v>
      </c>
      <c r="E291" s="311"/>
      <c r="F291" s="499" t="s">
        <v>663</v>
      </c>
      <c r="G291" s="499" t="s">
        <v>663</v>
      </c>
      <c r="H291" s="499" t="s">
        <v>663</v>
      </c>
      <c r="I291" s="298" t="s">
        <v>448</v>
      </c>
      <c r="J291" s="298" t="s">
        <v>448</v>
      </c>
      <c r="K291" s="298" t="s">
        <v>448</v>
      </c>
      <c r="L291" s="298" t="s">
        <v>448</v>
      </c>
      <c r="M291" s="291"/>
    </row>
    <row r="292" spans="1:13" s="208" customFormat="1" ht="24" customHeight="1" x14ac:dyDescent="0.25">
      <c r="A292" s="291">
        <v>286</v>
      </c>
      <c r="B292" s="313"/>
      <c r="C292" s="338"/>
      <c r="D292" s="293" t="s">
        <v>916</v>
      </c>
      <c r="E292" s="311"/>
      <c r="F292" s="298" t="s">
        <v>664</v>
      </c>
      <c r="G292" s="499" t="s">
        <v>663</v>
      </c>
      <c r="H292" s="298" t="s">
        <v>448</v>
      </c>
      <c r="I292" s="499" t="s">
        <v>663</v>
      </c>
      <c r="J292" s="499" t="s">
        <v>663</v>
      </c>
      <c r="K292" s="499" t="s">
        <v>663</v>
      </c>
      <c r="L292" s="499" t="s">
        <v>663</v>
      </c>
      <c r="M292" s="291"/>
    </row>
    <row r="293" spans="1:13" s="208" customFormat="1" ht="24" customHeight="1" x14ac:dyDescent="0.25">
      <c r="A293" s="291">
        <v>287</v>
      </c>
      <c r="B293" s="313"/>
      <c r="C293" s="338"/>
      <c r="D293" s="436" t="s">
        <v>1159</v>
      </c>
      <c r="E293" s="311"/>
      <c r="F293" s="499" t="s">
        <v>663</v>
      </c>
      <c r="G293" s="298" t="s">
        <v>448</v>
      </c>
      <c r="H293" s="499" t="s">
        <v>663</v>
      </c>
      <c r="I293" s="499" t="s">
        <v>663</v>
      </c>
      <c r="J293" s="298" t="s">
        <v>1079</v>
      </c>
      <c r="K293" s="298" t="s">
        <v>1079</v>
      </c>
      <c r="L293" s="298" t="s">
        <v>1079</v>
      </c>
      <c r="M293" s="291"/>
    </row>
    <row r="294" spans="1:13" s="208" customFormat="1" ht="24" customHeight="1" x14ac:dyDescent="0.25">
      <c r="A294" s="291">
        <v>288</v>
      </c>
      <c r="B294" s="313"/>
      <c r="C294" s="338"/>
      <c r="D294" s="436" t="s">
        <v>1160</v>
      </c>
      <c r="E294" s="311"/>
      <c r="F294" s="499" t="s">
        <v>663</v>
      </c>
      <c r="G294" s="298" t="s">
        <v>448</v>
      </c>
      <c r="H294" s="499" t="s">
        <v>663</v>
      </c>
      <c r="I294" s="499" t="s">
        <v>663</v>
      </c>
      <c r="J294" s="298" t="s">
        <v>1079</v>
      </c>
      <c r="K294" s="298" t="s">
        <v>1079</v>
      </c>
      <c r="L294" s="298" t="s">
        <v>1079</v>
      </c>
      <c r="M294" s="291"/>
    </row>
    <row r="295" spans="1:13" s="208" customFormat="1" ht="24" customHeight="1" x14ac:dyDescent="0.25">
      <c r="A295" s="291">
        <v>289</v>
      </c>
      <c r="B295" s="313"/>
      <c r="C295" s="338"/>
      <c r="D295" s="293" t="s">
        <v>917</v>
      </c>
      <c r="E295" s="311"/>
      <c r="F295" s="499" t="s">
        <v>663</v>
      </c>
      <c r="G295" s="499" t="s">
        <v>663</v>
      </c>
      <c r="H295" s="298" t="s">
        <v>448</v>
      </c>
      <c r="I295" s="499" t="s">
        <v>663</v>
      </c>
      <c r="J295" s="499" t="s">
        <v>663</v>
      </c>
      <c r="K295" s="499" t="s">
        <v>663</v>
      </c>
      <c r="L295" s="499" t="s">
        <v>663</v>
      </c>
      <c r="M295" s="308"/>
    </row>
    <row r="296" spans="1:13" s="208" customFormat="1" ht="24" customHeight="1" x14ac:dyDescent="0.25">
      <c r="A296" s="291">
        <v>290</v>
      </c>
      <c r="B296" s="313"/>
      <c r="C296" s="338"/>
      <c r="D296" s="293" t="s">
        <v>918</v>
      </c>
      <c r="E296" s="170"/>
      <c r="F296" s="298" t="s">
        <v>664</v>
      </c>
      <c r="G296" s="499" t="s">
        <v>663</v>
      </c>
      <c r="H296" s="298" t="s">
        <v>448</v>
      </c>
      <c r="I296" s="499" t="s">
        <v>663</v>
      </c>
      <c r="J296" s="499" t="s">
        <v>663</v>
      </c>
      <c r="K296" s="499" t="s">
        <v>663</v>
      </c>
      <c r="L296" s="499" t="s">
        <v>663</v>
      </c>
      <c r="M296" s="363"/>
    </row>
    <row r="297" spans="1:13" s="208" customFormat="1" ht="24" customHeight="1" x14ac:dyDescent="0.25">
      <c r="A297" s="291">
        <v>291</v>
      </c>
      <c r="B297" s="313"/>
      <c r="C297" s="338"/>
      <c r="D297" s="293" t="s">
        <v>919</v>
      </c>
      <c r="E297" s="311"/>
      <c r="F297" s="298" t="s">
        <v>664</v>
      </c>
      <c r="G297" s="499" t="s">
        <v>663</v>
      </c>
      <c r="H297" s="298" t="s">
        <v>448</v>
      </c>
      <c r="I297" s="499" t="s">
        <v>663</v>
      </c>
      <c r="J297" s="499" t="s">
        <v>663</v>
      </c>
      <c r="K297" s="499" t="s">
        <v>663</v>
      </c>
      <c r="L297" s="499" t="s">
        <v>663</v>
      </c>
      <c r="M297" s="291"/>
    </row>
    <row r="298" spans="1:13" s="208" customFormat="1" ht="24" customHeight="1" x14ac:dyDescent="0.25">
      <c r="A298" s="291">
        <v>292</v>
      </c>
      <c r="B298" s="313"/>
      <c r="C298" s="338"/>
      <c r="D298" s="436" t="s">
        <v>920</v>
      </c>
      <c r="E298" s="311"/>
      <c r="F298" s="499" t="s">
        <v>663</v>
      </c>
      <c r="G298" s="298" t="s">
        <v>448</v>
      </c>
      <c r="H298" s="499" t="s">
        <v>663</v>
      </c>
      <c r="I298" s="499" t="s">
        <v>663</v>
      </c>
      <c r="J298" s="499" t="s">
        <v>663</v>
      </c>
      <c r="K298" s="499" t="s">
        <v>663</v>
      </c>
      <c r="L298" s="499" t="s">
        <v>663</v>
      </c>
      <c r="M298" s="291"/>
    </row>
    <row r="299" spans="1:13" s="208" customFormat="1" ht="24" customHeight="1" x14ac:dyDescent="0.25">
      <c r="A299" s="291">
        <v>293</v>
      </c>
      <c r="B299" s="339"/>
      <c r="C299" s="317"/>
      <c r="D299" s="293" t="s">
        <v>524</v>
      </c>
      <c r="E299" s="170"/>
      <c r="F299" s="298" t="s">
        <v>762</v>
      </c>
      <c r="G299" s="298" t="s">
        <v>762</v>
      </c>
      <c r="H299" s="298" t="s">
        <v>762</v>
      </c>
      <c r="I299" s="298" t="s">
        <v>762</v>
      </c>
      <c r="J299" s="298" t="s">
        <v>762</v>
      </c>
      <c r="K299" s="298" t="s">
        <v>762</v>
      </c>
      <c r="L299" s="298" t="s">
        <v>762</v>
      </c>
      <c r="M299" s="291"/>
    </row>
    <row r="300" spans="1:13" s="208" customFormat="1" ht="24" customHeight="1" x14ac:dyDescent="0.25">
      <c r="A300" s="291">
        <v>294</v>
      </c>
      <c r="B300" s="313"/>
      <c r="C300" s="337" t="s">
        <v>693</v>
      </c>
      <c r="D300" s="309" t="s">
        <v>792</v>
      </c>
      <c r="E300" s="444"/>
      <c r="F300" s="441" t="s">
        <v>165</v>
      </c>
      <c r="G300" s="441" t="s">
        <v>165</v>
      </c>
      <c r="H300" s="441" t="s">
        <v>165</v>
      </c>
      <c r="I300" s="441" t="s">
        <v>165</v>
      </c>
      <c r="J300" s="441" t="s">
        <v>165</v>
      </c>
      <c r="K300" s="441" t="s">
        <v>165</v>
      </c>
      <c r="L300" s="441" t="s">
        <v>165</v>
      </c>
      <c r="M300" s="291"/>
    </row>
    <row r="301" spans="1:13" s="208" customFormat="1" ht="24" customHeight="1" x14ac:dyDescent="0.25">
      <c r="A301" s="291">
        <v>295</v>
      </c>
      <c r="B301" s="313"/>
      <c r="C301" s="338"/>
      <c r="D301" s="293" t="s">
        <v>548</v>
      </c>
      <c r="E301" s="311"/>
      <c r="F301" s="298" t="s">
        <v>664</v>
      </c>
      <c r="G301" s="298" t="s">
        <v>448</v>
      </c>
      <c r="H301" s="298" t="s">
        <v>448</v>
      </c>
      <c r="I301" s="298" t="s">
        <v>448</v>
      </c>
      <c r="J301" s="298" t="s">
        <v>448</v>
      </c>
      <c r="K301" s="298" t="s">
        <v>448</v>
      </c>
      <c r="L301" s="298" t="s">
        <v>448</v>
      </c>
      <c r="M301" s="291"/>
    </row>
    <row r="302" spans="1:13" s="208" customFormat="1" ht="24" customHeight="1" x14ac:dyDescent="0.25">
      <c r="A302" s="291">
        <v>296</v>
      </c>
      <c r="B302" s="313"/>
      <c r="C302" s="338"/>
      <c r="D302" s="293" t="s">
        <v>550</v>
      </c>
      <c r="E302" s="170"/>
      <c r="F302" s="298" t="s">
        <v>664</v>
      </c>
      <c r="G302" s="298" t="s">
        <v>448</v>
      </c>
      <c r="H302" s="298" t="s">
        <v>448</v>
      </c>
      <c r="I302" s="298" t="s">
        <v>448</v>
      </c>
      <c r="J302" s="298" t="s">
        <v>448</v>
      </c>
      <c r="K302" s="298" t="s">
        <v>448</v>
      </c>
      <c r="L302" s="298" t="s">
        <v>448</v>
      </c>
      <c r="M302" s="291"/>
    </row>
    <row r="303" spans="1:13" s="208" customFormat="1" ht="24" customHeight="1" x14ac:dyDescent="0.25">
      <c r="A303" s="291">
        <v>297</v>
      </c>
      <c r="B303" s="313"/>
      <c r="C303" s="338"/>
      <c r="D303" s="293" t="s">
        <v>551</v>
      </c>
      <c r="E303" s="311"/>
      <c r="F303" s="298" t="s">
        <v>664</v>
      </c>
      <c r="G303" s="298" t="s">
        <v>448</v>
      </c>
      <c r="H303" s="298" t="s">
        <v>448</v>
      </c>
      <c r="I303" s="298" t="s">
        <v>448</v>
      </c>
      <c r="J303" s="298" t="s">
        <v>448</v>
      </c>
      <c r="K303" s="298" t="s">
        <v>448</v>
      </c>
      <c r="L303" s="298" t="s">
        <v>448</v>
      </c>
      <c r="M303" s="291"/>
    </row>
    <row r="304" spans="1:13" s="208" customFormat="1" ht="24" customHeight="1" x14ac:dyDescent="0.25">
      <c r="A304" s="291">
        <v>298</v>
      </c>
      <c r="B304" s="313"/>
      <c r="C304" s="338"/>
      <c r="D304" s="293" t="s">
        <v>552</v>
      </c>
      <c r="E304" s="311"/>
      <c r="F304" s="298" t="s">
        <v>664</v>
      </c>
      <c r="G304" s="298" t="s">
        <v>448</v>
      </c>
      <c r="H304" s="298" t="s">
        <v>448</v>
      </c>
      <c r="I304" s="298" t="s">
        <v>448</v>
      </c>
      <c r="J304" s="298" t="s">
        <v>448</v>
      </c>
      <c r="K304" s="298" t="s">
        <v>448</v>
      </c>
      <c r="L304" s="298" t="s">
        <v>448</v>
      </c>
      <c r="M304" s="291"/>
    </row>
    <row r="305" spans="1:14" s="208" customFormat="1" ht="24" customHeight="1" x14ac:dyDescent="0.25">
      <c r="A305" s="291">
        <v>299</v>
      </c>
      <c r="B305" s="313"/>
      <c r="C305" s="338"/>
      <c r="D305" s="293" t="s">
        <v>553</v>
      </c>
      <c r="E305" s="311"/>
      <c r="F305" s="298" t="s">
        <v>664</v>
      </c>
      <c r="G305" s="298" t="s">
        <v>448</v>
      </c>
      <c r="H305" s="298" t="s">
        <v>448</v>
      </c>
      <c r="I305" s="298" t="s">
        <v>448</v>
      </c>
      <c r="J305" s="298" t="s">
        <v>448</v>
      </c>
      <c r="K305" s="298" t="s">
        <v>448</v>
      </c>
      <c r="L305" s="298" t="s">
        <v>448</v>
      </c>
      <c r="M305" s="291"/>
    </row>
    <row r="306" spans="1:14" s="208" customFormat="1" ht="24" customHeight="1" x14ac:dyDescent="0.25">
      <c r="A306" s="291">
        <v>300</v>
      </c>
      <c r="B306" s="313"/>
      <c r="C306" s="338"/>
      <c r="D306" s="293" t="s">
        <v>554</v>
      </c>
      <c r="E306" s="170"/>
      <c r="F306" s="298" t="s">
        <v>664</v>
      </c>
      <c r="G306" s="298" t="s">
        <v>448</v>
      </c>
      <c r="H306" s="298" t="s">
        <v>448</v>
      </c>
      <c r="I306" s="298" t="s">
        <v>448</v>
      </c>
      <c r="J306" s="298" t="s">
        <v>448</v>
      </c>
      <c r="K306" s="298" t="s">
        <v>448</v>
      </c>
      <c r="L306" s="298" t="s">
        <v>448</v>
      </c>
      <c r="M306" s="363"/>
    </row>
    <row r="307" spans="1:14" s="208" customFormat="1" ht="24" customHeight="1" x14ac:dyDescent="0.25">
      <c r="A307" s="291">
        <v>301</v>
      </c>
      <c r="B307" s="313"/>
      <c r="C307" s="338"/>
      <c r="D307" s="293" t="s">
        <v>555</v>
      </c>
      <c r="E307" s="311"/>
      <c r="F307" s="298" t="s">
        <v>664</v>
      </c>
      <c r="G307" s="298" t="s">
        <v>448</v>
      </c>
      <c r="H307" s="298" t="s">
        <v>448</v>
      </c>
      <c r="I307" s="298" t="s">
        <v>448</v>
      </c>
      <c r="J307" s="298" t="s">
        <v>448</v>
      </c>
      <c r="K307" s="298" t="s">
        <v>448</v>
      </c>
      <c r="L307" s="298" t="s">
        <v>448</v>
      </c>
      <c r="M307" s="291"/>
    </row>
    <row r="308" spans="1:14" s="208" customFormat="1" ht="24" customHeight="1" x14ac:dyDescent="0.25">
      <c r="A308" s="291">
        <v>302</v>
      </c>
      <c r="B308" s="313"/>
      <c r="C308" s="338"/>
      <c r="D308" s="293" t="s">
        <v>556</v>
      </c>
      <c r="E308" s="311"/>
      <c r="F308" s="298" t="s">
        <v>664</v>
      </c>
      <c r="G308" s="298" t="s">
        <v>448</v>
      </c>
      <c r="H308" s="298" t="s">
        <v>448</v>
      </c>
      <c r="I308" s="298" t="s">
        <v>448</v>
      </c>
      <c r="J308" s="298" t="s">
        <v>448</v>
      </c>
      <c r="K308" s="298" t="s">
        <v>448</v>
      </c>
      <c r="L308" s="298" t="s">
        <v>448</v>
      </c>
      <c r="M308" s="291"/>
    </row>
    <row r="309" spans="1:14" s="208" customFormat="1" ht="24" customHeight="1" x14ac:dyDescent="0.25">
      <c r="A309" s="291">
        <v>303</v>
      </c>
      <c r="B309" s="313"/>
      <c r="C309" s="338"/>
      <c r="D309" s="293" t="s">
        <v>557</v>
      </c>
      <c r="E309" s="170"/>
      <c r="F309" s="298" t="s">
        <v>664</v>
      </c>
      <c r="G309" s="298" t="s">
        <v>448</v>
      </c>
      <c r="H309" s="298" t="s">
        <v>448</v>
      </c>
      <c r="I309" s="298" t="s">
        <v>448</v>
      </c>
      <c r="J309" s="298" t="s">
        <v>448</v>
      </c>
      <c r="K309" s="298" t="s">
        <v>448</v>
      </c>
      <c r="L309" s="298" t="s">
        <v>448</v>
      </c>
      <c r="M309" s="291"/>
    </row>
    <row r="310" spans="1:14" s="208" customFormat="1" ht="24" customHeight="1" x14ac:dyDescent="0.25">
      <c r="A310" s="291">
        <v>304</v>
      </c>
      <c r="B310" s="313"/>
      <c r="C310" s="338"/>
      <c r="D310" s="293" t="s">
        <v>558</v>
      </c>
      <c r="E310" s="311"/>
      <c r="F310" s="298" t="s">
        <v>664</v>
      </c>
      <c r="G310" s="298" t="s">
        <v>448</v>
      </c>
      <c r="H310" s="298" t="s">
        <v>448</v>
      </c>
      <c r="I310" s="298" t="s">
        <v>448</v>
      </c>
      <c r="J310" s="298" t="s">
        <v>448</v>
      </c>
      <c r="K310" s="298" t="s">
        <v>448</v>
      </c>
      <c r="L310" s="298" t="s">
        <v>448</v>
      </c>
      <c r="M310" s="308"/>
    </row>
    <row r="311" spans="1:14" s="208" customFormat="1" ht="24" customHeight="1" x14ac:dyDescent="0.25">
      <c r="A311" s="291">
        <v>305</v>
      </c>
      <c r="B311" s="313"/>
      <c r="C311" s="338"/>
      <c r="D311" s="492" t="s">
        <v>1161</v>
      </c>
      <c r="E311" s="301"/>
      <c r="F311" s="3" t="s">
        <v>1079</v>
      </c>
      <c r="G311" s="3" t="s">
        <v>1079</v>
      </c>
      <c r="H311" s="3" t="s">
        <v>1079</v>
      </c>
      <c r="I311" s="3" t="s">
        <v>1079</v>
      </c>
      <c r="J311" s="3" t="s">
        <v>1079</v>
      </c>
      <c r="K311" s="3" t="s">
        <v>1079</v>
      </c>
      <c r="L311" s="3" t="s">
        <v>1079</v>
      </c>
      <c r="M311" s="3"/>
      <c r="N311" s="220"/>
    </row>
    <row r="312" spans="1:14" s="208" customFormat="1" ht="24" customHeight="1" x14ac:dyDescent="0.25">
      <c r="A312" s="291">
        <v>306</v>
      </c>
      <c r="B312" s="313"/>
      <c r="C312" s="338"/>
      <c r="D312" s="492" t="s">
        <v>1162</v>
      </c>
      <c r="E312" s="301"/>
      <c r="F312" s="3" t="s">
        <v>1079</v>
      </c>
      <c r="G312" s="3" t="s">
        <v>1079</v>
      </c>
      <c r="H312" s="3" t="s">
        <v>1079</v>
      </c>
      <c r="I312" s="3" t="s">
        <v>1079</v>
      </c>
      <c r="J312" s="3" t="s">
        <v>1079</v>
      </c>
      <c r="K312" s="3" t="s">
        <v>1079</v>
      </c>
      <c r="L312" s="3" t="s">
        <v>1079</v>
      </c>
      <c r="M312" s="3"/>
      <c r="N312" s="220"/>
    </row>
    <row r="313" spans="1:14" s="208" customFormat="1" ht="24" customHeight="1" x14ac:dyDescent="0.25">
      <c r="A313" s="291">
        <v>307</v>
      </c>
      <c r="B313" s="313"/>
      <c r="C313" s="338"/>
      <c r="D313" s="492" t="s">
        <v>1163</v>
      </c>
      <c r="E313" s="301"/>
      <c r="F313" s="3" t="s">
        <v>1079</v>
      </c>
      <c r="G313" s="3" t="s">
        <v>1079</v>
      </c>
      <c r="H313" s="3" t="s">
        <v>1079</v>
      </c>
      <c r="I313" s="3" t="s">
        <v>1079</v>
      </c>
      <c r="J313" s="3" t="s">
        <v>1079</v>
      </c>
      <c r="K313" s="3" t="s">
        <v>1079</v>
      </c>
      <c r="L313" s="3" t="s">
        <v>1079</v>
      </c>
      <c r="M313" s="3"/>
      <c r="N313" s="220"/>
    </row>
    <row r="314" spans="1:14" s="208" customFormat="1" ht="24" customHeight="1" x14ac:dyDescent="0.25">
      <c r="A314" s="291">
        <v>308</v>
      </c>
      <c r="B314" s="313"/>
      <c r="C314" s="338"/>
      <c r="D314" s="493" t="s">
        <v>1164</v>
      </c>
      <c r="E314" s="301"/>
      <c r="F314" s="3" t="s">
        <v>1079</v>
      </c>
      <c r="G314" s="3" t="s">
        <v>1079</v>
      </c>
      <c r="H314" s="3" t="s">
        <v>1079</v>
      </c>
      <c r="I314" s="3" t="s">
        <v>1079</v>
      </c>
      <c r="J314" s="3" t="s">
        <v>1079</v>
      </c>
      <c r="K314" s="3" t="s">
        <v>1079</v>
      </c>
      <c r="L314" s="3" t="s">
        <v>1079</v>
      </c>
      <c r="M314" s="3"/>
      <c r="N314" s="220"/>
    </row>
    <row r="315" spans="1:14" s="208" customFormat="1" ht="24" customHeight="1" x14ac:dyDescent="0.25">
      <c r="A315" s="291">
        <v>309</v>
      </c>
      <c r="B315" s="313"/>
      <c r="C315" s="338"/>
      <c r="D315" s="492" t="s">
        <v>1165</v>
      </c>
      <c r="E315" s="301"/>
      <c r="F315" s="3" t="s">
        <v>1079</v>
      </c>
      <c r="G315" s="3" t="s">
        <v>1079</v>
      </c>
      <c r="H315" s="3" t="s">
        <v>1079</v>
      </c>
      <c r="I315" s="3" t="s">
        <v>1079</v>
      </c>
      <c r="J315" s="3" t="s">
        <v>1079</v>
      </c>
      <c r="K315" s="3" t="s">
        <v>1079</v>
      </c>
      <c r="L315" s="3" t="s">
        <v>1079</v>
      </c>
      <c r="M315" s="3"/>
      <c r="N315" s="220"/>
    </row>
    <row r="316" spans="1:14" s="208" customFormat="1" ht="24" customHeight="1" x14ac:dyDescent="0.25">
      <c r="A316" s="291">
        <v>310</v>
      </c>
      <c r="B316" s="313"/>
      <c r="C316" s="338"/>
      <c r="D316" s="492" t="s">
        <v>1166</v>
      </c>
      <c r="E316" s="301"/>
      <c r="F316" s="3" t="s">
        <v>1079</v>
      </c>
      <c r="G316" s="3" t="s">
        <v>1079</v>
      </c>
      <c r="H316" s="3" t="s">
        <v>1079</v>
      </c>
      <c r="I316" s="3" t="s">
        <v>1079</v>
      </c>
      <c r="J316" s="3" t="s">
        <v>1079</v>
      </c>
      <c r="K316" s="3" t="s">
        <v>1079</v>
      </c>
      <c r="L316" s="3" t="s">
        <v>1079</v>
      </c>
      <c r="M316" s="3"/>
      <c r="N316" s="220"/>
    </row>
    <row r="317" spans="1:14" s="208" customFormat="1" ht="24" customHeight="1" x14ac:dyDescent="0.25">
      <c r="A317" s="291">
        <v>311</v>
      </c>
      <c r="B317" s="313"/>
      <c r="C317" s="338"/>
      <c r="D317" s="293" t="s">
        <v>1167</v>
      </c>
      <c r="E317" s="311"/>
      <c r="F317" s="298" t="s">
        <v>664</v>
      </c>
      <c r="G317" s="298" t="s">
        <v>448</v>
      </c>
      <c r="H317" s="298" t="s">
        <v>448</v>
      </c>
      <c r="I317" s="298" t="s">
        <v>448</v>
      </c>
      <c r="J317" s="298" t="s">
        <v>448</v>
      </c>
      <c r="K317" s="298" t="s">
        <v>448</v>
      </c>
      <c r="L317" s="298" t="s">
        <v>448</v>
      </c>
      <c r="M317" s="363"/>
    </row>
    <row r="318" spans="1:14" s="208" customFormat="1" ht="24" customHeight="1" x14ac:dyDescent="0.25">
      <c r="A318" s="291">
        <v>312</v>
      </c>
      <c r="B318" s="313"/>
      <c r="C318" s="338"/>
      <c r="D318" s="293" t="s">
        <v>1168</v>
      </c>
      <c r="E318" s="170"/>
      <c r="F318" s="298" t="s">
        <v>664</v>
      </c>
      <c r="G318" s="298" t="s">
        <v>448</v>
      </c>
      <c r="H318" s="298" t="s">
        <v>448</v>
      </c>
      <c r="I318" s="298" t="s">
        <v>448</v>
      </c>
      <c r="J318" s="298" t="s">
        <v>448</v>
      </c>
      <c r="K318" s="298" t="s">
        <v>448</v>
      </c>
      <c r="L318" s="298" t="s">
        <v>448</v>
      </c>
      <c r="M318" s="291"/>
    </row>
    <row r="319" spans="1:14" s="208" customFormat="1" ht="24" customHeight="1" x14ac:dyDescent="0.25">
      <c r="A319" s="291">
        <v>313</v>
      </c>
      <c r="B319" s="313"/>
      <c r="C319" s="338"/>
      <c r="D319" s="293" t="s">
        <v>1169</v>
      </c>
      <c r="E319" s="311"/>
      <c r="F319" s="298" t="s">
        <v>664</v>
      </c>
      <c r="G319" s="298" t="s">
        <v>448</v>
      </c>
      <c r="H319" s="298" t="s">
        <v>448</v>
      </c>
      <c r="I319" s="298" t="s">
        <v>448</v>
      </c>
      <c r="J319" s="298" t="s">
        <v>448</v>
      </c>
      <c r="K319" s="298" t="s">
        <v>448</v>
      </c>
      <c r="L319" s="298" t="s">
        <v>448</v>
      </c>
      <c r="M319" s="291"/>
    </row>
    <row r="320" spans="1:14" s="208" customFormat="1" ht="24" customHeight="1" x14ac:dyDescent="0.25">
      <c r="A320" s="291">
        <v>314</v>
      </c>
      <c r="B320" s="339"/>
      <c r="C320" s="317"/>
      <c r="D320" s="293" t="s">
        <v>524</v>
      </c>
      <c r="E320" s="311"/>
      <c r="F320" s="298" t="s">
        <v>762</v>
      </c>
      <c r="G320" s="298" t="s">
        <v>762</v>
      </c>
      <c r="H320" s="298" t="s">
        <v>762</v>
      </c>
      <c r="I320" s="298" t="s">
        <v>762</v>
      </c>
      <c r="J320" s="298" t="s">
        <v>762</v>
      </c>
      <c r="K320" s="298" t="s">
        <v>762</v>
      </c>
      <c r="L320" s="298" t="s">
        <v>762</v>
      </c>
      <c r="M320" s="363"/>
    </row>
    <row r="321" spans="1:13" s="208" customFormat="1" ht="24" customHeight="1" x14ac:dyDescent="0.25">
      <c r="A321" s="291">
        <v>315</v>
      </c>
      <c r="B321" s="339"/>
      <c r="C321" s="337" t="s">
        <v>694</v>
      </c>
      <c r="D321" s="472" t="s">
        <v>166</v>
      </c>
      <c r="E321" s="170"/>
      <c r="F321" s="443" t="s">
        <v>165</v>
      </c>
      <c r="G321" s="443" t="s">
        <v>165</v>
      </c>
      <c r="H321" s="443" t="s">
        <v>165</v>
      </c>
      <c r="I321" s="443" t="s">
        <v>165</v>
      </c>
      <c r="J321" s="443" t="s">
        <v>165</v>
      </c>
      <c r="K321" s="443" t="s">
        <v>165</v>
      </c>
      <c r="L321" s="443" t="s">
        <v>165</v>
      </c>
      <c r="M321" s="291"/>
    </row>
    <row r="322" spans="1:13" s="208" customFormat="1" ht="24" customHeight="1" x14ac:dyDescent="0.25">
      <c r="A322" s="291">
        <v>316</v>
      </c>
      <c r="B322" s="339"/>
      <c r="C322" s="338"/>
      <c r="D322" s="440" t="s">
        <v>683</v>
      </c>
      <c r="E322" s="311"/>
      <c r="F322" s="3" t="s">
        <v>664</v>
      </c>
      <c r="G322" s="3" t="s">
        <v>448</v>
      </c>
      <c r="H322" s="3" t="s">
        <v>448</v>
      </c>
      <c r="I322" s="3" t="s">
        <v>448</v>
      </c>
      <c r="J322" s="3" t="s">
        <v>448</v>
      </c>
      <c r="K322" s="3" t="s">
        <v>448</v>
      </c>
      <c r="L322" s="3" t="s">
        <v>448</v>
      </c>
      <c r="M322" s="291"/>
    </row>
    <row r="323" spans="1:13" s="208" customFormat="1" ht="24" customHeight="1" x14ac:dyDescent="0.25">
      <c r="A323" s="291">
        <v>317</v>
      </c>
      <c r="B323" s="339"/>
      <c r="C323" s="340"/>
      <c r="D323" s="440" t="s">
        <v>921</v>
      </c>
      <c r="E323" s="324"/>
      <c r="F323" s="3" t="s">
        <v>664</v>
      </c>
      <c r="G323" s="3" t="s">
        <v>448</v>
      </c>
      <c r="H323" s="3" t="s">
        <v>448</v>
      </c>
      <c r="I323" s="3" t="s">
        <v>448</v>
      </c>
      <c r="J323" s="3" t="s">
        <v>448</v>
      </c>
      <c r="K323" s="3" t="s">
        <v>448</v>
      </c>
      <c r="L323" s="3" t="s">
        <v>448</v>
      </c>
      <c r="M323" s="291"/>
    </row>
    <row r="324" spans="1:13" s="208" customFormat="1" ht="24" customHeight="1" x14ac:dyDescent="0.25">
      <c r="A324" s="291">
        <v>318</v>
      </c>
      <c r="B324" s="339"/>
      <c r="C324" s="340"/>
      <c r="D324" s="440" t="s">
        <v>699</v>
      </c>
      <c r="E324" s="324"/>
      <c r="F324" s="318" t="s">
        <v>762</v>
      </c>
      <c r="G324" s="318" t="s">
        <v>762</v>
      </c>
      <c r="H324" s="318" t="s">
        <v>762</v>
      </c>
      <c r="I324" s="318" t="s">
        <v>762</v>
      </c>
      <c r="J324" s="318" t="s">
        <v>762</v>
      </c>
      <c r="K324" s="318" t="s">
        <v>762</v>
      </c>
      <c r="L324" s="318" t="s">
        <v>762</v>
      </c>
      <c r="M324" s="363"/>
    </row>
    <row r="325" spans="1:13" s="208" customFormat="1" ht="24" customHeight="1" x14ac:dyDescent="0.25">
      <c r="A325" s="291">
        <v>319</v>
      </c>
      <c r="B325" s="313"/>
      <c r="C325" s="337" t="s">
        <v>24</v>
      </c>
      <c r="D325" s="309" t="s">
        <v>792</v>
      </c>
      <c r="E325" s="170"/>
      <c r="F325" s="441" t="s">
        <v>165</v>
      </c>
      <c r="G325" s="298" t="s">
        <v>448</v>
      </c>
      <c r="H325" s="441" t="s">
        <v>165</v>
      </c>
      <c r="I325" s="441" t="s">
        <v>165</v>
      </c>
      <c r="J325" s="298" t="s">
        <v>448</v>
      </c>
      <c r="K325" s="441" t="s">
        <v>165</v>
      </c>
      <c r="L325" s="441" t="s">
        <v>165</v>
      </c>
      <c r="M325" s="291"/>
    </row>
    <row r="326" spans="1:13" s="208" customFormat="1" ht="24" customHeight="1" x14ac:dyDescent="0.25">
      <c r="A326" s="291">
        <v>320</v>
      </c>
      <c r="B326" s="313"/>
      <c r="C326" s="338"/>
      <c r="D326" s="293" t="s">
        <v>794</v>
      </c>
      <c r="E326" s="311"/>
      <c r="F326" s="298" t="s">
        <v>664</v>
      </c>
      <c r="G326" s="441" t="s">
        <v>165</v>
      </c>
      <c r="H326" s="298" t="s">
        <v>448</v>
      </c>
      <c r="I326" s="298" t="s">
        <v>448</v>
      </c>
      <c r="J326" s="441" t="s">
        <v>165</v>
      </c>
      <c r="K326" s="298" t="s">
        <v>448</v>
      </c>
      <c r="L326" s="298" t="s">
        <v>448</v>
      </c>
      <c r="M326" s="291"/>
    </row>
    <row r="327" spans="1:13" s="208" customFormat="1" ht="24" customHeight="1" x14ac:dyDescent="0.25">
      <c r="A327" s="291">
        <v>321</v>
      </c>
      <c r="B327" s="339"/>
      <c r="C327" s="317"/>
      <c r="D327" s="293" t="s">
        <v>524</v>
      </c>
      <c r="E327" s="311"/>
      <c r="F327" s="298" t="s">
        <v>762</v>
      </c>
      <c r="G327" s="298" t="s">
        <v>762</v>
      </c>
      <c r="H327" s="298" t="s">
        <v>762</v>
      </c>
      <c r="I327" s="298" t="s">
        <v>762</v>
      </c>
      <c r="J327" s="298" t="s">
        <v>762</v>
      </c>
      <c r="K327" s="298" t="s">
        <v>762</v>
      </c>
      <c r="L327" s="298" t="s">
        <v>762</v>
      </c>
      <c r="M327" s="291"/>
    </row>
    <row r="328" spans="1:13" s="208" customFormat="1" ht="24" customHeight="1" x14ac:dyDescent="0.25">
      <c r="A328" s="291">
        <v>322</v>
      </c>
      <c r="B328" s="313"/>
      <c r="C328" s="337" t="s">
        <v>562</v>
      </c>
      <c r="D328" s="309" t="s">
        <v>792</v>
      </c>
      <c r="E328" s="324"/>
      <c r="F328" s="441" t="s">
        <v>165</v>
      </c>
      <c r="G328" s="441" t="s">
        <v>165</v>
      </c>
      <c r="H328" s="441" t="s">
        <v>165</v>
      </c>
      <c r="I328" s="441" t="s">
        <v>165</v>
      </c>
      <c r="J328" s="441" t="s">
        <v>165</v>
      </c>
      <c r="K328" s="441" t="s">
        <v>165</v>
      </c>
      <c r="L328" s="441" t="s">
        <v>165</v>
      </c>
      <c r="M328" s="291"/>
    </row>
    <row r="329" spans="1:13" s="208" customFormat="1" ht="24" customHeight="1" x14ac:dyDescent="0.25">
      <c r="A329" s="291">
        <v>323</v>
      </c>
      <c r="B329" s="313"/>
      <c r="C329" s="338"/>
      <c r="D329" s="293" t="s">
        <v>574</v>
      </c>
      <c r="E329" s="170"/>
      <c r="F329" s="298" t="s">
        <v>664</v>
      </c>
      <c r="G329" s="298" t="s">
        <v>448</v>
      </c>
      <c r="H329" s="298" t="s">
        <v>448</v>
      </c>
      <c r="I329" s="298" t="s">
        <v>448</v>
      </c>
      <c r="J329" s="298" t="s">
        <v>448</v>
      </c>
      <c r="K329" s="298" t="s">
        <v>448</v>
      </c>
      <c r="L329" s="298" t="s">
        <v>448</v>
      </c>
      <c r="M329" s="291"/>
    </row>
    <row r="330" spans="1:13" s="208" customFormat="1" ht="24" customHeight="1" x14ac:dyDescent="0.25">
      <c r="A330" s="291">
        <v>324</v>
      </c>
      <c r="B330" s="313"/>
      <c r="C330" s="338"/>
      <c r="D330" s="293" t="s">
        <v>575</v>
      </c>
      <c r="E330" s="311"/>
      <c r="F330" s="298" t="s">
        <v>664</v>
      </c>
      <c r="G330" s="298" t="s">
        <v>448</v>
      </c>
      <c r="H330" s="298" t="s">
        <v>448</v>
      </c>
      <c r="I330" s="298" t="s">
        <v>448</v>
      </c>
      <c r="J330" s="298" t="s">
        <v>448</v>
      </c>
      <c r="K330" s="298" t="s">
        <v>448</v>
      </c>
      <c r="L330" s="298" t="s">
        <v>448</v>
      </c>
      <c r="M330" s="291"/>
    </row>
    <row r="331" spans="1:13" s="208" customFormat="1" ht="24" customHeight="1" x14ac:dyDescent="0.25">
      <c r="A331" s="291">
        <v>325</v>
      </c>
      <c r="B331" s="313"/>
      <c r="C331" s="338"/>
      <c r="D331" s="293" t="s">
        <v>990</v>
      </c>
      <c r="E331" s="306"/>
      <c r="F331" s="298" t="s">
        <v>664</v>
      </c>
      <c r="G331" s="298" t="s">
        <v>448</v>
      </c>
      <c r="H331" s="298" t="s">
        <v>448</v>
      </c>
      <c r="I331" s="298" t="s">
        <v>448</v>
      </c>
      <c r="J331" s="298" t="s">
        <v>448</v>
      </c>
      <c r="K331" s="298" t="s">
        <v>448</v>
      </c>
      <c r="L331" s="298" t="s">
        <v>448</v>
      </c>
      <c r="M331" s="291"/>
    </row>
    <row r="332" spans="1:13" s="208" customFormat="1" ht="24" customHeight="1" x14ac:dyDescent="0.25">
      <c r="A332" s="291">
        <v>326</v>
      </c>
      <c r="B332" s="313"/>
      <c r="C332" s="338"/>
      <c r="D332" s="293" t="s">
        <v>991</v>
      </c>
      <c r="E332" s="306"/>
      <c r="F332" s="298" t="s">
        <v>664</v>
      </c>
      <c r="G332" s="298" t="s">
        <v>448</v>
      </c>
      <c r="H332" s="298" t="s">
        <v>448</v>
      </c>
      <c r="I332" s="298" t="s">
        <v>448</v>
      </c>
      <c r="J332" s="298" t="s">
        <v>448</v>
      </c>
      <c r="K332" s="298" t="s">
        <v>448</v>
      </c>
      <c r="L332" s="298" t="s">
        <v>448</v>
      </c>
      <c r="M332" s="363"/>
    </row>
    <row r="333" spans="1:13" s="208" customFormat="1" ht="24" customHeight="1" x14ac:dyDescent="0.25">
      <c r="A333" s="291">
        <v>327</v>
      </c>
      <c r="B333" s="313"/>
      <c r="C333" s="338"/>
      <c r="D333" s="293" t="s">
        <v>995</v>
      </c>
      <c r="E333" s="306"/>
      <c r="F333" s="298" t="s">
        <v>10</v>
      </c>
      <c r="G333" s="298" t="s">
        <v>10</v>
      </c>
      <c r="H333" s="298" t="s">
        <v>10</v>
      </c>
      <c r="I333" s="298" t="s">
        <v>10</v>
      </c>
      <c r="J333" s="298" t="s">
        <v>10</v>
      </c>
      <c r="K333" s="298" t="s">
        <v>10</v>
      </c>
      <c r="L333" s="298" t="s">
        <v>10</v>
      </c>
      <c r="M333" s="363"/>
    </row>
    <row r="334" spans="1:13" s="208" customFormat="1" ht="24" customHeight="1" x14ac:dyDescent="0.25">
      <c r="A334" s="291">
        <v>328</v>
      </c>
      <c r="B334" s="313"/>
      <c r="C334" s="338"/>
      <c r="D334" s="293" t="s">
        <v>996</v>
      </c>
      <c r="E334" s="306"/>
      <c r="F334" s="298" t="s">
        <v>10</v>
      </c>
      <c r="G334" s="298" t="s">
        <v>10</v>
      </c>
      <c r="H334" s="298" t="s">
        <v>10</v>
      </c>
      <c r="I334" s="298" t="s">
        <v>10</v>
      </c>
      <c r="J334" s="298" t="s">
        <v>10</v>
      </c>
      <c r="K334" s="298" t="s">
        <v>10</v>
      </c>
      <c r="L334" s="298" t="s">
        <v>10</v>
      </c>
      <c r="M334" s="363"/>
    </row>
    <row r="335" spans="1:13" s="208" customFormat="1" ht="24" customHeight="1" x14ac:dyDescent="0.25">
      <c r="A335" s="291">
        <v>329</v>
      </c>
      <c r="B335" s="313"/>
      <c r="C335" s="338"/>
      <c r="D335" s="293" t="s">
        <v>576</v>
      </c>
      <c r="E335" s="306"/>
      <c r="F335" s="298" t="s">
        <v>664</v>
      </c>
      <c r="G335" s="298" t="s">
        <v>448</v>
      </c>
      <c r="H335" s="298" t="s">
        <v>448</v>
      </c>
      <c r="I335" s="298" t="s">
        <v>448</v>
      </c>
      <c r="J335" s="298" t="s">
        <v>448</v>
      </c>
      <c r="K335" s="298" t="s">
        <v>448</v>
      </c>
      <c r="L335" s="298" t="s">
        <v>448</v>
      </c>
      <c r="M335" s="291"/>
    </row>
    <row r="336" spans="1:13" s="208" customFormat="1" ht="24" customHeight="1" x14ac:dyDescent="0.25">
      <c r="A336" s="291">
        <v>330</v>
      </c>
      <c r="B336" s="313"/>
      <c r="C336" s="338"/>
      <c r="D336" s="293" t="s">
        <v>577</v>
      </c>
      <c r="E336" s="306"/>
      <c r="F336" s="298" t="s">
        <v>664</v>
      </c>
      <c r="G336" s="298" t="s">
        <v>448</v>
      </c>
      <c r="H336" s="298" t="s">
        <v>448</v>
      </c>
      <c r="I336" s="298" t="s">
        <v>448</v>
      </c>
      <c r="J336" s="298" t="s">
        <v>448</v>
      </c>
      <c r="K336" s="298" t="s">
        <v>448</v>
      </c>
      <c r="L336" s="298" t="s">
        <v>448</v>
      </c>
      <c r="M336" s="291"/>
    </row>
    <row r="337" spans="1:13" s="208" customFormat="1" ht="24" customHeight="1" x14ac:dyDescent="0.25">
      <c r="A337" s="291">
        <v>331</v>
      </c>
      <c r="B337" s="313"/>
      <c r="C337" s="338"/>
      <c r="D337" s="293" t="s">
        <v>992</v>
      </c>
      <c r="E337" s="306"/>
      <c r="F337" s="298" t="s">
        <v>664</v>
      </c>
      <c r="G337" s="298" t="s">
        <v>448</v>
      </c>
      <c r="H337" s="298" t="s">
        <v>448</v>
      </c>
      <c r="I337" s="298" t="s">
        <v>448</v>
      </c>
      <c r="J337" s="298" t="s">
        <v>448</v>
      </c>
      <c r="K337" s="298" t="s">
        <v>448</v>
      </c>
      <c r="L337" s="298" t="s">
        <v>448</v>
      </c>
      <c r="M337" s="291"/>
    </row>
    <row r="338" spans="1:13" s="208" customFormat="1" ht="24" customHeight="1" x14ac:dyDescent="0.25">
      <c r="A338" s="291">
        <v>332</v>
      </c>
      <c r="B338" s="313"/>
      <c r="C338" s="338"/>
      <c r="D338" s="293" t="s">
        <v>993</v>
      </c>
      <c r="E338" s="306"/>
      <c r="F338" s="298" t="s">
        <v>664</v>
      </c>
      <c r="G338" s="298" t="s">
        <v>448</v>
      </c>
      <c r="H338" s="298" t="s">
        <v>448</v>
      </c>
      <c r="I338" s="298" t="s">
        <v>448</v>
      </c>
      <c r="J338" s="298" t="s">
        <v>448</v>
      </c>
      <c r="K338" s="298" t="s">
        <v>448</v>
      </c>
      <c r="L338" s="298" t="s">
        <v>448</v>
      </c>
      <c r="M338" s="363"/>
    </row>
    <row r="339" spans="1:13" s="208" customFormat="1" ht="24" customHeight="1" x14ac:dyDescent="0.25">
      <c r="A339" s="291">
        <v>333</v>
      </c>
      <c r="B339" s="339"/>
      <c r="C339" s="317"/>
      <c r="D339" s="293" t="s">
        <v>524</v>
      </c>
      <c r="E339" s="306"/>
      <c r="F339" s="298" t="s">
        <v>762</v>
      </c>
      <c r="G339" s="298" t="s">
        <v>762</v>
      </c>
      <c r="H339" s="298" t="s">
        <v>762</v>
      </c>
      <c r="I339" s="298" t="s">
        <v>762</v>
      </c>
      <c r="J339" s="298" t="s">
        <v>762</v>
      </c>
      <c r="K339" s="298" t="s">
        <v>762</v>
      </c>
      <c r="L339" s="298" t="s">
        <v>762</v>
      </c>
      <c r="M339" s="363"/>
    </row>
    <row r="340" spans="1:13" s="208" customFormat="1" ht="24" customHeight="1" x14ac:dyDescent="0.25">
      <c r="A340" s="291">
        <v>334</v>
      </c>
      <c r="B340" s="313"/>
      <c r="C340" s="337" t="s">
        <v>563</v>
      </c>
      <c r="D340" s="309" t="s">
        <v>792</v>
      </c>
      <c r="E340" s="306"/>
      <c r="F340" s="441" t="s">
        <v>165</v>
      </c>
      <c r="G340" s="441" t="s">
        <v>165</v>
      </c>
      <c r="H340" s="441" t="s">
        <v>165</v>
      </c>
      <c r="I340" s="441" t="s">
        <v>165</v>
      </c>
      <c r="J340" s="441" t="s">
        <v>165</v>
      </c>
      <c r="K340" s="441" t="s">
        <v>165</v>
      </c>
      <c r="L340" s="441" t="s">
        <v>165</v>
      </c>
      <c r="M340" s="291"/>
    </row>
    <row r="341" spans="1:13" s="208" customFormat="1" ht="24" customHeight="1" x14ac:dyDescent="0.25">
      <c r="A341" s="291">
        <v>335</v>
      </c>
      <c r="B341" s="313"/>
      <c r="C341" s="338"/>
      <c r="D341" s="293" t="s">
        <v>578</v>
      </c>
      <c r="E341" s="306"/>
      <c r="F341" s="298" t="s">
        <v>664</v>
      </c>
      <c r="G341" s="298" t="s">
        <v>448</v>
      </c>
      <c r="H341" s="298" t="s">
        <v>448</v>
      </c>
      <c r="I341" s="298" t="s">
        <v>448</v>
      </c>
      <c r="J341" s="298" t="s">
        <v>448</v>
      </c>
      <c r="K341" s="298" t="s">
        <v>448</v>
      </c>
      <c r="L341" s="298" t="s">
        <v>448</v>
      </c>
      <c r="M341" s="363"/>
    </row>
    <row r="342" spans="1:13" s="208" customFormat="1" ht="24" customHeight="1" x14ac:dyDescent="0.25">
      <c r="A342" s="291">
        <v>336</v>
      </c>
      <c r="B342" s="313"/>
      <c r="C342" s="338"/>
      <c r="D342" s="293" t="s">
        <v>922</v>
      </c>
      <c r="E342" s="306"/>
      <c r="F342" s="298" t="s">
        <v>664</v>
      </c>
      <c r="G342" s="298" t="s">
        <v>448</v>
      </c>
      <c r="H342" s="298" t="s">
        <v>448</v>
      </c>
      <c r="I342" s="298" t="s">
        <v>448</v>
      </c>
      <c r="J342" s="298" t="s">
        <v>448</v>
      </c>
      <c r="K342" s="298" t="s">
        <v>448</v>
      </c>
      <c r="L342" s="298" t="s">
        <v>448</v>
      </c>
      <c r="M342" s="291"/>
    </row>
    <row r="343" spans="1:13" s="208" customFormat="1" ht="24" customHeight="1" x14ac:dyDescent="0.25">
      <c r="A343" s="291">
        <v>337</v>
      </c>
      <c r="B343" s="313"/>
      <c r="C343" s="338"/>
      <c r="D343" s="293" t="s">
        <v>579</v>
      </c>
      <c r="E343" s="306"/>
      <c r="F343" s="298" t="s">
        <v>664</v>
      </c>
      <c r="G343" s="298" t="s">
        <v>448</v>
      </c>
      <c r="H343" s="298" t="s">
        <v>448</v>
      </c>
      <c r="I343" s="298" t="s">
        <v>448</v>
      </c>
      <c r="J343" s="298" t="s">
        <v>448</v>
      </c>
      <c r="K343" s="298" t="s">
        <v>448</v>
      </c>
      <c r="L343" s="298" t="s">
        <v>448</v>
      </c>
      <c r="M343" s="363"/>
    </row>
    <row r="344" spans="1:13" s="208" customFormat="1" ht="24" customHeight="1" x14ac:dyDescent="0.25">
      <c r="A344" s="291">
        <v>338</v>
      </c>
      <c r="B344" s="313"/>
      <c r="C344" s="338"/>
      <c r="D344" s="293" t="s">
        <v>923</v>
      </c>
      <c r="E344" s="306"/>
      <c r="F344" s="298" t="s">
        <v>664</v>
      </c>
      <c r="G344" s="298" t="s">
        <v>448</v>
      </c>
      <c r="H344" s="298" t="s">
        <v>448</v>
      </c>
      <c r="I344" s="298" t="s">
        <v>448</v>
      </c>
      <c r="J344" s="298" t="s">
        <v>448</v>
      </c>
      <c r="K344" s="298" t="s">
        <v>448</v>
      </c>
      <c r="L344" s="298" t="s">
        <v>448</v>
      </c>
      <c r="M344" s="363"/>
    </row>
    <row r="345" spans="1:13" s="208" customFormat="1" ht="24" customHeight="1" x14ac:dyDescent="0.25">
      <c r="A345" s="291">
        <v>339</v>
      </c>
      <c r="B345" s="313"/>
      <c r="C345" s="338"/>
      <c r="D345" s="293" t="s">
        <v>580</v>
      </c>
      <c r="E345" s="306"/>
      <c r="F345" s="298" t="s">
        <v>664</v>
      </c>
      <c r="G345" s="298" t="s">
        <v>448</v>
      </c>
      <c r="H345" s="298" t="s">
        <v>448</v>
      </c>
      <c r="I345" s="298" t="s">
        <v>448</v>
      </c>
      <c r="J345" s="298" t="s">
        <v>448</v>
      </c>
      <c r="K345" s="298" t="s">
        <v>448</v>
      </c>
      <c r="L345" s="298" t="s">
        <v>448</v>
      </c>
      <c r="M345" s="291"/>
    </row>
    <row r="346" spans="1:13" s="208" customFormat="1" ht="24" customHeight="1" x14ac:dyDescent="0.25">
      <c r="A346" s="291">
        <v>340</v>
      </c>
      <c r="B346" s="313"/>
      <c r="C346" s="338"/>
      <c r="D346" s="293" t="s">
        <v>924</v>
      </c>
      <c r="E346" s="306"/>
      <c r="F346" s="298" t="s">
        <v>664</v>
      </c>
      <c r="G346" s="298" t="s">
        <v>448</v>
      </c>
      <c r="H346" s="298" t="s">
        <v>448</v>
      </c>
      <c r="I346" s="298" t="s">
        <v>448</v>
      </c>
      <c r="J346" s="298" t="s">
        <v>448</v>
      </c>
      <c r="K346" s="298" t="s">
        <v>448</v>
      </c>
      <c r="L346" s="298" t="s">
        <v>448</v>
      </c>
      <c r="M346" s="291"/>
    </row>
    <row r="347" spans="1:13" s="208" customFormat="1" ht="24" customHeight="1" x14ac:dyDescent="0.25">
      <c r="A347" s="291">
        <v>341</v>
      </c>
      <c r="B347" s="339"/>
      <c r="C347" s="317"/>
      <c r="D347" s="293" t="s">
        <v>524</v>
      </c>
      <c r="E347" s="306"/>
      <c r="F347" s="298" t="s">
        <v>762</v>
      </c>
      <c r="G347" s="298" t="s">
        <v>762</v>
      </c>
      <c r="H347" s="298" t="s">
        <v>762</v>
      </c>
      <c r="I347" s="298" t="s">
        <v>762</v>
      </c>
      <c r="J347" s="298" t="s">
        <v>762</v>
      </c>
      <c r="K347" s="298" t="s">
        <v>762</v>
      </c>
      <c r="L347" s="298" t="s">
        <v>762</v>
      </c>
      <c r="M347" s="291"/>
    </row>
    <row r="348" spans="1:13" s="208" customFormat="1" ht="24" customHeight="1" x14ac:dyDescent="0.25">
      <c r="A348" s="291">
        <v>342</v>
      </c>
      <c r="B348" s="313"/>
      <c r="C348" s="337" t="s">
        <v>25</v>
      </c>
      <c r="D348" s="309" t="s">
        <v>792</v>
      </c>
      <c r="E348" s="306"/>
      <c r="F348" s="441" t="s">
        <v>165</v>
      </c>
      <c r="G348" s="441" t="s">
        <v>165</v>
      </c>
      <c r="H348" s="441" t="s">
        <v>165</v>
      </c>
      <c r="I348" s="441" t="s">
        <v>165</v>
      </c>
      <c r="J348" s="441" t="s">
        <v>165</v>
      </c>
      <c r="K348" s="441" t="s">
        <v>165</v>
      </c>
      <c r="L348" s="441" t="s">
        <v>165</v>
      </c>
      <c r="M348" s="291"/>
    </row>
    <row r="349" spans="1:13" s="208" customFormat="1" ht="24" customHeight="1" x14ac:dyDescent="0.25">
      <c r="A349" s="291">
        <v>343</v>
      </c>
      <c r="B349" s="313"/>
      <c r="C349" s="338"/>
      <c r="D349" s="293" t="s">
        <v>925</v>
      </c>
      <c r="E349" s="352"/>
      <c r="F349" s="298" t="s">
        <v>664</v>
      </c>
      <c r="G349" s="298" t="s">
        <v>448</v>
      </c>
      <c r="H349" s="298" t="s">
        <v>448</v>
      </c>
      <c r="I349" s="298" t="s">
        <v>448</v>
      </c>
      <c r="J349" s="298" t="s">
        <v>448</v>
      </c>
      <c r="K349" s="298" t="s">
        <v>448</v>
      </c>
      <c r="L349" s="298" t="s">
        <v>448</v>
      </c>
      <c r="M349" s="291"/>
    </row>
    <row r="350" spans="1:13" s="208" customFormat="1" ht="24" customHeight="1" x14ac:dyDescent="0.25">
      <c r="A350" s="291">
        <v>344</v>
      </c>
      <c r="B350" s="313"/>
      <c r="C350" s="338"/>
      <c r="D350" s="293" t="s">
        <v>581</v>
      </c>
      <c r="E350" s="352"/>
      <c r="F350" s="298" t="s">
        <v>664</v>
      </c>
      <c r="G350" s="298" t="s">
        <v>448</v>
      </c>
      <c r="H350" s="298" t="s">
        <v>448</v>
      </c>
      <c r="I350" s="298" t="s">
        <v>448</v>
      </c>
      <c r="J350" s="298" t="s">
        <v>448</v>
      </c>
      <c r="K350" s="298" t="s">
        <v>448</v>
      </c>
      <c r="L350" s="298" t="s">
        <v>448</v>
      </c>
      <c r="M350" s="291"/>
    </row>
    <row r="351" spans="1:13" s="208" customFormat="1" ht="24" customHeight="1" x14ac:dyDescent="0.25">
      <c r="A351" s="291">
        <v>345</v>
      </c>
      <c r="B351" s="339"/>
      <c r="C351" s="317"/>
      <c r="D351" s="293" t="s">
        <v>524</v>
      </c>
      <c r="E351" s="170"/>
      <c r="F351" s="298" t="s">
        <v>762</v>
      </c>
      <c r="G351" s="298" t="s">
        <v>762</v>
      </c>
      <c r="H351" s="298" t="s">
        <v>762</v>
      </c>
      <c r="I351" s="298" t="s">
        <v>762</v>
      </c>
      <c r="J351" s="298" t="s">
        <v>762</v>
      </c>
      <c r="K351" s="298" t="s">
        <v>762</v>
      </c>
      <c r="L351" s="298" t="s">
        <v>762</v>
      </c>
      <c r="M351" s="291"/>
    </row>
    <row r="352" spans="1:13" s="208" customFormat="1" ht="24" customHeight="1" x14ac:dyDescent="0.25">
      <c r="A352" s="291">
        <v>346</v>
      </c>
      <c r="B352" s="313"/>
      <c r="C352" s="337" t="s">
        <v>32</v>
      </c>
      <c r="D352" s="309" t="s">
        <v>792</v>
      </c>
      <c r="E352" s="170"/>
      <c r="F352" s="441" t="s">
        <v>165</v>
      </c>
      <c r="G352" s="441" t="s">
        <v>165</v>
      </c>
      <c r="H352" s="441" t="s">
        <v>165</v>
      </c>
      <c r="I352" s="441" t="s">
        <v>165</v>
      </c>
      <c r="J352" s="441" t="s">
        <v>165</v>
      </c>
      <c r="K352" s="441" t="s">
        <v>165</v>
      </c>
      <c r="L352" s="441" t="s">
        <v>165</v>
      </c>
      <c r="M352" s="291"/>
    </row>
    <row r="353" spans="1:13" s="208" customFormat="1" ht="24" customHeight="1" x14ac:dyDescent="0.25">
      <c r="A353" s="291">
        <v>347</v>
      </c>
      <c r="B353" s="313"/>
      <c r="C353" s="338"/>
      <c r="D353" s="293" t="s">
        <v>582</v>
      </c>
      <c r="E353" s="170"/>
      <c r="F353" s="298" t="s">
        <v>664</v>
      </c>
      <c r="G353" s="298" t="s">
        <v>448</v>
      </c>
      <c r="H353" s="298" t="s">
        <v>448</v>
      </c>
      <c r="I353" s="298" t="s">
        <v>448</v>
      </c>
      <c r="J353" s="298" t="s">
        <v>448</v>
      </c>
      <c r="K353" s="298" t="s">
        <v>448</v>
      </c>
      <c r="L353" s="298" t="s">
        <v>448</v>
      </c>
      <c r="M353" s="291"/>
    </row>
    <row r="354" spans="1:13" s="208" customFormat="1" ht="24" customHeight="1" x14ac:dyDescent="0.25">
      <c r="A354" s="291">
        <v>348</v>
      </c>
      <c r="B354" s="313"/>
      <c r="C354" s="338"/>
      <c r="D354" s="293" t="s">
        <v>583</v>
      </c>
      <c r="E354" s="170"/>
      <c r="F354" s="298" t="s">
        <v>664</v>
      </c>
      <c r="G354" s="298" t="s">
        <v>448</v>
      </c>
      <c r="H354" s="298" t="s">
        <v>448</v>
      </c>
      <c r="I354" s="298" t="s">
        <v>448</v>
      </c>
      <c r="J354" s="298" t="s">
        <v>448</v>
      </c>
      <c r="K354" s="298" t="s">
        <v>448</v>
      </c>
      <c r="L354" s="298" t="s">
        <v>448</v>
      </c>
      <c r="M354" s="291"/>
    </row>
    <row r="355" spans="1:13" s="208" customFormat="1" ht="24" customHeight="1" x14ac:dyDescent="0.25">
      <c r="A355" s="291">
        <v>349</v>
      </c>
      <c r="B355" s="339"/>
      <c r="C355" s="317"/>
      <c r="D355" s="293" t="s">
        <v>524</v>
      </c>
      <c r="E355" s="170"/>
      <c r="F355" s="298" t="s">
        <v>762</v>
      </c>
      <c r="G355" s="298" t="s">
        <v>762</v>
      </c>
      <c r="H355" s="298" t="s">
        <v>762</v>
      </c>
      <c r="I355" s="298" t="s">
        <v>762</v>
      </c>
      <c r="J355" s="298" t="s">
        <v>762</v>
      </c>
      <c r="K355" s="298" t="s">
        <v>762</v>
      </c>
      <c r="L355" s="298" t="s">
        <v>762</v>
      </c>
      <c r="M355" s="291"/>
    </row>
    <row r="356" spans="1:13" s="208" customFormat="1" ht="24" customHeight="1" x14ac:dyDescent="0.25">
      <c r="A356" s="291">
        <v>350</v>
      </c>
      <c r="B356" s="313"/>
      <c r="C356" s="337" t="s">
        <v>33</v>
      </c>
      <c r="D356" s="309" t="s">
        <v>792</v>
      </c>
      <c r="E356" s="170"/>
      <c r="F356" s="441" t="s">
        <v>165</v>
      </c>
      <c r="G356" s="441" t="s">
        <v>165</v>
      </c>
      <c r="H356" s="441" t="s">
        <v>165</v>
      </c>
      <c r="I356" s="441" t="s">
        <v>165</v>
      </c>
      <c r="J356" s="441" t="s">
        <v>165</v>
      </c>
      <c r="K356" s="441" t="s">
        <v>165</v>
      </c>
      <c r="L356" s="441" t="s">
        <v>165</v>
      </c>
      <c r="M356" s="291"/>
    </row>
    <row r="357" spans="1:13" s="208" customFormat="1" ht="24" customHeight="1" x14ac:dyDescent="0.25">
      <c r="A357" s="291">
        <v>351</v>
      </c>
      <c r="B357" s="313"/>
      <c r="C357" s="338"/>
      <c r="D357" s="293" t="s">
        <v>794</v>
      </c>
      <c r="E357" s="311"/>
      <c r="F357" s="298" t="s">
        <v>664</v>
      </c>
      <c r="G357" s="298" t="s">
        <v>448</v>
      </c>
      <c r="H357" s="298" t="s">
        <v>448</v>
      </c>
      <c r="I357" s="298" t="s">
        <v>448</v>
      </c>
      <c r="J357" s="298" t="s">
        <v>448</v>
      </c>
      <c r="K357" s="298" t="s">
        <v>448</v>
      </c>
      <c r="L357" s="298" t="s">
        <v>448</v>
      </c>
      <c r="M357" s="291"/>
    </row>
    <row r="358" spans="1:13" s="208" customFormat="1" ht="24" customHeight="1" x14ac:dyDescent="0.25">
      <c r="A358" s="291">
        <v>352</v>
      </c>
      <c r="B358" s="339"/>
      <c r="C358" s="317"/>
      <c r="D358" s="293" t="s">
        <v>524</v>
      </c>
      <c r="E358" s="301"/>
      <c r="F358" s="298" t="s">
        <v>762</v>
      </c>
      <c r="G358" s="298" t="s">
        <v>762</v>
      </c>
      <c r="H358" s="298" t="s">
        <v>762</v>
      </c>
      <c r="I358" s="298" t="s">
        <v>762</v>
      </c>
      <c r="J358" s="298" t="s">
        <v>762</v>
      </c>
      <c r="K358" s="298" t="s">
        <v>762</v>
      </c>
      <c r="L358" s="298" t="s">
        <v>762</v>
      </c>
      <c r="M358" s="291"/>
    </row>
    <row r="359" spans="1:13" s="208" customFormat="1" ht="24" customHeight="1" x14ac:dyDescent="0.25">
      <c r="A359" s="291">
        <v>353</v>
      </c>
      <c r="B359" s="313"/>
      <c r="C359" s="337" t="s">
        <v>34</v>
      </c>
      <c r="D359" s="309" t="s">
        <v>792</v>
      </c>
      <c r="E359" s="301"/>
      <c r="F359" s="441" t="s">
        <v>165</v>
      </c>
      <c r="G359" s="441" t="s">
        <v>165</v>
      </c>
      <c r="H359" s="441" t="s">
        <v>165</v>
      </c>
      <c r="I359" s="441" t="s">
        <v>165</v>
      </c>
      <c r="J359" s="441" t="s">
        <v>165</v>
      </c>
      <c r="K359" s="441" t="s">
        <v>165</v>
      </c>
      <c r="L359" s="441" t="s">
        <v>165</v>
      </c>
      <c r="M359" s="291"/>
    </row>
    <row r="360" spans="1:13" s="208" customFormat="1" ht="24" customHeight="1" x14ac:dyDescent="0.25">
      <c r="A360" s="291">
        <v>354</v>
      </c>
      <c r="B360" s="313"/>
      <c r="C360" s="338"/>
      <c r="D360" s="293" t="s">
        <v>584</v>
      </c>
      <c r="E360" s="301"/>
      <c r="F360" s="298" t="s">
        <v>664</v>
      </c>
      <c r="G360" s="298" t="s">
        <v>448</v>
      </c>
      <c r="H360" s="298" t="s">
        <v>448</v>
      </c>
      <c r="I360" s="298" t="s">
        <v>448</v>
      </c>
      <c r="J360" s="298" t="s">
        <v>448</v>
      </c>
      <c r="K360" s="298" t="s">
        <v>448</v>
      </c>
      <c r="L360" s="298" t="s">
        <v>448</v>
      </c>
      <c r="M360" s="291"/>
    </row>
    <row r="361" spans="1:13" s="208" customFormat="1" ht="24" customHeight="1" x14ac:dyDescent="0.25">
      <c r="A361" s="291">
        <v>355</v>
      </c>
      <c r="B361" s="339"/>
      <c r="C361" s="317"/>
      <c r="D361" s="293" t="s">
        <v>524</v>
      </c>
      <c r="E361" s="301"/>
      <c r="F361" s="298" t="s">
        <v>762</v>
      </c>
      <c r="G361" s="298" t="s">
        <v>762</v>
      </c>
      <c r="H361" s="298" t="s">
        <v>762</v>
      </c>
      <c r="I361" s="298" t="s">
        <v>762</v>
      </c>
      <c r="J361" s="298" t="s">
        <v>762</v>
      </c>
      <c r="K361" s="298" t="s">
        <v>762</v>
      </c>
      <c r="L361" s="298" t="s">
        <v>762</v>
      </c>
      <c r="M361" s="291"/>
    </row>
    <row r="362" spans="1:13" s="208" customFormat="1" ht="24" customHeight="1" x14ac:dyDescent="0.25">
      <c r="A362" s="291">
        <v>356</v>
      </c>
      <c r="B362" s="313"/>
      <c r="C362" s="337" t="s">
        <v>26</v>
      </c>
      <c r="D362" s="309" t="s">
        <v>792</v>
      </c>
      <c r="E362" s="301"/>
      <c r="F362" s="441" t="s">
        <v>165</v>
      </c>
      <c r="G362" s="441" t="s">
        <v>165</v>
      </c>
      <c r="H362" s="441" t="s">
        <v>165</v>
      </c>
      <c r="I362" s="441" t="s">
        <v>165</v>
      </c>
      <c r="J362" s="441" t="s">
        <v>165</v>
      </c>
      <c r="K362" s="441" t="s">
        <v>165</v>
      </c>
      <c r="L362" s="441" t="s">
        <v>165</v>
      </c>
      <c r="M362" s="363"/>
    </row>
    <row r="363" spans="1:13" s="208" customFormat="1" ht="24" customHeight="1" x14ac:dyDescent="0.25">
      <c r="A363" s="291">
        <v>357</v>
      </c>
      <c r="B363" s="313"/>
      <c r="C363" s="338"/>
      <c r="D363" s="293" t="s">
        <v>585</v>
      </c>
      <c r="E363" s="301"/>
      <c r="F363" s="298" t="s">
        <v>664</v>
      </c>
      <c r="G363" s="298" t="s">
        <v>448</v>
      </c>
      <c r="H363" s="298" t="s">
        <v>448</v>
      </c>
      <c r="I363" s="298" t="s">
        <v>448</v>
      </c>
      <c r="J363" s="298" t="s">
        <v>448</v>
      </c>
      <c r="K363" s="298" t="s">
        <v>448</v>
      </c>
      <c r="L363" s="298" t="s">
        <v>448</v>
      </c>
      <c r="M363" s="291"/>
    </row>
    <row r="364" spans="1:13" s="208" customFormat="1" ht="24" customHeight="1" x14ac:dyDescent="0.25">
      <c r="A364" s="291">
        <v>358</v>
      </c>
      <c r="B364" s="313"/>
      <c r="C364" s="338"/>
      <c r="D364" s="293" t="s">
        <v>586</v>
      </c>
      <c r="E364" s="301"/>
      <c r="F364" s="298" t="s">
        <v>664</v>
      </c>
      <c r="G364" s="298" t="s">
        <v>448</v>
      </c>
      <c r="H364" s="298" t="s">
        <v>448</v>
      </c>
      <c r="I364" s="298" t="s">
        <v>448</v>
      </c>
      <c r="J364" s="298" t="s">
        <v>448</v>
      </c>
      <c r="K364" s="298" t="s">
        <v>448</v>
      </c>
      <c r="L364" s="298" t="s">
        <v>448</v>
      </c>
      <c r="M364" s="291"/>
    </row>
    <row r="365" spans="1:13" s="208" customFormat="1" ht="24" customHeight="1" x14ac:dyDescent="0.25">
      <c r="A365" s="291">
        <v>359</v>
      </c>
      <c r="B365" s="313"/>
      <c r="C365" s="338"/>
      <c r="D365" s="293" t="s">
        <v>587</v>
      </c>
      <c r="E365" s="301"/>
      <c r="F365" s="298" t="s">
        <v>664</v>
      </c>
      <c r="G365" s="298" t="s">
        <v>448</v>
      </c>
      <c r="H365" s="298" t="s">
        <v>448</v>
      </c>
      <c r="I365" s="298" t="s">
        <v>448</v>
      </c>
      <c r="J365" s="298" t="s">
        <v>448</v>
      </c>
      <c r="K365" s="298" t="s">
        <v>448</v>
      </c>
      <c r="L365" s="298" t="s">
        <v>448</v>
      </c>
      <c r="M365" s="363"/>
    </row>
    <row r="366" spans="1:13" s="208" customFormat="1" ht="24" customHeight="1" x14ac:dyDescent="0.25">
      <c r="A366" s="291">
        <v>360</v>
      </c>
      <c r="B366" s="339"/>
      <c r="C366" s="317"/>
      <c r="D366" s="293" t="s">
        <v>524</v>
      </c>
      <c r="E366" s="301"/>
      <c r="F366" s="298" t="s">
        <v>762</v>
      </c>
      <c r="G366" s="298" t="s">
        <v>762</v>
      </c>
      <c r="H366" s="298" t="s">
        <v>762</v>
      </c>
      <c r="I366" s="298" t="s">
        <v>762</v>
      </c>
      <c r="J366" s="298" t="s">
        <v>762</v>
      </c>
      <c r="K366" s="298" t="s">
        <v>762</v>
      </c>
      <c r="L366" s="298" t="s">
        <v>762</v>
      </c>
      <c r="M366" s="291"/>
    </row>
    <row r="367" spans="1:13" s="208" customFormat="1" ht="24" customHeight="1" x14ac:dyDescent="0.25">
      <c r="A367" s="291">
        <v>361</v>
      </c>
      <c r="B367" s="313"/>
      <c r="C367" s="337" t="s">
        <v>27</v>
      </c>
      <c r="D367" s="309" t="s">
        <v>926</v>
      </c>
      <c r="E367" s="301"/>
      <c r="F367" s="441" t="s">
        <v>165</v>
      </c>
      <c r="G367" s="441" t="s">
        <v>165</v>
      </c>
      <c r="H367" s="441" t="s">
        <v>165</v>
      </c>
      <c r="I367" s="499" t="s">
        <v>663</v>
      </c>
      <c r="J367" s="499" t="s">
        <v>663</v>
      </c>
      <c r="K367" s="499" t="s">
        <v>663</v>
      </c>
      <c r="L367" s="499" t="s">
        <v>663</v>
      </c>
      <c r="M367" s="291"/>
    </row>
    <row r="368" spans="1:13" s="208" customFormat="1" ht="24" customHeight="1" x14ac:dyDescent="0.25">
      <c r="A368" s="291">
        <v>362</v>
      </c>
      <c r="B368" s="313"/>
      <c r="C368" s="338"/>
      <c r="D368" s="438" t="s">
        <v>1097</v>
      </c>
      <c r="E368" s="301"/>
      <c r="F368" s="298" t="s">
        <v>664</v>
      </c>
      <c r="G368" s="298" t="s">
        <v>448</v>
      </c>
      <c r="H368" s="298" t="s">
        <v>448</v>
      </c>
      <c r="I368" s="441" t="s">
        <v>165</v>
      </c>
      <c r="J368" s="441" t="s">
        <v>165</v>
      </c>
      <c r="K368" s="441" t="s">
        <v>165</v>
      </c>
      <c r="L368" s="441" t="s">
        <v>165</v>
      </c>
      <c r="M368" s="363"/>
    </row>
    <row r="369" spans="1:13" s="208" customFormat="1" ht="24" customHeight="1" x14ac:dyDescent="0.25">
      <c r="A369" s="291">
        <v>363</v>
      </c>
      <c r="B369" s="339"/>
      <c r="C369" s="317"/>
      <c r="D369" s="293" t="s">
        <v>524</v>
      </c>
      <c r="E369" s="301"/>
      <c r="F369" s="298" t="s">
        <v>762</v>
      </c>
      <c r="G369" s="298" t="s">
        <v>762</v>
      </c>
      <c r="H369" s="298" t="s">
        <v>762</v>
      </c>
      <c r="I369" s="298" t="s">
        <v>762</v>
      </c>
      <c r="J369" s="298" t="s">
        <v>762</v>
      </c>
      <c r="K369" s="298" t="s">
        <v>762</v>
      </c>
      <c r="L369" s="298" t="s">
        <v>762</v>
      </c>
      <c r="M369" s="291"/>
    </row>
    <row r="370" spans="1:13" s="208" customFormat="1" ht="24" customHeight="1" x14ac:dyDescent="0.25">
      <c r="A370" s="291">
        <v>364</v>
      </c>
      <c r="B370" s="313"/>
      <c r="C370" s="337" t="s">
        <v>28</v>
      </c>
      <c r="D370" s="309" t="s">
        <v>792</v>
      </c>
      <c r="E370" s="301"/>
      <c r="F370" s="441" t="s">
        <v>165</v>
      </c>
      <c r="G370" s="441" t="s">
        <v>165</v>
      </c>
      <c r="H370" s="441" t="s">
        <v>165</v>
      </c>
      <c r="I370" s="441" t="s">
        <v>165</v>
      </c>
      <c r="J370" s="441" t="s">
        <v>165</v>
      </c>
      <c r="K370" s="441" t="s">
        <v>165</v>
      </c>
      <c r="L370" s="441" t="s">
        <v>165</v>
      </c>
      <c r="M370" s="291"/>
    </row>
    <row r="371" spans="1:13" s="208" customFormat="1" ht="24" customHeight="1" x14ac:dyDescent="0.25">
      <c r="A371" s="291">
        <v>365</v>
      </c>
      <c r="B371" s="313"/>
      <c r="C371" s="338"/>
      <c r="D371" s="438" t="s">
        <v>1101</v>
      </c>
      <c r="E371" s="185"/>
      <c r="F371" s="298" t="s">
        <v>664</v>
      </c>
      <c r="G371" s="298" t="s">
        <v>448</v>
      </c>
      <c r="H371" s="298" t="s">
        <v>448</v>
      </c>
      <c r="I371" s="298" t="s">
        <v>448</v>
      </c>
      <c r="J371" s="298" t="s">
        <v>448</v>
      </c>
      <c r="K371" s="298" t="s">
        <v>448</v>
      </c>
      <c r="L371" s="298" t="s">
        <v>448</v>
      </c>
      <c r="M371" s="291"/>
    </row>
    <row r="372" spans="1:13" s="208" customFormat="1" ht="24" customHeight="1" x14ac:dyDescent="0.25">
      <c r="A372" s="291">
        <v>366</v>
      </c>
      <c r="B372" s="339"/>
      <c r="C372" s="317"/>
      <c r="D372" s="293" t="s">
        <v>524</v>
      </c>
      <c r="E372" s="185"/>
      <c r="F372" s="298" t="s">
        <v>762</v>
      </c>
      <c r="G372" s="298" t="s">
        <v>762</v>
      </c>
      <c r="H372" s="298" t="s">
        <v>762</v>
      </c>
      <c r="I372" s="298" t="s">
        <v>762</v>
      </c>
      <c r="J372" s="298" t="s">
        <v>762</v>
      </c>
      <c r="K372" s="298" t="s">
        <v>762</v>
      </c>
      <c r="L372" s="298" t="s">
        <v>762</v>
      </c>
      <c r="M372" s="291"/>
    </row>
    <row r="373" spans="1:13" s="208" customFormat="1" ht="24" customHeight="1" x14ac:dyDescent="0.25">
      <c r="A373" s="291">
        <v>367</v>
      </c>
      <c r="B373" s="313"/>
      <c r="C373" s="337" t="s">
        <v>29</v>
      </c>
      <c r="D373" s="309" t="s">
        <v>792</v>
      </c>
      <c r="E373" s="185"/>
      <c r="F373" s="441" t="s">
        <v>165</v>
      </c>
      <c r="G373" s="441" t="s">
        <v>165</v>
      </c>
      <c r="H373" s="441" t="s">
        <v>165</v>
      </c>
      <c r="I373" s="441" t="s">
        <v>165</v>
      </c>
      <c r="J373" s="441" t="s">
        <v>165</v>
      </c>
      <c r="K373" s="441" t="s">
        <v>165</v>
      </c>
      <c r="L373" s="441" t="s">
        <v>165</v>
      </c>
      <c r="M373" s="291"/>
    </row>
    <row r="374" spans="1:13" s="208" customFormat="1" ht="24" customHeight="1" x14ac:dyDescent="0.25">
      <c r="A374" s="291">
        <v>368</v>
      </c>
      <c r="B374" s="313"/>
      <c r="C374" s="338"/>
      <c r="D374" s="293" t="s">
        <v>927</v>
      </c>
      <c r="E374" s="185"/>
      <c r="F374" s="298" t="s">
        <v>664</v>
      </c>
      <c r="G374" s="298" t="s">
        <v>448</v>
      </c>
      <c r="H374" s="298" t="s">
        <v>448</v>
      </c>
      <c r="I374" s="298" t="s">
        <v>448</v>
      </c>
      <c r="J374" s="298" t="s">
        <v>448</v>
      </c>
      <c r="K374" s="298" t="s">
        <v>448</v>
      </c>
      <c r="L374" s="298" t="s">
        <v>448</v>
      </c>
      <c r="M374" s="291"/>
    </row>
    <row r="375" spans="1:13" s="208" customFormat="1" ht="24" customHeight="1" x14ac:dyDescent="0.25">
      <c r="A375" s="291">
        <v>369</v>
      </c>
      <c r="B375" s="313"/>
      <c r="C375" s="338"/>
      <c r="D375" s="438" t="s">
        <v>1003</v>
      </c>
      <c r="E375" s="185"/>
      <c r="F375" s="298" t="s">
        <v>664</v>
      </c>
      <c r="G375" s="298" t="s">
        <v>448</v>
      </c>
      <c r="H375" s="298" t="s">
        <v>448</v>
      </c>
      <c r="I375" s="298" t="s">
        <v>448</v>
      </c>
      <c r="J375" s="298" t="s">
        <v>448</v>
      </c>
      <c r="K375" s="298" t="s">
        <v>448</v>
      </c>
      <c r="L375" s="298" t="s">
        <v>448</v>
      </c>
      <c r="M375" s="291"/>
    </row>
    <row r="376" spans="1:13" s="208" customFormat="1" ht="24" customHeight="1" x14ac:dyDescent="0.25">
      <c r="A376" s="291">
        <v>370</v>
      </c>
      <c r="B376" s="313"/>
      <c r="C376" s="338"/>
      <c r="D376" s="293" t="s">
        <v>928</v>
      </c>
      <c r="E376" s="311"/>
      <c r="F376" s="298" t="s">
        <v>664</v>
      </c>
      <c r="G376" s="298" t="s">
        <v>448</v>
      </c>
      <c r="H376" s="298" t="s">
        <v>448</v>
      </c>
      <c r="I376" s="298" t="s">
        <v>448</v>
      </c>
      <c r="J376" s="298" t="s">
        <v>448</v>
      </c>
      <c r="K376" s="298" t="s">
        <v>448</v>
      </c>
      <c r="L376" s="298" t="s">
        <v>448</v>
      </c>
      <c r="M376" s="291"/>
    </row>
    <row r="377" spans="1:13" s="208" customFormat="1" ht="24" customHeight="1" x14ac:dyDescent="0.25">
      <c r="A377" s="291">
        <v>371</v>
      </c>
      <c r="B377" s="313"/>
      <c r="C377" s="338"/>
      <c r="D377" s="436" t="s">
        <v>1004</v>
      </c>
      <c r="E377" s="311"/>
      <c r="F377" s="298" t="s">
        <v>664</v>
      </c>
      <c r="G377" s="298" t="s">
        <v>448</v>
      </c>
      <c r="H377" s="298" t="s">
        <v>448</v>
      </c>
      <c r="I377" s="298" t="s">
        <v>448</v>
      </c>
      <c r="J377" s="298" t="s">
        <v>448</v>
      </c>
      <c r="K377" s="298" t="s">
        <v>448</v>
      </c>
      <c r="L377" s="298" t="s">
        <v>448</v>
      </c>
      <c r="M377" s="291"/>
    </row>
    <row r="378" spans="1:13" s="208" customFormat="1" ht="24" customHeight="1" x14ac:dyDescent="0.25">
      <c r="A378" s="291">
        <v>372</v>
      </c>
      <c r="B378" s="339"/>
      <c r="C378" s="317"/>
      <c r="D378" s="293" t="s">
        <v>524</v>
      </c>
      <c r="E378" s="170"/>
      <c r="F378" s="298" t="s">
        <v>762</v>
      </c>
      <c r="G378" s="298" t="s">
        <v>762</v>
      </c>
      <c r="H378" s="298" t="s">
        <v>762</v>
      </c>
      <c r="I378" s="298" t="s">
        <v>762</v>
      </c>
      <c r="J378" s="298" t="s">
        <v>762</v>
      </c>
      <c r="K378" s="298" t="s">
        <v>762</v>
      </c>
      <c r="L378" s="298" t="s">
        <v>762</v>
      </c>
      <c r="M378" s="291"/>
    </row>
    <row r="379" spans="1:13" s="208" customFormat="1" ht="24" customHeight="1" x14ac:dyDescent="0.25">
      <c r="A379" s="291">
        <v>373</v>
      </c>
      <c r="B379" s="339"/>
      <c r="C379" s="337" t="s">
        <v>1060</v>
      </c>
      <c r="D379" s="309" t="s">
        <v>792</v>
      </c>
      <c r="E379" s="311"/>
      <c r="F379" s="441" t="s">
        <v>165</v>
      </c>
      <c r="G379" s="441" t="s">
        <v>165</v>
      </c>
      <c r="H379" s="441" t="s">
        <v>165</v>
      </c>
      <c r="I379" s="441" t="s">
        <v>165</v>
      </c>
      <c r="J379" s="441" t="s">
        <v>165</v>
      </c>
      <c r="K379" s="441" t="s">
        <v>165</v>
      </c>
      <c r="L379" s="441" t="s">
        <v>165</v>
      </c>
      <c r="M379" s="291"/>
    </row>
    <row r="380" spans="1:13" s="208" customFormat="1" ht="24" customHeight="1" x14ac:dyDescent="0.25">
      <c r="A380" s="291">
        <v>374</v>
      </c>
      <c r="B380" s="339"/>
      <c r="C380" s="338"/>
      <c r="D380" s="293" t="s">
        <v>1098</v>
      </c>
      <c r="E380" s="311"/>
      <c r="F380" s="298" t="s">
        <v>664</v>
      </c>
      <c r="G380" s="298" t="s">
        <v>448</v>
      </c>
      <c r="H380" s="298" t="s">
        <v>448</v>
      </c>
      <c r="I380" s="298" t="s">
        <v>448</v>
      </c>
      <c r="J380" s="298" t="s">
        <v>448</v>
      </c>
      <c r="K380" s="298" t="s">
        <v>448</v>
      </c>
      <c r="L380" s="298" t="s">
        <v>448</v>
      </c>
      <c r="M380" s="291"/>
    </row>
    <row r="381" spans="1:13" s="208" customFormat="1" ht="24" customHeight="1" x14ac:dyDescent="0.25">
      <c r="A381" s="291">
        <v>375</v>
      </c>
      <c r="B381" s="339"/>
      <c r="C381" s="338"/>
      <c r="D381" s="293" t="s">
        <v>1061</v>
      </c>
      <c r="E381" s="311"/>
      <c r="F381" s="298" t="s">
        <v>448</v>
      </c>
      <c r="G381" s="298" t="s">
        <v>448</v>
      </c>
      <c r="H381" s="298" t="s">
        <v>448</v>
      </c>
      <c r="I381" s="298" t="s">
        <v>448</v>
      </c>
      <c r="J381" s="298" t="s">
        <v>448</v>
      </c>
      <c r="K381" s="298" t="s">
        <v>448</v>
      </c>
      <c r="L381" s="298" t="s">
        <v>448</v>
      </c>
      <c r="M381" s="291"/>
    </row>
    <row r="382" spans="1:13" s="208" customFormat="1" ht="24" customHeight="1" x14ac:dyDescent="0.25">
      <c r="A382" s="291">
        <v>376</v>
      </c>
      <c r="B382" s="339"/>
      <c r="C382" s="317"/>
      <c r="D382" s="293" t="s">
        <v>524</v>
      </c>
      <c r="E382" s="311"/>
      <c r="F382" s="298" t="s">
        <v>762</v>
      </c>
      <c r="G382" s="298" t="s">
        <v>762</v>
      </c>
      <c r="H382" s="298" t="s">
        <v>762</v>
      </c>
      <c r="I382" s="298" t="s">
        <v>762</v>
      </c>
      <c r="J382" s="298" t="s">
        <v>762</v>
      </c>
      <c r="K382" s="298" t="s">
        <v>762</v>
      </c>
      <c r="L382" s="298" t="s">
        <v>762</v>
      </c>
      <c r="M382" s="291"/>
    </row>
    <row r="383" spans="1:13" s="208" customFormat="1" ht="24" customHeight="1" x14ac:dyDescent="0.25">
      <c r="A383" s="291">
        <v>377</v>
      </c>
      <c r="B383" s="339"/>
      <c r="C383" s="494" t="s">
        <v>1170</v>
      </c>
      <c r="D383" s="309" t="s">
        <v>166</v>
      </c>
      <c r="E383" s="311"/>
      <c r="F383" s="441" t="s">
        <v>165</v>
      </c>
      <c r="G383" s="441" t="s">
        <v>165</v>
      </c>
      <c r="H383" s="441" t="s">
        <v>165</v>
      </c>
      <c r="I383" s="441" t="s">
        <v>165</v>
      </c>
      <c r="J383" s="441" t="s">
        <v>165</v>
      </c>
      <c r="K383" s="441" t="s">
        <v>165</v>
      </c>
      <c r="L383" s="441" t="s">
        <v>165</v>
      </c>
      <c r="M383" s="291"/>
    </row>
    <row r="384" spans="1:13" s="208" customFormat="1" ht="24" customHeight="1" x14ac:dyDescent="0.25">
      <c r="A384" s="291">
        <v>378</v>
      </c>
      <c r="B384" s="339"/>
      <c r="C384" s="340"/>
      <c r="D384" s="293" t="s">
        <v>1171</v>
      </c>
      <c r="E384" s="311"/>
      <c r="F384" s="298" t="s">
        <v>664</v>
      </c>
      <c r="G384" s="298" t="s">
        <v>448</v>
      </c>
      <c r="H384" s="298" t="s">
        <v>448</v>
      </c>
      <c r="I384" s="298" t="s">
        <v>448</v>
      </c>
      <c r="J384" s="298" t="s">
        <v>448</v>
      </c>
      <c r="K384" s="298" t="s">
        <v>448</v>
      </c>
      <c r="L384" s="298" t="s">
        <v>448</v>
      </c>
      <c r="M384" s="291"/>
    </row>
    <row r="385" spans="1:13" s="208" customFormat="1" ht="24" customHeight="1" x14ac:dyDescent="0.25">
      <c r="A385" s="291">
        <v>379</v>
      </c>
      <c r="B385" s="339"/>
      <c r="C385" s="340"/>
      <c r="D385" s="293" t="s">
        <v>524</v>
      </c>
      <c r="E385" s="311"/>
      <c r="F385" s="298" t="s">
        <v>762</v>
      </c>
      <c r="G385" s="298" t="s">
        <v>762</v>
      </c>
      <c r="H385" s="298" t="s">
        <v>762</v>
      </c>
      <c r="I385" s="298" t="s">
        <v>762</v>
      </c>
      <c r="J385" s="298" t="s">
        <v>762</v>
      </c>
      <c r="K385" s="298" t="s">
        <v>762</v>
      </c>
      <c r="L385" s="298" t="s">
        <v>762</v>
      </c>
      <c r="M385" s="291"/>
    </row>
    <row r="386" spans="1:13" s="208" customFormat="1" ht="24" customHeight="1" x14ac:dyDescent="0.25">
      <c r="A386" s="291">
        <v>380</v>
      </c>
      <c r="B386" s="341" t="s">
        <v>787</v>
      </c>
      <c r="C386" s="342" t="s">
        <v>626</v>
      </c>
      <c r="D386" s="355" t="s">
        <v>792</v>
      </c>
      <c r="E386" s="311"/>
      <c r="F386" s="441" t="s">
        <v>165</v>
      </c>
      <c r="G386" s="298" t="s">
        <v>448</v>
      </c>
      <c r="H386" s="441" t="s">
        <v>165</v>
      </c>
      <c r="I386" s="441" t="s">
        <v>165</v>
      </c>
      <c r="J386" s="298" t="s">
        <v>448</v>
      </c>
      <c r="K386" s="441" t="s">
        <v>165</v>
      </c>
      <c r="L386" s="441" t="s">
        <v>165</v>
      </c>
      <c r="M386" s="291"/>
    </row>
    <row r="387" spans="1:13" s="208" customFormat="1" ht="24" customHeight="1" x14ac:dyDescent="0.25">
      <c r="A387" s="291">
        <v>381</v>
      </c>
      <c r="B387" s="343"/>
      <c r="C387" s="344"/>
      <c r="D387" s="304" t="s">
        <v>1062</v>
      </c>
      <c r="E387" s="311"/>
      <c r="F387" s="298" t="s">
        <v>1077</v>
      </c>
      <c r="G387" s="298" t="s">
        <v>448</v>
      </c>
      <c r="H387" s="298" t="s">
        <v>448</v>
      </c>
      <c r="I387" s="298" t="s">
        <v>448</v>
      </c>
      <c r="J387" s="298" t="s">
        <v>448</v>
      </c>
      <c r="K387" s="298" t="s">
        <v>448</v>
      </c>
      <c r="L387" s="298" t="s">
        <v>448</v>
      </c>
      <c r="M387" s="291"/>
    </row>
    <row r="388" spans="1:13" s="208" customFormat="1" ht="24" customHeight="1" x14ac:dyDescent="0.25">
      <c r="A388" s="291">
        <v>382</v>
      </c>
      <c r="B388" s="343"/>
      <c r="C388" s="344"/>
      <c r="D388" s="304" t="s">
        <v>1063</v>
      </c>
      <c r="E388" s="311"/>
      <c r="F388" s="298" t="s">
        <v>1077</v>
      </c>
      <c r="G388" s="441" t="s">
        <v>165</v>
      </c>
      <c r="H388" s="298" t="s">
        <v>448</v>
      </c>
      <c r="I388" s="298" t="s">
        <v>448</v>
      </c>
      <c r="J388" s="298" t="s">
        <v>448</v>
      </c>
      <c r="K388" s="298" t="s">
        <v>448</v>
      </c>
      <c r="L388" s="298" t="s">
        <v>448</v>
      </c>
      <c r="M388" s="291"/>
    </row>
    <row r="389" spans="1:13" s="208" customFormat="1" ht="24" customHeight="1" x14ac:dyDescent="0.25">
      <c r="A389" s="291">
        <v>383</v>
      </c>
      <c r="B389" s="343"/>
      <c r="C389" s="344"/>
      <c r="D389" s="304" t="s">
        <v>1064</v>
      </c>
      <c r="E389" s="311"/>
      <c r="F389" s="298" t="s">
        <v>1077</v>
      </c>
      <c r="G389" s="298" t="s">
        <v>448</v>
      </c>
      <c r="H389" s="298" t="s">
        <v>448</v>
      </c>
      <c r="I389" s="298" t="s">
        <v>448</v>
      </c>
      <c r="J389" s="298" t="s">
        <v>448</v>
      </c>
      <c r="K389" s="298" t="s">
        <v>448</v>
      </c>
      <c r="L389" s="298" t="s">
        <v>448</v>
      </c>
      <c r="M389" s="291"/>
    </row>
    <row r="390" spans="1:13" s="208" customFormat="1" ht="24" customHeight="1" x14ac:dyDescent="0.25">
      <c r="A390" s="291">
        <v>384</v>
      </c>
      <c r="B390" s="343"/>
      <c r="C390" s="344"/>
      <c r="D390" s="304" t="s">
        <v>1065</v>
      </c>
      <c r="E390" s="311"/>
      <c r="F390" s="298" t="s">
        <v>1077</v>
      </c>
      <c r="G390" s="298" t="s">
        <v>448</v>
      </c>
      <c r="H390" s="298" t="s">
        <v>448</v>
      </c>
      <c r="I390" s="298" t="s">
        <v>448</v>
      </c>
      <c r="J390" s="298" t="s">
        <v>448</v>
      </c>
      <c r="K390" s="298" t="s">
        <v>448</v>
      </c>
      <c r="L390" s="298" t="s">
        <v>448</v>
      </c>
      <c r="M390" s="291"/>
    </row>
    <row r="391" spans="1:13" s="208" customFormat="1" ht="24" customHeight="1" x14ac:dyDescent="0.25">
      <c r="A391" s="291">
        <v>385</v>
      </c>
      <c r="B391" s="343"/>
      <c r="C391" s="344"/>
      <c r="D391" s="304" t="s">
        <v>1066</v>
      </c>
      <c r="E391" s="311"/>
      <c r="F391" s="298" t="s">
        <v>1077</v>
      </c>
      <c r="G391" s="298" t="s">
        <v>448</v>
      </c>
      <c r="H391" s="298" t="s">
        <v>448</v>
      </c>
      <c r="I391" s="298" t="s">
        <v>448</v>
      </c>
      <c r="J391" s="298" t="s">
        <v>448</v>
      </c>
      <c r="K391" s="298" t="s">
        <v>448</v>
      </c>
      <c r="L391" s="298" t="s">
        <v>448</v>
      </c>
      <c r="M391" s="291"/>
    </row>
    <row r="392" spans="1:13" s="208" customFormat="1" ht="24" customHeight="1" x14ac:dyDescent="0.25">
      <c r="A392" s="291">
        <v>386</v>
      </c>
      <c r="B392" s="343"/>
      <c r="C392" s="344"/>
      <c r="D392" s="304" t="s">
        <v>1067</v>
      </c>
      <c r="E392" s="311"/>
      <c r="F392" s="298" t="s">
        <v>1077</v>
      </c>
      <c r="G392" s="298" t="s">
        <v>448</v>
      </c>
      <c r="H392" s="298" t="s">
        <v>448</v>
      </c>
      <c r="I392" s="298" t="s">
        <v>448</v>
      </c>
      <c r="J392" s="298" t="s">
        <v>448</v>
      </c>
      <c r="K392" s="298" t="s">
        <v>448</v>
      </c>
      <c r="L392" s="298" t="s">
        <v>448</v>
      </c>
      <c r="M392" s="291"/>
    </row>
    <row r="393" spans="1:13" s="208" customFormat="1" ht="24" customHeight="1" x14ac:dyDescent="0.25">
      <c r="A393" s="291">
        <v>387</v>
      </c>
      <c r="B393" s="343"/>
      <c r="C393" s="344"/>
      <c r="D393" s="304" t="s">
        <v>668</v>
      </c>
      <c r="E393" s="311"/>
      <c r="F393" s="298" t="s">
        <v>1077</v>
      </c>
      <c r="G393" s="298" t="s">
        <v>448</v>
      </c>
      <c r="H393" s="298" t="s">
        <v>448</v>
      </c>
      <c r="I393" s="298" t="s">
        <v>448</v>
      </c>
      <c r="J393" s="298" t="s">
        <v>448</v>
      </c>
      <c r="K393" s="298" t="s">
        <v>448</v>
      </c>
      <c r="L393" s="298" t="s">
        <v>448</v>
      </c>
      <c r="M393" s="291"/>
    </row>
    <row r="394" spans="1:13" s="208" customFormat="1" ht="24" customHeight="1" x14ac:dyDescent="0.25">
      <c r="A394" s="291">
        <v>388</v>
      </c>
      <c r="B394" s="343"/>
      <c r="C394" s="344"/>
      <c r="D394" s="304" t="s">
        <v>669</v>
      </c>
      <c r="E394" s="311"/>
      <c r="F394" s="298" t="s">
        <v>1077</v>
      </c>
      <c r="G394" s="298" t="s">
        <v>448</v>
      </c>
      <c r="H394" s="298" t="s">
        <v>448</v>
      </c>
      <c r="I394" s="298" t="s">
        <v>448</v>
      </c>
      <c r="J394" s="441" t="s">
        <v>165</v>
      </c>
      <c r="K394" s="298" t="s">
        <v>448</v>
      </c>
      <c r="L394" s="298" t="s">
        <v>448</v>
      </c>
      <c r="M394" s="291"/>
    </row>
    <row r="395" spans="1:13" s="208" customFormat="1" ht="24" customHeight="1" x14ac:dyDescent="0.25">
      <c r="A395" s="291">
        <v>389</v>
      </c>
      <c r="B395" s="343"/>
      <c r="C395" s="344"/>
      <c r="D395" s="304" t="s">
        <v>670</v>
      </c>
      <c r="E395" s="311"/>
      <c r="F395" s="298" t="s">
        <v>1077</v>
      </c>
      <c r="G395" s="298" t="s">
        <v>448</v>
      </c>
      <c r="H395" s="298" t="s">
        <v>448</v>
      </c>
      <c r="I395" s="298" t="s">
        <v>448</v>
      </c>
      <c r="J395" s="298" t="s">
        <v>448</v>
      </c>
      <c r="K395" s="298" t="s">
        <v>448</v>
      </c>
      <c r="L395" s="298" t="s">
        <v>448</v>
      </c>
      <c r="M395" s="291"/>
    </row>
    <row r="396" spans="1:13" s="208" customFormat="1" ht="24" customHeight="1" x14ac:dyDescent="0.25">
      <c r="A396" s="291">
        <v>390</v>
      </c>
      <c r="B396" s="343"/>
      <c r="C396" s="344"/>
      <c r="D396" s="304" t="s">
        <v>671</v>
      </c>
      <c r="E396" s="311"/>
      <c r="F396" s="298" t="s">
        <v>1077</v>
      </c>
      <c r="G396" s="298" t="s">
        <v>448</v>
      </c>
      <c r="H396" s="298" t="s">
        <v>448</v>
      </c>
      <c r="I396" s="298" t="s">
        <v>448</v>
      </c>
      <c r="J396" s="298" t="s">
        <v>448</v>
      </c>
      <c r="K396" s="298" t="s">
        <v>448</v>
      </c>
      <c r="L396" s="298" t="s">
        <v>448</v>
      </c>
      <c r="M396" s="291"/>
    </row>
    <row r="397" spans="1:13" s="208" customFormat="1" ht="24" customHeight="1" x14ac:dyDescent="0.25">
      <c r="A397" s="291">
        <v>391</v>
      </c>
      <c r="B397" s="343"/>
      <c r="C397" s="344"/>
      <c r="D397" s="304" t="s">
        <v>672</v>
      </c>
      <c r="E397" s="311"/>
      <c r="F397" s="298" t="s">
        <v>1077</v>
      </c>
      <c r="G397" s="298" t="s">
        <v>448</v>
      </c>
      <c r="H397" s="298" t="s">
        <v>448</v>
      </c>
      <c r="I397" s="298" t="s">
        <v>448</v>
      </c>
      <c r="J397" s="298" t="s">
        <v>448</v>
      </c>
      <c r="K397" s="298" t="s">
        <v>448</v>
      </c>
      <c r="L397" s="298" t="s">
        <v>448</v>
      </c>
      <c r="M397" s="291"/>
    </row>
    <row r="398" spans="1:13" s="208" customFormat="1" ht="24" customHeight="1" x14ac:dyDescent="0.25">
      <c r="A398" s="291">
        <v>392</v>
      </c>
      <c r="B398" s="343"/>
      <c r="C398" s="344"/>
      <c r="D398" s="304" t="s">
        <v>673</v>
      </c>
      <c r="E398" s="311"/>
      <c r="F398" s="298" t="s">
        <v>1077</v>
      </c>
      <c r="G398" s="298" t="s">
        <v>448</v>
      </c>
      <c r="H398" s="298" t="s">
        <v>448</v>
      </c>
      <c r="I398" s="298" t="s">
        <v>448</v>
      </c>
      <c r="J398" s="298" t="s">
        <v>448</v>
      </c>
      <c r="K398" s="298" t="s">
        <v>448</v>
      </c>
      <c r="L398" s="298" t="s">
        <v>448</v>
      </c>
      <c r="M398" s="291"/>
    </row>
    <row r="399" spans="1:13" s="208" customFormat="1" ht="24" customHeight="1" x14ac:dyDescent="0.25">
      <c r="A399" s="291">
        <v>393</v>
      </c>
      <c r="B399" s="343"/>
      <c r="C399" s="344"/>
      <c r="D399" s="304" t="s">
        <v>674</v>
      </c>
      <c r="E399" s="311"/>
      <c r="F399" s="298" t="s">
        <v>1077</v>
      </c>
      <c r="G399" s="298" t="s">
        <v>448</v>
      </c>
      <c r="H399" s="298" t="s">
        <v>448</v>
      </c>
      <c r="I399" s="298" t="s">
        <v>448</v>
      </c>
      <c r="J399" s="298" t="s">
        <v>448</v>
      </c>
      <c r="K399" s="298" t="s">
        <v>448</v>
      </c>
      <c r="L399" s="298" t="s">
        <v>448</v>
      </c>
      <c r="M399" s="291"/>
    </row>
    <row r="400" spans="1:13" s="208" customFormat="1" ht="24" customHeight="1" x14ac:dyDescent="0.25">
      <c r="A400" s="291">
        <v>394</v>
      </c>
      <c r="B400" s="343"/>
      <c r="C400" s="344"/>
      <c r="D400" s="304" t="s">
        <v>675</v>
      </c>
      <c r="E400" s="311"/>
      <c r="F400" s="298" t="s">
        <v>1077</v>
      </c>
      <c r="G400" s="298" t="s">
        <v>448</v>
      </c>
      <c r="H400" s="298" t="s">
        <v>448</v>
      </c>
      <c r="I400" s="298" t="s">
        <v>448</v>
      </c>
      <c r="J400" s="298" t="s">
        <v>448</v>
      </c>
      <c r="K400" s="298" t="s">
        <v>448</v>
      </c>
      <c r="L400" s="298" t="s">
        <v>448</v>
      </c>
      <c r="M400" s="291"/>
    </row>
    <row r="401" spans="1:13" s="208" customFormat="1" ht="24" customHeight="1" x14ac:dyDescent="0.25">
      <c r="A401" s="291">
        <v>395</v>
      </c>
      <c r="B401" s="343"/>
      <c r="C401" s="344"/>
      <c r="D401" s="304" t="s">
        <v>1068</v>
      </c>
      <c r="E401" s="311"/>
      <c r="F401" s="298" t="s">
        <v>1077</v>
      </c>
      <c r="G401" s="298" t="s">
        <v>448</v>
      </c>
      <c r="H401" s="298" t="s">
        <v>448</v>
      </c>
      <c r="I401" s="298" t="s">
        <v>448</v>
      </c>
      <c r="J401" s="298" t="s">
        <v>448</v>
      </c>
      <c r="K401" s="298" t="s">
        <v>448</v>
      </c>
      <c r="L401" s="298" t="s">
        <v>448</v>
      </c>
      <c r="M401" s="291"/>
    </row>
    <row r="402" spans="1:13" s="208" customFormat="1" ht="24" customHeight="1" x14ac:dyDescent="0.25">
      <c r="A402" s="291">
        <v>396</v>
      </c>
      <c r="B402" s="343"/>
      <c r="C402" s="344"/>
      <c r="D402" s="304" t="s">
        <v>1069</v>
      </c>
      <c r="E402" s="311"/>
      <c r="F402" s="298" t="s">
        <v>1077</v>
      </c>
      <c r="G402" s="298" t="s">
        <v>448</v>
      </c>
      <c r="H402" s="298" t="s">
        <v>448</v>
      </c>
      <c r="I402" s="298" t="s">
        <v>448</v>
      </c>
      <c r="J402" s="298" t="s">
        <v>448</v>
      </c>
      <c r="K402" s="298" t="s">
        <v>448</v>
      </c>
      <c r="L402" s="298" t="s">
        <v>448</v>
      </c>
      <c r="M402" s="291"/>
    </row>
    <row r="403" spans="1:13" s="208" customFormat="1" ht="24" customHeight="1" x14ac:dyDescent="0.25">
      <c r="A403" s="291">
        <v>397</v>
      </c>
      <c r="B403" s="343"/>
      <c r="C403" s="344"/>
      <c r="D403" s="304" t="s">
        <v>1070</v>
      </c>
      <c r="E403" s="170"/>
      <c r="F403" s="298" t="s">
        <v>1077</v>
      </c>
      <c r="G403" s="298" t="s">
        <v>448</v>
      </c>
      <c r="H403" s="298" t="s">
        <v>448</v>
      </c>
      <c r="I403" s="298" t="s">
        <v>448</v>
      </c>
      <c r="J403" s="298" t="s">
        <v>448</v>
      </c>
      <c r="K403" s="298" t="s">
        <v>448</v>
      </c>
      <c r="L403" s="298" t="s">
        <v>448</v>
      </c>
      <c r="M403" s="291"/>
    </row>
    <row r="404" spans="1:13" s="208" customFormat="1" ht="24" customHeight="1" x14ac:dyDescent="0.25">
      <c r="A404" s="291">
        <v>398</v>
      </c>
      <c r="B404" s="343"/>
      <c r="C404" s="344"/>
      <c r="D404" s="304" t="s">
        <v>1071</v>
      </c>
      <c r="E404" s="311"/>
      <c r="F404" s="298" t="s">
        <v>1077</v>
      </c>
      <c r="G404" s="298" t="s">
        <v>448</v>
      </c>
      <c r="H404" s="298" t="s">
        <v>448</v>
      </c>
      <c r="I404" s="298" t="s">
        <v>448</v>
      </c>
      <c r="J404" s="298" t="s">
        <v>448</v>
      </c>
      <c r="K404" s="298" t="s">
        <v>448</v>
      </c>
      <c r="L404" s="298" t="s">
        <v>448</v>
      </c>
      <c r="M404" s="363"/>
    </row>
    <row r="405" spans="1:13" s="208" customFormat="1" ht="24" customHeight="1" x14ac:dyDescent="0.25">
      <c r="A405" s="291">
        <v>399</v>
      </c>
      <c r="B405" s="343"/>
      <c r="C405" s="344"/>
      <c r="D405" s="304" t="s">
        <v>1072</v>
      </c>
      <c r="E405" s="311"/>
      <c r="F405" s="298" t="s">
        <v>1077</v>
      </c>
      <c r="G405" s="298" t="s">
        <v>448</v>
      </c>
      <c r="H405" s="298" t="s">
        <v>448</v>
      </c>
      <c r="I405" s="298" t="s">
        <v>448</v>
      </c>
      <c r="J405" s="298" t="s">
        <v>448</v>
      </c>
      <c r="K405" s="298" t="s">
        <v>448</v>
      </c>
      <c r="L405" s="298" t="s">
        <v>448</v>
      </c>
      <c r="M405" s="291"/>
    </row>
    <row r="406" spans="1:13" s="208" customFormat="1" ht="24" customHeight="1" x14ac:dyDescent="0.25">
      <c r="A406" s="291">
        <v>400</v>
      </c>
      <c r="B406" s="343"/>
      <c r="C406" s="344"/>
      <c r="D406" s="304" t="s">
        <v>1073</v>
      </c>
      <c r="E406" s="311"/>
      <c r="F406" s="298" t="s">
        <v>1077</v>
      </c>
      <c r="G406" s="298" t="s">
        <v>448</v>
      </c>
      <c r="H406" s="298" t="s">
        <v>448</v>
      </c>
      <c r="I406" s="298" t="s">
        <v>448</v>
      </c>
      <c r="J406" s="298" t="s">
        <v>448</v>
      </c>
      <c r="K406" s="298" t="s">
        <v>448</v>
      </c>
      <c r="L406" s="298" t="s">
        <v>448</v>
      </c>
      <c r="M406" s="291"/>
    </row>
    <row r="407" spans="1:13" s="208" customFormat="1" ht="24" customHeight="1" x14ac:dyDescent="0.25">
      <c r="A407" s="291">
        <v>401</v>
      </c>
      <c r="B407" s="343"/>
      <c r="C407" s="344"/>
      <c r="D407" s="436" t="s">
        <v>1074</v>
      </c>
      <c r="E407" s="311"/>
      <c r="F407" s="298" t="s">
        <v>1077</v>
      </c>
      <c r="G407" s="298" t="s">
        <v>448</v>
      </c>
      <c r="H407" s="499" t="s">
        <v>663</v>
      </c>
      <c r="I407" s="298" t="s">
        <v>448</v>
      </c>
      <c r="J407" s="298" t="s">
        <v>448</v>
      </c>
      <c r="K407" s="298" t="s">
        <v>448</v>
      </c>
      <c r="L407" s="298" t="s">
        <v>448</v>
      </c>
      <c r="M407" s="291"/>
    </row>
    <row r="408" spans="1:13" s="208" customFormat="1" ht="24" customHeight="1" x14ac:dyDescent="0.25">
      <c r="A408" s="291">
        <v>402</v>
      </c>
      <c r="B408" s="343"/>
      <c r="C408" s="344"/>
      <c r="D408" s="436" t="s">
        <v>1075</v>
      </c>
      <c r="E408" s="324"/>
      <c r="F408" s="298" t="s">
        <v>1078</v>
      </c>
      <c r="G408" s="298" t="s">
        <v>448</v>
      </c>
      <c r="H408" s="499" t="s">
        <v>663</v>
      </c>
      <c r="I408" s="298" t="s">
        <v>448</v>
      </c>
      <c r="J408" s="298" t="s">
        <v>448</v>
      </c>
      <c r="K408" s="298" t="s">
        <v>448</v>
      </c>
      <c r="L408" s="298" t="s">
        <v>448</v>
      </c>
      <c r="M408" s="291"/>
    </row>
    <row r="409" spans="1:13" s="208" customFormat="1" ht="24" customHeight="1" x14ac:dyDescent="0.25">
      <c r="A409" s="291">
        <v>403</v>
      </c>
      <c r="B409" s="343"/>
      <c r="C409" s="344"/>
      <c r="D409" s="436" t="s">
        <v>1076</v>
      </c>
      <c r="E409" s="170"/>
      <c r="F409" s="298" t="s">
        <v>1079</v>
      </c>
      <c r="G409" s="298" t="s">
        <v>1079</v>
      </c>
      <c r="H409" s="499" t="s">
        <v>663</v>
      </c>
      <c r="I409" s="298" t="s">
        <v>448</v>
      </c>
      <c r="J409" s="298" t="s">
        <v>448</v>
      </c>
      <c r="K409" s="298" t="s">
        <v>448</v>
      </c>
      <c r="L409" s="298" t="s">
        <v>448</v>
      </c>
      <c r="M409" s="291"/>
    </row>
    <row r="410" spans="1:13" s="208" customFormat="1" ht="24" customHeight="1" x14ac:dyDescent="0.25">
      <c r="A410" s="291">
        <v>404</v>
      </c>
      <c r="B410" s="343"/>
      <c r="C410" s="344"/>
      <c r="D410" s="304" t="s">
        <v>524</v>
      </c>
      <c r="E410" s="311"/>
      <c r="F410" s="298" t="s">
        <v>762</v>
      </c>
      <c r="G410" s="298" t="s">
        <v>762</v>
      </c>
      <c r="H410" s="298" t="s">
        <v>762</v>
      </c>
      <c r="I410" s="298" t="s">
        <v>762</v>
      </c>
      <c r="J410" s="298" t="s">
        <v>762</v>
      </c>
      <c r="K410" s="298" t="s">
        <v>762</v>
      </c>
      <c r="L410" s="298" t="s">
        <v>762</v>
      </c>
      <c r="M410" s="363"/>
    </row>
    <row r="411" spans="1:13" s="208" customFormat="1" ht="24" customHeight="1" x14ac:dyDescent="0.25">
      <c r="A411" s="291">
        <v>405</v>
      </c>
      <c r="B411" s="343"/>
      <c r="C411" s="342" t="s">
        <v>30</v>
      </c>
      <c r="D411" s="355" t="s">
        <v>792</v>
      </c>
      <c r="E411" s="311"/>
      <c r="F411" s="441" t="s">
        <v>165</v>
      </c>
      <c r="G411" s="441" t="s">
        <v>165</v>
      </c>
      <c r="H411" s="441" t="s">
        <v>165</v>
      </c>
      <c r="I411" s="441" t="s">
        <v>165</v>
      </c>
      <c r="J411" s="441" t="s">
        <v>165</v>
      </c>
      <c r="K411" s="441" t="s">
        <v>165</v>
      </c>
      <c r="L411" s="441" t="s">
        <v>165</v>
      </c>
      <c r="M411" s="291"/>
    </row>
    <row r="412" spans="1:13" s="208" customFormat="1" ht="24" customHeight="1" x14ac:dyDescent="0.25">
      <c r="A412" s="291">
        <v>406</v>
      </c>
      <c r="B412" s="343"/>
      <c r="C412" s="344"/>
      <c r="D412" s="304" t="s">
        <v>667</v>
      </c>
      <c r="E412" s="170"/>
      <c r="F412" s="298" t="s">
        <v>664</v>
      </c>
      <c r="G412" s="298" t="s">
        <v>448</v>
      </c>
      <c r="H412" s="298" t="s">
        <v>448</v>
      </c>
      <c r="I412" s="298" t="s">
        <v>448</v>
      </c>
      <c r="J412" s="298" t="s">
        <v>448</v>
      </c>
      <c r="K412" s="298" t="s">
        <v>448</v>
      </c>
      <c r="L412" s="298" t="s">
        <v>448</v>
      </c>
      <c r="M412" s="291"/>
    </row>
    <row r="413" spans="1:13" s="208" customFormat="1" ht="24" customHeight="1" x14ac:dyDescent="0.25">
      <c r="A413" s="291">
        <v>407</v>
      </c>
      <c r="B413" s="343"/>
      <c r="C413" s="344"/>
      <c r="D413" s="304" t="s">
        <v>666</v>
      </c>
      <c r="E413" s="311"/>
      <c r="F413" s="298" t="s">
        <v>664</v>
      </c>
      <c r="G413" s="298" t="s">
        <v>448</v>
      </c>
      <c r="H413" s="298" t="s">
        <v>448</v>
      </c>
      <c r="I413" s="298" t="s">
        <v>448</v>
      </c>
      <c r="J413" s="298" t="s">
        <v>448</v>
      </c>
      <c r="K413" s="298" t="s">
        <v>448</v>
      </c>
      <c r="L413" s="298" t="s">
        <v>448</v>
      </c>
      <c r="M413" s="363"/>
    </row>
    <row r="414" spans="1:13" s="208" customFormat="1" ht="24" customHeight="1" x14ac:dyDescent="0.25">
      <c r="A414" s="291">
        <v>408</v>
      </c>
      <c r="B414" s="343"/>
      <c r="C414" s="344"/>
      <c r="D414" s="304" t="s">
        <v>665</v>
      </c>
      <c r="E414" s="311"/>
      <c r="F414" s="298" t="s">
        <v>664</v>
      </c>
      <c r="G414" s="298" t="s">
        <v>448</v>
      </c>
      <c r="H414" s="298" t="s">
        <v>448</v>
      </c>
      <c r="I414" s="298" t="s">
        <v>448</v>
      </c>
      <c r="J414" s="298" t="s">
        <v>448</v>
      </c>
      <c r="K414" s="298" t="s">
        <v>448</v>
      </c>
      <c r="L414" s="298" t="s">
        <v>448</v>
      </c>
      <c r="M414" s="291"/>
    </row>
    <row r="415" spans="1:13" s="208" customFormat="1" ht="24" customHeight="1" x14ac:dyDescent="0.25">
      <c r="A415" s="291">
        <v>409</v>
      </c>
      <c r="B415" s="343"/>
      <c r="C415" s="344"/>
      <c r="D415" s="304" t="s">
        <v>676</v>
      </c>
      <c r="E415" s="311"/>
      <c r="F415" s="298" t="s">
        <v>664</v>
      </c>
      <c r="G415" s="298" t="s">
        <v>448</v>
      </c>
      <c r="H415" s="298" t="s">
        <v>448</v>
      </c>
      <c r="I415" s="298" t="s">
        <v>448</v>
      </c>
      <c r="J415" s="298" t="s">
        <v>448</v>
      </c>
      <c r="K415" s="298" t="s">
        <v>448</v>
      </c>
      <c r="L415" s="298" t="s">
        <v>448</v>
      </c>
      <c r="M415" s="291"/>
    </row>
    <row r="416" spans="1:13" s="208" customFormat="1" ht="24" customHeight="1" x14ac:dyDescent="0.25">
      <c r="A416" s="291">
        <v>410</v>
      </c>
      <c r="B416" s="343"/>
      <c r="C416" s="344"/>
      <c r="D416" s="304" t="s">
        <v>929</v>
      </c>
      <c r="E416" s="170"/>
      <c r="F416" s="298" t="s">
        <v>664</v>
      </c>
      <c r="G416" s="298" t="s">
        <v>448</v>
      </c>
      <c r="H416" s="298" t="s">
        <v>448</v>
      </c>
      <c r="I416" s="298" t="s">
        <v>448</v>
      </c>
      <c r="J416" s="298" t="s">
        <v>448</v>
      </c>
      <c r="K416" s="298" t="s">
        <v>448</v>
      </c>
      <c r="L416" s="298" t="s">
        <v>448</v>
      </c>
      <c r="M416" s="363"/>
    </row>
    <row r="417" spans="1:13" s="208" customFormat="1" ht="24" customHeight="1" x14ac:dyDescent="0.25">
      <c r="A417" s="291">
        <v>411</v>
      </c>
      <c r="B417" s="343"/>
      <c r="C417" s="344"/>
      <c r="D417" s="304" t="s">
        <v>930</v>
      </c>
      <c r="E417" s="311"/>
      <c r="F417" s="298" t="s">
        <v>664</v>
      </c>
      <c r="G417" s="298" t="s">
        <v>448</v>
      </c>
      <c r="H417" s="298" t="s">
        <v>448</v>
      </c>
      <c r="I417" s="298" t="s">
        <v>448</v>
      </c>
      <c r="J417" s="298" t="s">
        <v>448</v>
      </c>
      <c r="K417" s="298" t="s">
        <v>448</v>
      </c>
      <c r="L417" s="298" t="s">
        <v>448</v>
      </c>
      <c r="M417" s="291"/>
    </row>
    <row r="418" spans="1:13" s="208" customFormat="1" ht="24" customHeight="1" x14ac:dyDescent="0.25">
      <c r="A418" s="291">
        <v>412</v>
      </c>
      <c r="B418" s="343"/>
      <c r="C418" s="344"/>
      <c r="D418" s="304" t="s">
        <v>668</v>
      </c>
      <c r="E418" s="311"/>
      <c r="F418" s="298" t="s">
        <v>664</v>
      </c>
      <c r="G418" s="298" t="s">
        <v>448</v>
      </c>
      <c r="H418" s="298" t="s">
        <v>448</v>
      </c>
      <c r="I418" s="298" t="s">
        <v>448</v>
      </c>
      <c r="J418" s="298" t="s">
        <v>448</v>
      </c>
      <c r="K418" s="298" t="s">
        <v>448</v>
      </c>
      <c r="L418" s="298" t="s">
        <v>448</v>
      </c>
      <c r="M418" s="291"/>
    </row>
    <row r="419" spans="1:13" s="208" customFormat="1" ht="24" customHeight="1" x14ac:dyDescent="0.25">
      <c r="A419" s="291">
        <v>413</v>
      </c>
      <c r="B419" s="343"/>
      <c r="C419" s="344"/>
      <c r="D419" s="304" t="s">
        <v>669</v>
      </c>
      <c r="E419" s="311"/>
      <c r="F419" s="298" t="s">
        <v>664</v>
      </c>
      <c r="G419" s="298" t="s">
        <v>448</v>
      </c>
      <c r="H419" s="298" t="s">
        <v>448</v>
      </c>
      <c r="I419" s="298" t="s">
        <v>448</v>
      </c>
      <c r="J419" s="298" t="s">
        <v>448</v>
      </c>
      <c r="K419" s="298" t="s">
        <v>448</v>
      </c>
      <c r="L419" s="298" t="s">
        <v>448</v>
      </c>
      <c r="M419" s="291"/>
    </row>
    <row r="420" spans="1:13" s="208" customFormat="1" ht="24" customHeight="1" x14ac:dyDescent="0.25">
      <c r="A420" s="291">
        <v>414</v>
      </c>
      <c r="B420" s="343"/>
      <c r="C420" s="344"/>
      <c r="D420" s="304" t="s">
        <v>670</v>
      </c>
      <c r="E420" s="170"/>
      <c r="F420" s="298" t="s">
        <v>664</v>
      </c>
      <c r="G420" s="298" t="s">
        <v>448</v>
      </c>
      <c r="H420" s="298" t="s">
        <v>448</v>
      </c>
      <c r="I420" s="298" t="s">
        <v>448</v>
      </c>
      <c r="J420" s="298" t="s">
        <v>448</v>
      </c>
      <c r="K420" s="298" t="s">
        <v>448</v>
      </c>
      <c r="L420" s="298" t="s">
        <v>448</v>
      </c>
      <c r="M420" s="363"/>
    </row>
    <row r="421" spans="1:13" s="208" customFormat="1" ht="24" customHeight="1" x14ac:dyDescent="0.25">
      <c r="A421" s="291">
        <v>415</v>
      </c>
      <c r="B421" s="343"/>
      <c r="C421" s="344"/>
      <c r="D421" s="304" t="s">
        <v>671</v>
      </c>
      <c r="E421" s="311"/>
      <c r="F421" s="298" t="s">
        <v>664</v>
      </c>
      <c r="G421" s="298" t="s">
        <v>448</v>
      </c>
      <c r="H421" s="298" t="s">
        <v>448</v>
      </c>
      <c r="I421" s="298" t="s">
        <v>448</v>
      </c>
      <c r="J421" s="298" t="s">
        <v>448</v>
      </c>
      <c r="K421" s="298" t="s">
        <v>448</v>
      </c>
      <c r="L421" s="298" t="s">
        <v>448</v>
      </c>
      <c r="M421" s="291"/>
    </row>
    <row r="422" spans="1:13" s="208" customFormat="1" ht="24" customHeight="1" x14ac:dyDescent="0.25">
      <c r="A422" s="291">
        <v>416</v>
      </c>
      <c r="B422" s="343"/>
      <c r="C422" s="344"/>
      <c r="D422" s="304" t="s">
        <v>672</v>
      </c>
      <c r="E422" s="353"/>
      <c r="F422" s="298" t="s">
        <v>664</v>
      </c>
      <c r="G422" s="298" t="s">
        <v>448</v>
      </c>
      <c r="H422" s="298" t="s">
        <v>448</v>
      </c>
      <c r="I422" s="298" t="s">
        <v>448</v>
      </c>
      <c r="J422" s="298" t="s">
        <v>448</v>
      </c>
      <c r="K422" s="298" t="s">
        <v>448</v>
      </c>
      <c r="L422" s="298" t="s">
        <v>448</v>
      </c>
      <c r="M422" s="291"/>
    </row>
    <row r="423" spans="1:13" s="208" customFormat="1" ht="24" customHeight="1" x14ac:dyDescent="0.25">
      <c r="A423" s="291">
        <v>417</v>
      </c>
      <c r="B423" s="343"/>
      <c r="C423" s="344"/>
      <c r="D423" s="304" t="s">
        <v>673</v>
      </c>
      <c r="E423" s="170"/>
      <c r="F423" s="298" t="s">
        <v>664</v>
      </c>
      <c r="G423" s="298" t="s">
        <v>448</v>
      </c>
      <c r="H423" s="298" t="s">
        <v>448</v>
      </c>
      <c r="I423" s="298" t="s">
        <v>448</v>
      </c>
      <c r="J423" s="298" t="s">
        <v>448</v>
      </c>
      <c r="K423" s="298" t="s">
        <v>448</v>
      </c>
      <c r="L423" s="298" t="s">
        <v>448</v>
      </c>
      <c r="M423" s="291"/>
    </row>
    <row r="424" spans="1:13" s="208" customFormat="1" ht="24" customHeight="1" x14ac:dyDescent="0.25">
      <c r="A424" s="291">
        <v>418</v>
      </c>
      <c r="B424" s="343"/>
      <c r="C424" s="344"/>
      <c r="D424" s="304" t="s">
        <v>674</v>
      </c>
      <c r="E424" s="311"/>
      <c r="F424" s="298" t="s">
        <v>664</v>
      </c>
      <c r="G424" s="298" t="s">
        <v>448</v>
      </c>
      <c r="H424" s="298" t="s">
        <v>448</v>
      </c>
      <c r="I424" s="298" t="s">
        <v>448</v>
      </c>
      <c r="J424" s="298" t="s">
        <v>448</v>
      </c>
      <c r="K424" s="298" t="s">
        <v>448</v>
      </c>
      <c r="L424" s="298" t="s">
        <v>448</v>
      </c>
      <c r="M424" s="291"/>
    </row>
    <row r="425" spans="1:13" s="208" customFormat="1" ht="24" customHeight="1" x14ac:dyDescent="0.25">
      <c r="A425" s="291">
        <v>419</v>
      </c>
      <c r="B425" s="343"/>
      <c r="C425" s="344"/>
      <c r="D425" s="304" t="s">
        <v>675</v>
      </c>
      <c r="E425" s="311"/>
      <c r="F425" s="298" t="s">
        <v>664</v>
      </c>
      <c r="G425" s="298" t="s">
        <v>448</v>
      </c>
      <c r="H425" s="298" t="s">
        <v>448</v>
      </c>
      <c r="I425" s="298" t="s">
        <v>448</v>
      </c>
      <c r="J425" s="298" t="s">
        <v>448</v>
      </c>
      <c r="K425" s="298" t="s">
        <v>448</v>
      </c>
      <c r="L425" s="298" t="s">
        <v>448</v>
      </c>
      <c r="M425" s="291"/>
    </row>
    <row r="426" spans="1:13" s="208" customFormat="1" ht="24" customHeight="1" x14ac:dyDescent="0.25">
      <c r="A426" s="291">
        <v>420</v>
      </c>
      <c r="B426" s="343"/>
      <c r="C426" s="344"/>
      <c r="D426" s="436" t="s">
        <v>617</v>
      </c>
      <c r="E426" s="324"/>
      <c r="F426" s="298" t="s">
        <v>664</v>
      </c>
      <c r="G426" s="298" t="s">
        <v>448</v>
      </c>
      <c r="H426" s="298" t="s">
        <v>448</v>
      </c>
      <c r="I426" s="298" t="s">
        <v>448</v>
      </c>
      <c r="J426" s="298" t="s">
        <v>448</v>
      </c>
      <c r="K426" s="298" t="s">
        <v>448</v>
      </c>
      <c r="L426" s="298" t="s">
        <v>448</v>
      </c>
      <c r="M426" s="291"/>
    </row>
    <row r="427" spans="1:13" s="208" customFormat="1" ht="24" customHeight="1" x14ac:dyDescent="0.25">
      <c r="A427" s="291">
        <v>421</v>
      </c>
      <c r="B427" s="343"/>
      <c r="C427" s="344"/>
      <c r="D427" s="436" t="s">
        <v>618</v>
      </c>
      <c r="E427" s="170"/>
      <c r="F427" s="298" t="s">
        <v>664</v>
      </c>
      <c r="G427" s="298" t="s">
        <v>448</v>
      </c>
      <c r="H427" s="298" t="s">
        <v>448</v>
      </c>
      <c r="I427" s="298" t="s">
        <v>448</v>
      </c>
      <c r="J427" s="298" t="s">
        <v>448</v>
      </c>
      <c r="K427" s="298" t="s">
        <v>448</v>
      </c>
      <c r="L427" s="298" t="s">
        <v>448</v>
      </c>
      <c r="M427" s="291"/>
    </row>
    <row r="428" spans="1:13" s="208" customFormat="1" ht="24" customHeight="1" x14ac:dyDescent="0.25">
      <c r="A428" s="291">
        <v>422</v>
      </c>
      <c r="B428" s="343"/>
      <c r="C428" s="344"/>
      <c r="D428" s="304" t="s">
        <v>931</v>
      </c>
      <c r="E428" s="311"/>
      <c r="F428" s="298" t="s">
        <v>664</v>
      </c>
      <c r="G428" s="298" t="s">
        <v>448</v>
      </c>
      <c r="H428" s="298" t="s">
        <v>448</v>
      </c>
      <c r="I428" s="298" t="s">
        <v>448</v>
      </c>
      <c r="J428" s="298" t="s">
        <v>448</v>
      </c>
      <c r="K428" s="298" t="s">
        <v>448</v>
      </c>
      <c r="L428" s="298" t="s">
        <v>448</v>
      </c>
      <c r="M428" s="291"/>
    </row>
    <row r="429" spans="1:13" s="208" customFormat="1" ht="24" customHeight="1" x14ac:dyDescent="0.25">
      <c r="A429" s="291">
        <v>423</v>
      </c>
      <c r="B429" s="343"/>
      <c r="C429" s="344"/>
      <c r="D429" s="304" t="s">
        <v>932</v>
      </c>
      <c r="E429" s="311"/>
      <c r="F429" s="298" t="s">
        <v>664</v>
      </c>
      <c r="G429" s="298" t="s">
        <v>448</v>
      </c>
      <c r="H429" s="298" t="s">
        <v>448</v>
      </c>
      <c r="I429" s="298" t="s">
        <v>448</v>
      </c>
      <c r="J429" s="298" t="s">
        <v>448</v>
      </c>
      <c r="K429" s="298" t="s">
        <v>448</v>
      </c>
      <c r="L429" s="298" t="s">
        <v>448</v>
      </c>
      <c r="M429" s="291"/>
    </row>
    <row r="430" spans="1:13" s="208" customFormat="1" ht="24" customHeight="1" x14ac:dyDescent="0.25">
      <c r="A430" s="291">
        <v>424</v>
      </c>
      <c r="B430" s="343"/>
      <c r="C430" s="344"/>
      <c r="D430" s="304" t="s">
        <v>933</v>
      </c>
      <c r="E430" s="311"/>
      <c r="F430" s="298" t="s">
        <v>664</v>
      </c>
      <c r="G430" s="298" t="s">
        <v>448</v>
      </c>
      <c r="H430" s="298" t="s">
        <v>448</v>
      </c>
      <c r="I430" s="298" t="s">
        <v>448</v>
      </c>
      <c r="J430" s="298" t="s">
        <v>448</v>
      </c>
      <c r="K430" s="298" t="s">
        <v>448</v>
      </c>
      <c r="L430" s="298" t="s">
        <v>448</v>
      </c>
      <c r="M430" s="291"/>
    </row>
    <row r="431" spans="1:13" s="208" customFormat="1" ht="24" customHeight="1" x14ac:dyDescent="0.25">
      <c r="A431" s="291">
        <v>425</v>
      </c>
      <c r="B431" s="343"/>
      <c r="C431" s="344"/>
      <c r="D431" s="304" t="s">
        <v>934</v>
      </c>
      <c r="E431" s="311"/>
      <c r="F431" s="298" t="s">
        <v>664</v>
      </c>
      <c r="G431" s="298" t="s">
        <v>448</v>
      </c>
      <c r="H431" s="298" t="s">
        <v>448</v>
      </c>
      <c r="I431" s="298" t="s">
        <v>448</v>
      </c>
      <c r="J431" s="298" t="s">
        <v>448</v>
      </c>
      <c r="K431" s="298" t="s">
        <v>448</v>
      </c>
      <c r="L431" s="298" t="s">
        <v>448</v>
      </c>
      <c r="M431" s="363"/>
    </row>
    <row r="432" spans="1:13" s="208" customFormat="1" ht="24" customHeight="1" x14ac:dyDescent="0.25">
      <c r="A432" s="291">
        <v>426</v>
      </c>
      <c r="B432" s="343"/>
      <c r="C432" s="344"/>
      <c r="D432" s="304" t="s">
        <v>935</v>
      </c>
      <c r="E432" s="170"/>
      <c r="F432" s="298" t="s">
        <v>664</v>
      </c>
      <c r="G432" s="298" t="s">
        <v>448</v>
      </c>
      <c r="H432" s="298" t="s">
        <v>448</v>
      </c>
      <c r="I432" s="298" t="s">
        <v>448</v>
      </c>
      <c r="J432" s="298" t="s">
        <v>448</v>
      </c>
      <c r="K432" s="298" t="s">
        <v>448</v>
      </c>
      <c r="L432" s="298" t="s">
        <v>448</v>
      </c>
      <c r="M432" s="291"/>
    </row>
    <row r="433" spans="1:13" s="208" customFormat="1" ht="24" customHeight="1" x14ac:dyDescent="0.25">
      <c r="A433" s="291">
        <v>427</v>
      </c>
      <c r="B433" s="343"/>
      <c r="C433" s="344"/>
      <c r="D433" s="304" t="s">
        <v>936</v>
      </c>
      <c r="E433" s="311"/>
      <c r="F433" s="298" t="s">
        <v>664</v>
      </c>
      <c r="G433" s="298" t="s">
        <v>448</v>
      </c>
      <c r="H433" s="298" t="s">
        <v>448</v>
      </c>
      <c r="I433" s="298" t="s">
        <v>448</v>
      </c>
      <c r="J433" s="298" t="s">
        <v>448</v>
      </c>
      <c r="K433" s="298" t="s">
        <v>448</v>
      </c>
      <c r="L433" s="298" t="s">
        <v>448</v>
      </c>
      <c r="M433" s="291"/>
    </row>
    <row r="434" spans="1:13" s="208" customFormat="1" ht="24" customHeight="1" x14ac:dyDescent="0.25">
      <c r="A434" s="291">
        <v>428</v>
      </c>
      <c r="B434" s="345"/>
      <c r="C434" s="314"/>
      <c r="D434" s="293" t="s">
        <v>524</v>
      </c>
      <c r="E434" s="311"/>
      <c r="F434" s="298" t="s">
        <v>762</v>
      </c>
      <c r="G434" s="298" t="s">
        <v>762</v>
      </c>
      <c r="H434" s="298" t="s">
        <v>762</v>
      </c>
      <c r="I434" s="298" t="s">
        <v>762</v>
      </c>
      <c r="J434" s="298" t="s">
        <v>762</v>
      </c>
      <c r="K434" s="298" t="s">
        <v>762</v>
      </c>
      <c r="L434" s="298" t="s">
        <v>762</v>
      </c>
      <c r="M434" s="291"/>
    </row>
    <row r="435" spans="1:13" s="208" customFormat="1" ht="24" customHeight="1" x14ac:dyDescent="0.25">
      <c r="A435" s="291">
        <v>429</v>
      </c>
      <c r="B435" s="343"/>
      <c r="C435" s="342" t="s">
        <v>684</v>
      </c>
      <c r="D435" s="310" t="s">
        <v>792</v>
      </c>
      <c r="E435" s="170"/>
      <c r="F435" s="441" t="s">
        <v>165</v>
      </c>
      <c r="G435" s="441" t="s">
        <v>165</v>
      </c>
      <c r="H435" s="441" t="s">
        <v>165</v>
      </c>
      <c r="I435" s="441" t="s">
        <v>165</v>
      </c>
      <c r="J435" s="441" t="s">
        <v>165</v>
      </c>
      <c r="K435" s="441" t="s">
        <v>165</v>
      </c>
      <c r="L435" s="441" t="s">
        <v>165</v>
      </c>
      <c r="M435" s="363"/>
    </row>
    <row r="436" spans="1:13" s="208" customFormat="1" ht="24" customHeight="1" x14ac:dyDescent="0.25">
      <c r="A436" s="291">
        <v>430</v>
      </c>
      <c r="B436" s="343"/>
      <c r="C436" s="344"/>
      <c r="D436" s="293" t="s">
        <v>997</v>
      </c>
      <c r="E436" s="311"/>
      <c r="F436" s="298" t="s">
        <v>664</v>
      </c>
      <c r="G436" s="298" t="s">
        <v>448</v>
      </c>
      <c r="H436" s="298" t="s">
        <v>448</v>
      </c>
      <c r="I436" s="298" t="s">
        <v>448</v>
      </c>
      <c r="J436" s="298" t="s">
        <v>448</v>
      </c>
      <c r="K436" s="298" t="s">
        <v>448</v>
      </c>
      <c r="L436" s="298" t="s">
        <v>448</v>
      </c>
      <c r="M436" s="291"/>
    </row>
    <row r="437" spans="1:13" s="208" customFormat="1" ht="24" customHeight="1" x14ac:dyDescent="0.25">
      <c r="A437" s="291">
        <v>431</v>
      </c>
      <c r="B437" s="343"/>
      <c r="C437" s="344"/>
      <c r="D437" s="293" t="s">
        <v>998</v>
      </c>
      <c r="E437" s="311"/>
      <c r="F437" s="298" t="s">
        <v>10</v>
      </c>
      <c r="G437" s="298" t="s">
        <v>10</v>
      </c>
      <c r="H437" s="298" t="s">
        <v>10</v>
      </c>
      <c r="I437" s="298" t="s">
        <v>10</v>
      </c>
      <c r="J437" s="298" t="s">
        <v>10</v>
      </c>
      <c r="K437" s="298" t="s">
        <v>10</v>
      </c>
      <c r="L437" s="298" t="s">
        <v>10</v>
      </c>
      <c r="M437" s="291"/>
    </row>
    <row r="438" spans="1:13" s="208" customFormat="1" ht="24" customHeight="1" x14ac:dyDescent="0.25">
      <c r="A438" s="291">
        <v>432</v>
      </c>
      <c r="B438" s="343"/>
      <c r="C438" s="344"/>
      <c r="D438" s="293" t="s">
        <v>999</v>
      </c>
      <c r="E438" s="311"/>
      <c r="F438" s="298" t="s">
        <v>10</v>
      </c>
      <c r="G438" s="298" t="s">
        <v>10</v>
      </c>
      <c r="H438" s="298" t="s">
        <v>10</v>
      </c>
      <c r="I438" s="298" t="s">
        <v>10</v>
      </c>
      <c r="J438" s="298" t="s">
        <v>10</v>
      </c>
      <c r="K438" s="298" t="s">
        <v>10</v>
      </c>
      <c r="L438" s="298" t="s">
        <v>10</v>
      </c>
      <c r="M438" s="291"/>
    </row>
    <row r="439" spans="1:13" s="208" customFormat="1" ht="24" customHeight="1" x14ac:dyDescent="0.25">
      <c r="A439" s="291">
        <v>433</v>
      </c>
      <c r="B439" s="343"/>
      <c r="C439" s="344"/>
      <c r="D439" s="293" t="s">
        <v>1000</v>
      </c>
      <c r="E439" s="311"/>
      <c r="F439" s="298" t="s">
        <v>664</v>
      </c>
      <c r="G439" s="298" t="s">
        <v>448</v>
      </c>
      <c r="H439" s="298" t="s">
        <v>448</v>
      </c>
      <c r="I439" s="298" t="s">
        <v>448</v>
      </c>
      <c r="J439" s="298" t="s">
        <v>448</v>
      </c>
      <c r="K439" s="298" t="s">
        <v>448</v>
      </c>
      <c r="L439" s="298" t="s">
        <v>448</v>
      </c>
      <c r="M439" s="291"/>
    </row>
    <row r="440" spans="1:13" s="208" customFormat="1" ht="24" customHeight="1" x14ac:dyDescent="0.25">
      <c r="A440" s="291">
        <v>434</v>
      </c>
      <c r="B440" s="343"/>
      <c r="C440" s="344"/>
      <c r="D440" s="293" t="s">
        <v>1001</v>
      </c>
      <c r="E440" s="311"/>
      <c r="F440" s="298" t="s">
        <v>10</v>
      </c>
      <c r="G440" s="298" t="s">
        <v>10</v>
      </c>
      <c r="H440" s="298" t="s">
        <v>10</v>
      </c>
      <c r="I440" s="298" t="s">
        <v>10</v>
      </c>
      <c r="J440" s="298" t="s">
        <v>10</v>
      </c>
      <c r="K440" s="298" t="s">
        <v>10</v>
      </c>
      <c r="L440" s="298" t="s">
        <v>10</v>
      </c>
      <c r="M440" s="291"/>
    </row>
    <row r="441" spans="1:13" s="208" customFormat="1" ht="24" customHeight="1" x14ac:dyDescent="0.25">
      <c r="A441" s="291">
        <v>435</v>
      </c>
      <c r="B441" s="343"/>
      <c r="C441" s="344"/>
      <c r="D441" s="293" t="s">
        <v>1002</v>
      </c>
      <c r="E441" s="311"/>
      <c r="F441" s="298" t="s">
        <v>10</v>
      </c>
      <c r="G441" s="298" t="s">
        <v>10</v>
      </c>
      <c r="H441" s="298" t="s">
        <v>10</v>
      </c>
      <c r="I441" s="298" t="s">
        <v>10</v>
      </c>
      <c r="J441" s="298" t="s">
        <v>10</v>
      </c>
      <c r="K441" s="298" t="s">
        <v>10</v>
      </c>
      <c r="L441" s="298" t="s">
        <v>10</v>
      </c>
      <c r="M441" s="291"/>
    </row>
    <row r="442" spans="1:13" s="208" customFormat="1" ht="24" customHeight="1" x14ac:dyDescent="0.25">
      <c r="A442" s="291">
        <v>436</v>
      </c>
      <c r="B442" s="345"/>
      <c r="C442" s="314"/>
      <c r="D442" s="293" t="s">
        <v>524</v>
      </c>
      <c r="E442" s="170"/>
      <c r="F442" s="298" t="s">
        <v>762</v>
      </c>
      <c r="G442" s="298" t="s">
        <v>762</v>
      </c>
      <c r="H442" s="298" t="s">
        <v>762</v>
      </c>
      <c r="I442" s="298" t="s">
        <v>762</v>
      </c>
      <c r="J442" s="298" t="s">
        <v>762</v>
      </c>
      <c r="K442" s="298" t="s">
        <v>762</v>
      </c>
      <c r="L442" s="298" t="s">
        <v>762</v>
      </c>
      <c r="M442" s="291"/>
    </row>
    <row r="443" spans="1:13" s="208" customFormat="1" ht="24" customHeight="1" x14ac:dyDescent="0.25">
      <c r="A443" s="291">
        <v>437</v>
      </c>
      <c r="B443" s="343"/>
      <c r="C443" s="342" t="s">
        <v>685</v>
      </c>
      <c r="D443" s="310" t="s">
        <v>792</v>
      </c>
      <c r="E443" s="311"/>
      <c r="F443" s="441" t="s">
        <v>165</v>
      </c>
      <c r="G443" s="441" t="s">
        <v>165</v>
      </c>
      <c r="H443" s="441" t="s">
        <v>165</v>
      </c>
      <c r="I443" s="441" t="s">
        <v>165</v>
      </c>
      <c r="J443" s="441" t="s">
        <v>165</v>
      </c>
      <c r="K443" s="441" t="s">
        <v>165</v>
      </c>
      <c r="L443" s="441" t="s">
        <v>165</v>
      </c>
      <c r="M443" s="291"/>
    </row>
    <row r="444" spans="1:13" s="208" customFormat="1" ht="24" customHeight="1" x14ac:dyDescent="0.25">
      <c r="A444" s="291">
        <v>438</v>
      </c>
      <c r="B444" s="343"/>
      <c r="C444" s="344"/>
      <c r="D444" s="293" t="s">
        <v>588</v>
      </c>
      <c r="E444" s="311"/>
      <c r="F444" s="298" t="s">
        <v>664</v>
      </c>
      <c r="G444" s="298" t="s">
        <v>448</v>
      </c>
      <c r="H444" s="298" t="s">
        <v>448</v>
      </c>
      <c r="I444" s="298" t="s">
        <v>448</v>
      </c>
      <c r="J444" s="298" t="s">
        <v>448</v>
      </c>
      <c r="K444" s="298" t="s">
        <v>448</v>
      </c>
      <c r="L444" s="298" t="s">
        <v>448</v>
      </c>
      <c r="M444" s="291"/>
    </row>
    <row r="445" spans="1:13" s="208" customFormat="1" ht="24" customHeight="1" x14ac:dyDescent="0.25">
      <c r="A445" s="291">
        <v>439</v>
      </c>
      <c r="B445" s="345"/>
      <c r="C445" s="314"/>
      <c r="D445" s="293" t="s">
        <v>524</v>
      </c>
      <c r="E445" s="311"/>
      <c r="F445" s="298" t="s">
        <v>762</v>
      </c>
      <c r="G445" s="298" t="s">
        <v>762</v>
      </c>
      <c r="H445" s="298" t="s">
        <v>762</v>
      </c>
      <c r="I445" s="298" t="s">
        <v>762</v>
      </c>
      <c r="J445" s="298" t="s">
        <v>762</v>
      </c>
      <c r="K445" s="298" t="s">
        <v>762</v>
      </c>
      <c r="L445" s="298" t="s">
        <v>762</v>
      </c>
      <c r="M445" s="363"/>
    </row>
    <row r="446" spans="1:13" s="208" customFormat="1" ht="24" customHeight="1" x14ac:dyDescent="0.25">
      <c r="A446" s="291">
        <v>440</v>
      </c>
      <c r="B446" s="343"/>
      <c r="C446" s="341" t="s">
        <v>564</v>
      </c>
      <c r="D446" s="310" t="s">
        <v>792</v>
      </c>
      <c r="E446" s="311"/>
      <c r="F446" s="441" t="s">
        <v>165</v>
      </c>
      <c r="G446" s="441" t="s">
        <v>165</v>
      </c>
      <c r="H446" s="441" t="s">
        <v>165</v>
      </c>
      <c r="I446" s="441" t="s">
        <v>165</v>
      </c>
      <c r="J446" s="441" t="s">
        <v>165</v>
      </c>
      <c r="K446" s="441" t="s">
        <v>165</v>
      </c>
      <c r="L446" s="441" t="s">
        <v>165</v>
      </c>
      <c r="M446" s="291"/>
    </row>
    <row r="447" spans="1:13" s="208" customFormat="1" ht="24" customHeight="1" x14ac:dyDescent="0.25">
      <c r="A447" s="291">
        <v>441</v>
      </c>
      <c r="B447" s="343"/>
      <c r="C447" s="343"/>
      <c r="D447" s="304" t="s">
        <v>589</v>
      </c>
      <c r="E447" s="311"/>
      <c r="F447" s="298" t="s">
        <v>664</v>
      </c>
      <c r="G447" s="298" t="s">
        <v>448</v>
      </c>
      <c r="H447" s="298" t="s">
        <v>448</v>
      </c>
      <c r="I447" s="298" t="s">
        <v>448</v>
      </c>
      <c r="J447" s="298" t="s">
        <v>448</v>
      </c>
      <c r="K447" s="298" t="s">
        <v>448</v>
      </c>
      <c r="L447" s="298" t="s">
        <v>448</v>
      </c>
      <c r="M447" s="291"/>
    </row>
    <row r="448" spans="1:13" s="208" customFormat="1" ht="24" customHeight="1" x14ac:dyDescent="0.25">
      <c r="A448" s="291">
        <v>442</v>
      </c>
      <c r="B448" s="343"/>
      <c r="C448" s="343"/>
      <c r="D448" s="304" t="s">
        <v>591</v>
      </c>
      <c r="E448" s="311"/>
      <c r="F448" s="298" t="s">
        <v>664</v>
      </c>
      <c r="G448" s="298" t="s">
        <v>448</v>
      </c>
      <c r="H448" s="298" t="s">
        <v>448</v>
      </c>
      <c r="I448" s="298" t="s">
        <v>448</v>
      </c>
      <c r="J448" s="298" t="s">
        <v>448</v>
      </c>
      <c r="K448" s="298" t="s">
        <v>448</v>
      </c>
      <c r="L448" s="298" t="s">
        <v>448</v>
      </c>
      <c r="M448" s="291"/>
    </row>
    <row r="449" spans="1:13" s="208" customFormat="1" ht="24" customHeight="1" x14ac:dyDescent="0.25">
      <c r="A449" s="291">
        <v>443</v>
      </c>
      <c r="B449" s="343"/>
      <c r="C449" s="343"/>
      <c r="D449" s="304" t="s">
        <v>592</v>
      </c>
      <c r="E449" s="170"/>
      <c r="F449" s="298" t="s">
        <v>664</v>
      </c>
      <c r="G449" s="298" t="s">
        <v>448</v>
      </c>
      <c r="H449" s="298" t="s">
        <v>448</v>
      </c>
      <c r="I449" s="298" t="s">
        <v>448</v>
      </c>
      <c r="J449" s="298" t="s">
        <v>448</v>
      </c>
      <c r="K449" s="298" t="s">
        <v>448</v>
      </c>
      <c r="L449" s="298" t="s">
        <v>448</v>
      </c>
      <c r="M449" s="291"/>
    </row>
    <row r="450" spans="1:13" s="208" customFormat="1" ht="24" customHeight="1" x14ac:dyDescent="0.25">
      <c r="A450" s="291">
        <v>444</v>
      </c>
      <c r="B450" s="343"/>
      <c r="C450" s="343"/>
      <c r="D450" s="435" t="s">
        <v>937</v>
      </c>
      <c r="E450" s="324">
        <f>LEN(D450)</f>
        <v>38</v>
      </c>
      <c r="F450" s="298" t="s">
        <v>664</v>
      </c>
      <c r="G450" s="298" t="s">
        <v>448</v>
      </c>
      <c r="H450" s="298" t="s">
        <v>448</v>
      </c>
      <c r="I450" s="298" t="s">
        <v>448</v>
      </c>
      <c r="J450" s="298" t="s">
        <v>448</v>
      </c>
      <c r="K450" s="298" t="s">
        <v>448</v>
      </c>
      <c r="L450" s="298" t="s">
        <v>448</v>
      </c>
      <c r="M450" s="291"/>
    </row>
    <row r="451" spans="1:13" s="208" customFormat="1" ht="24" customHeight="1" x14ac:dyDescent="0.25">
      <c r="A451" s="291">
        <v>445</v>
      </c>
      <c r="B451" s="343"/>
      <c r="C451" s="343"/>
      <c r="D451" s="435" t="s">
        <v>938</v>
      </c>
      <c r="E451" s="324">
        <f>LEN(D451)</f>
        <v>26</v>
      </c>
      <c r="F451" s="298" t="s">
        <v>664</v>
      </c>
      <c r="G451" s="298" t="s">
        <v>448</v>
      </c>
      <c r="H451" s="298" t="s">
        <v>448</v>
      </c>
      <c r="I451" s="298" t="s">
        <v>448</v>
      </c>
      <c r="J451" s="298" t="s">
        <v>448</v>
      </c>
      <c r="K451" s="298" t="s">
        <v>448</v>
      </c>
      <c r="L451" s="298" t="s">
        <v>448</v>
      </c>
      <c r="M451" s="308"/>
    </row>
    <row r="452" spans="1:13" s="208" customFormat="1" ht="24" customHeight="1" x14ac:dyDescent="0.25">
      <c r="A452" s="291">
        <v>446</v>
      </c>
      <c r="B452" s="345"/>
      <c r="C452" s="314"/>
      <c r="D452" s="293" t="s">
        <v>524</v>
      </c>
      <c r="E452" s="324">
        <f>LEN(D452)</f>
        <v>12</v>
      </c>
      <c r="F452" s="298" t="s">
        <v>762</v>
      </c>
      <c r="G452" s="298" t="s">
        <v>762</v>
      </c>
      <c r="H452" s="298" t="s">
        <v>762</v>
      </c>
      <c r="I452" s="298" t="s">
        <v>762</v>
      </c>
      <c r="J452" s="298" t="s">
        <v>762</v>
      </c>
      <c r="K452" s="298" t="s">
        <v>762</v>
      </c>
      <c r="L452" s="298" t="s">
        <v>762</v>
      </c>
      <c r="M452" s="308"/>
    </row>
    <row r="453" spans="1:13" s="208" customFormat="1" ht="24" customHeight="1" x14ac:dyDescent="0.25">
      <c r="A453" s="291">
        <v>447</v>
      </c>
      <c r="B453" s="343"/>
      <c r="C453" s="341" t="s">
        <v>686</v>
      </c>
      <c r="D453" s="355" t="s">
        <v>792</v>
      </c>
      <c r="E453" s="324">
        <f>LEN(D453)</f>
        <v>3</v>
      </c>
      <c r="F453" s="441" t="s">
        <v>165</v>
      </c>
      <c r="G453" s="441" t="s">
        <v>165</v>
      </c>
      <c r="H453" s="441" t="s">
        <v>165</v>
      </c>
      <c r="I453" s="441" t="s">
        <v>165</v>
      </c>
      <c r="J453" s="441" t="s">
        <v>165</v>
      </c>
      <c r="K453" s="441" t="s">
        <v>165</v>
      </c>
      <c r="L453" s="441" t="s">
        <v>165</v>
      </c>
      <c r="M453" s="308"/>
    </row>
    <row r="454" spans="1:13" s="208" customFormat="1" ht="24" customHeight="1" x14ac:dyDescent="0.25">
      <c r="A454" s="291">
        <v>448</v>
      </c>
      <c r="B454" s="343"/>
      <c r="C454" s="343"/>
      <c r="D454" s="304" t="s">
        <v>794</v>
      </c>
      <c r="E454" s="324">
        <f>LEN(D454)</f>
        <v>2</v>
      </c>
      <c r="F454" s="298" t="s">
        <v>664</v>
      </c>
      <c r="G454" s="298" t="s">
        <v>448</v>
      </c>
      <c r="H454" s="298" t="s">
        <v>448</v>
      </c>
      <c r="I454" s="298" t="s">
        <v>448</v>
      </c>
      <c r="J454" s="298" t="s">
        <v>448</v>
      </c>
      <c r="K454" s="298" t="s">
        <v>448</v>
      </c>
      <c r="L454" s="298" t="s">
        <v>448</v>
      </c>
      <c r="M454" s="308"/>
    </row>
    <row r="455" spans="1:13" s="208" customFormat="1" ht="24" customHeight="1" x14ac:dyDescent="0.25">
      <c r="A455" s="291">
        <v>449</v>
      </c>
      <c r="B455" s="345"/>
      <c r="C455" s="314"/>
      <c r="D455" s="293" t="s">
        <v>524</v>
      </c>
      <c r="E455" s="324">
        <f t="shared" ref="E455:E518" si="3">LEN(D455)</f>
        <v>12</v>
      </c>
      <c r="F455" s="298" t="s">
        <v>762</v>
      </c>
      <c r="G455" s="298" t="s">
        <v>762</v>
      </c>
      <c r="H455" s="298" t="s">
        <v>762</v>
      </c>
      <c r="I455" s="298" t="s">
        <v>762</v>
      </c>
      <c r="J455" s="298" t="s">
        <v>762</v>
      </c>
      <c r="K455" s="298" t="s">
        <v>762</v>
      </c>
      <c r="L455" s="298" t="s">
        <v>762</v>
      </c>
      <c r="M455" s="308"/>
    </row>
    <row r="456" spans="1:13" s="208" customFormat="1" ht="24" customHeight="1" x14ac:dyDescent="0.25">
      <c r="A456" s="291">
        <v>450</v>
      </c>
      <c r="B456" s="343"/>
      <c r="C456" s="341" t="s">
        <v>687</v>
      </c>
      <c r="D456" s="355" t="s">
        <v>792</v>
      </c>
      <c r="E456" s="324">
        <f t="shared" si="3"/>
        <v>3</v>
      </c>
      <c r="F456" s="441" t="s">
        <v>165</v>
      </c>
      <c r="G456" s="441" t="s">
        <v>165</v>
      </c>
      <c r="H456" s="441" t="s">
        <v>165</v>
      </c>
      <c r="I456" s="441" t="s">
        <v>165</v>
      </c>
      <c r="J456" s="441" t="s">
        <v>165</v>
      </c>
      <c r="K456" s="441" t="s">
        <v>165</v>
      </c>
      <c r="L456" s="441" t="s">
        <v>165</v>
      </c>
      <c r="M456" s="308"/>
    </row>
    <row r="457" spans="1:13" s="208" customFormat="1" ht="24" customHeight="1" x14ac:dyDescent="0.25">
      <c r="A457" s="291">
        <v>451</v>
      </c>
      <c r="B457" s="343"/>
      <c r="C457" s="343"/>
      <c r="D457" s="304" t="s">
        <v>794</v>
      </c>
      <c r="E457" s="324">
        <f t="shared" si="3"/>
        <v>2</v>
      </c>
      <c r="F457" s="298" t="s">
        <v>664</v>
      </c>
      <c r="G457" s="298" t="s">
        <v>448</v>
      </c>
      <c r="H457" s="298" t="s">
        <v>448</v>
      </c>
      <c r="I457" s="298" t="s">
        <v>448</v>
      </c>
      <c r="J457" s="298" t="s">
        <v>448</v>
      </c>
      <c r="K457" s="298" t="s">
        <v>448</v>
      </c>
      <c r="L457" s="298" t="s">
        <v>448</v>
      </c>
      <c r="M457" s="308"/>
    </row>
    <row r="458" spans="1:13" s="208" customFormat="1" ht="24" customHeight="1" x14ac:dyDescent="0.25">
      <c r="A458" s="291">
        <v>452</v>
      </c>
      <c r="B458" s="343"/>
      <c r="C458" s="343"/>
      <c r="D458" s="435" t="s">
        <v>939</v>
      </c>
      <c r="E458" s="324">
        <f t="shared" si="3"/>
        <v>24</v>
      </c>
      <c r="F458" s="298" t="s">
        <v>664</v>
      </c>
      <c r="G458" s="298" t="s">
        <v>448</v>
      </c>
      <c r="H458" s="298" t="s">
        <v>448</v>
      </c>
      <c r="I458" s="298" t="s">
        <v>448</v>
      </c>
      <c r="J458" s="298" t="s">
        <v>448</v>
      </c>
      <c r="K458" s="298" t="s">
        <v>448</v>
      </c>
      <c r="L458" s="298" t="s">
        <v>448</v>
      </c>
      <c r="M458" s="308"/>
    </row>
    <row r="459" spans="1:13" s="208" customFormat="1" ht="24" customHeight="1" x14ac:dyDescent="0.25">
      <c r="A459" s="291">
        <v>453</v>
      </c>
      <c r="B459" s="345"/>
      <c r="C459" s="314"/>
      <c r="D459" s="293" t="s">
        <v>524</v>
      </c>
      <c r="E459" s="324">
        <f t="shared" si="3"/>
        <v>12</v>
      </c>
      <c r="F459" s="298" t="s">
        <v>762</v>
      </c>
      <c r="G459" s="298" t="s">
        <v>762</v>
      </c>
      <c r="H459" s="298" t="s">
        <v>762</v>
      </c>
      <c r="I459" s="298" t="s">
        <v>762</v>
      </c>
      <c r="J459" s="298" t="s">
        <v>762</v>
      </c>
      <c r="K459" s="298" t="s">
        <v>762</v>
      </c>
      <c r="L459" s="298" t="s">
        <v>762</v>
      </c>
      <c r="M459" s="308"/>
    </row>
    <row r="460" spans="1:13" s="208" customFormat="1" ht="24" customHeight="1" x14ac:dyDescent="0.25">
      <c r="A460" s="291">
        <v>454</v>
      </c>
      <c r="B460" s="343"/>
      <c r="C460" s="341" t="s">
        <v>688</v>
      </c>
      <c r="D460" s="355" t="s">
        <v>792</v>
      </c>
      <c r="E460" s="324">
        <f t="shared" si="3"/>
        <v>3</v>
      </c>
      <c r="F460" s="441" t="s">
        <v>165</v>
      </c>
      <c r="G460" s="298" t="s">
        <v>10</v>
      </c>
      <c r="H460" s="441" t="s">
        <v>165</v>
      </c>
      <c r="I460" s="441" t="s">
        <v>165</v>
      </c>
      <c r="J460" s="298" t="s">
        <v>10</v>
      </c>
      <c r="K460" s="441" t="s">
        <v>165</v>
      </c>
      <c r="L460" s="441" t="s">
        <v>165</v>
      </c>
      <c r="M460" s="308"/>
    </row>
    <row r="461" spans="1:13" s="208" customFormat="1" ht="24" customHeight="1" x14ac:dyDescent="0.25">
      <c r="A461" s="291">
        <v>455</v>
      </c>
      <c r="B461" s="343"/>
      <c r="C461" s="343"/>
      <c r="D461" s="304" t="s">
        <v>593</v>
      </c>
      <c r="E461" s="324">
        <f t="shared" si="3"/>
        <v>12</v>
      </c>
      <c r="F461" s="298" t="s">
        <v>664</v>
      </c>
      <c r="G461" s="298" t="s">
        <v>10</v>
      </c>
      <c r="H461" s="298" t="s">
        <v>448</v>
      </c>
      <c r="I461" s="298" t="s">
        <v>448</v>
      </c>
      <c r="J461" s="298" t="s">
        <v>10</v>
      </c>
      <c r="K461" s="298" t="s">
        <v>448</v>
      </c>
      <c r="L461" s="298" t="s">
        <v>448</v>
      </c>
      <c r="M461" s="308"/>
    </row>
    <row r="462" spans="1:13" s="208" customFormat="1" ht="24" customHeight="1" x14ac:dyDescent="0.25">
      <c r="A462" s="291">
        <v>456</v>
      </c>
      <c r="B462" s="343"/>
      <c r="C462" s="343"/>
      <c r="D462" s="304" t="s">
        <v>594</v>
      </c>
      <c r="E462" s="324">
        <f t="shared" si="3"/>
        <v>12</v>
      </c>
      <c r="F462" s="298" t="s">
        <v>664</v>
      </c>
      <c r="G462" s="298" t="s">
        <v>10</v>
      </c>
      <c r="H462" s="298" t="s">
        <v>448</v>
      </c>
      <c r="I462" s="298" t="s">
        <v>448</v>
      </c>
      <c r="J462" s="298" t="s">
        <v>10</v>
      </c>
      <c r="K462" s="298" t="s">
        <v>448</v>
      </c>
      <c r="L462" s="298" t="s">
        <v>448</v>
      </c>
      <c r="M462" s="308"/>
    </row>
    <row r="463" spans="1:13" s="208" customFormat="1" ht="24" customHeight="1" x14ac:dyDescent="0.25">
      <c r="A463" s="291">
        <v>457</v>
      </c>
      <c r="B463" s="343"/>
      <c r="C463" s="343"/>
      <c r="D463" s="304" t="s">
        <v>595</v>
      </c>
      <c r="E463" s="324">
        <f t="shared" si="3"/>
        <v>12</v>
      </c>
      <c r="F463" s="298" t="s">
        <v>664</v>
      </c>
      <c r="G463" s="441" t="s">
        <v>165</v>
      </c>
      <c r="H463" s="298" t="s">
        <v>448</v>
      </c>
      <c r="I463" s="298" t="s">
        <v>448</v>
      </c>
      <c r="J463" s="441" t="s">
        <v>165</v>
      </c>
      <c r="K463" s="298" t="s">
        <v>448</v>
      </c>
      <c r="L463" s="298" t="s">
        <v>448</v>
      </c>
      <c r="M463" s="308"/>
    </row>
    <row r="464" spans="1:13" s="208" customFormat="1" ht="24" customHeight="1" x14ac:dyDescent="0.25">
      <c r="A464" s="291">
        <v>458</v>
      </c>
      <c r="B464" s="345"/>
      <c r="C464" s="314"/>
      <c r="D464" s="293" t="s">
        <v>524</v>
      </c>
      <c r="E464" s="324">
        <f t="shared" si="3"/>
        <v>12</v>
      </c>
      <c r="F464" s="298" t="s">
        <v>762</v>
      </c>
      <c r="G464" s="298" t="s">
        <v>762</v>
      </c>
      <c r="H464" s="298" t="s">
        <v>762</v>
      </c>
      <c r="I464" s="298" t="s">
        <v>762</v>
      </c>
      <c r="J464" s="298" t="s">
        <v>762</v>
      </c>
      <c r="K464" s="298" t="s">
        <v>762</v>
      </c>
      <c r="L464" s="298" t="s">
        <v>762</v>
      </c>
      <c r="M464" s="308"/>
    </row>
    <row r="465" spans="1:13" s="208" customFormat="1" ht="24" customHeight="1" x14ac:dyDescent="0.25">
      <c r="A465" s="291">
        <v>459</v>
      </c>
      <c r="B465" s="343"/>
      <c r="C465" s="341" t="s">
        <v>689</v>
      </c>
      <c r="D465" s="355" t="s">
        <v>167</v>
      </c>
      <c r="E465" s="324">
        <f t="shared" si="3"/>
        <v>2</v>
      </c>
      <c r="F465" s="441" t="s">
        <v>165</v>
      </c>
      <c r="G465" s="441" t="s">
        <v>165</v>
      </c>
      <c r="H465" s="441" t="s">
        <v>165</v>
      </c>
      <c r="I465" s="441" t="s">
        <v>165</v>
      </c>
      <c r="J465" s="441" t="s">
        <v>165</v>
      </c>
      <c r="K465" s="441" t="s">
        <v>165</v>
      </c>
      <c r="L465" s="441" t="s">
        <v>165</v>
      </c>
      <c r="M465" s="308"/>
    </row>
    <row r="466" spans="1:13" s="208" customFormat="1" ht="24" customHeight="1" x14ac:dyDescent="0.25">
      <c r="A466" s="291">
        <v>460</v>
      </c>
      <c r="B466" s="343"/>
      <c r="C466" s="343"/>
      <c r="D466" s="304" t="s">
        <v>794</v>
      </c>
      <c r="E466" s="324">
        <f t="shared" si="3"/>
        <v>2</v>
      </c>
      <c r="F466" s="298" t="s">
        <v>664</v>
      </c>
      <c r="G466" s="298" t="s">
        <v>448</v>
      </c>
      <c r="H466" s="298" t="s">
        <v>448</v>
      </c>
      <c r="I466" s="298" t="s">
        <v>448</v>
      </c>
      <c r="J466" s="298" t="s">
        <v>448</v>
      </c>
      <c r="K466" s="298" t="s">
        <v>448</v>
      </c>
      <c r="L466" s="298" t="s">
        <v>448</v>
      </c>
      <c r="M466" s="308"/>
    </row>
    <row r="467" spans="1:13" s="208" customFormat="1" ht="24" customHeight="1" x14ac:dyDescent="0.25">
      <c r="A467" s="291">
        <v>461</v>
      </c>
      <c r="B467" s="345"/>
      <c r="C467" s="314"/>
      <c r="D467" s="293" t="s">
        <v>524</v>
      </c>
      <c r="E467" s="324">
        <f t="shared" si="3"/>
        <v>12</v>
      </c>
      <c r="F467" s="298" t="s">
        <v>762</v>
      </c>
      <c r="G467" s="298" t="s">
        <v>762</v>
      </c>
      <c r="H467" s="298" t="s">
        <v>762</v>
      </c>
      <c r="I467" s="298" t="s">
        <v>762</v>
      </c>
      <c r="J467" s="298" t="s">
        <v>762</v>
      </c>
      <c r="K467" s="298" t="s">
        <v>762</v>
      </c>
      <c r="L467" s="298" t="s">
        <v>762</v>
      </c>
      <c r="M467" s="308"/>
    </row>
    <row r="468" spans="1:13" s="208" customFormat="1" ht="24" customHeight="1" x14ac:dyDescent="0.25">
      <c r="A468" s="291">
        <v>462</v>
      </c>
      <c r="B468" s="343"/>
      <c r="C468" s="341" t="s">
        <v>690</v>
      </c>
      <c r="D468" s="355" t="s">
        <v>167</v>
      </c>
      <c r="E468" s="324">
        <f t="shared" si="3"/>
        <v>2</v>
      </c>
      <c r="F468" s="441" t="s">
        <v>165</v>
      </c>
      <c r="G468" s="441" t="s">
        <v>165</v>
      </c>
      <c r="H468" s="441" t="s">
        <v>165</v>
      </c>
      <c r="I468" s="441" t="s">
        <v>165</v>
      </c>
      <c r="J468" s="441" t="s">
        <v>165</v>
      </c>
      <c r="K468" s="441" t="s">
        <v>165</v>
      </c>
      <c r="L468" s="441" t="s">
        <v>165</v>
      </c>
      <c r="M468" s="308"/>
    </row>
    <row r="469" spans="1:13" s="208" customFormat="1" ht="24" customHeight="1" x14ac:dyDescent="0.25">
      <c r="A469" s="291">
        <v>463</v>
      </c>
      <c r="B469" s="343"/>
      <c r="C469" s="343"/>
      <c r="D469" s="304" t="s">
        <v>596</v>
      </c>
      <c r="E469" s="324">
        <f t="shared" si="3"/>
        <v>11</v>
      </c>
      <c r="F469" s="298" t="s">
        <v>664</v>
      </c>
      <c r="G469" s="298" t="s">
        <v>448</v>
      </c>
      <c r="H469" s="298" t="s">
        <v>448</v>
      </c>
      <c r="I469" s="298" t="s">
        <v>448</v>
      </c>
      <c r="J469" s="298" t="s">
        <v>448</v>
      </c>
      <c r="K469" s="298" t="s">
        <v>448</v>
      </c>
      <c r="L469" s="298" t="s">
        <v>448</v>
      </c>
      <c r="M469" s="308"/>
    </row>
    <row r="470" spans="1:13" s="208" customFormat="1" ht="24" customHeight="1" x14ac:dyDescent="0.25">
      <c r="A470" s="291">
        <v>464</v>
      </c>
      <c r="B470" s="343"/>
      <c r="C470" s="343"/>
      <c r="D470" s="304" t="s">
        <v>597</v>
      </c>
      <c r="E470" s="324">
        <f t="shared" si="3"/>
        <v>11</v>
      </c>
      <c r="F470" s="298" t="s">
        <v>664</v>
      </c>
      <c r="G470" s="298" t="s">
        <v>448</v>
      </c>
      <c r="H470" s="298" t="s">
        <v>448</v>
      </c>
      <c r="I470" s="298" t="s">
        <v>448</v>
      </c>
      <c r="J470" s="298" t="s">
        <v>448</v>
      </c>
      <c r="K470" s="298" t="s">
        <v>448</v>
      </c>
      <c r="L470" s="298" t="s">
        <v>448</v>
      </c>
      <c r="M470" s="308"/>
    </row>
    <row r="471" spans="1:13" s="208" customFormat="1" ht="24" customHeight="1" x14ac:dyDescent="0.25">
      <c r="A471" s="291">
        <v>465</v>
      </c>
      <c r="B471" s="343"/>
      <c r="C471" s="343"/>
      <c r="D471" s="304" t="s">
        <v>598</v>
      </c>
      <c r="E471" s="324">
        <f t="shared" si="3"/>
        <v>12</v>
      </c>
      <c r="F471" s="298" t="s">
        <v>664</v>
      </c>
      <c r="G471" s="298" t="s">
        <v>448</v>
      </c>
      <c r="H471" s="298" t="s">
        <v>448</v>
      </c>
      <c r="I471" s="298" t="s">
        <v>448</v>
      </c>
      <c r="J471" s="298" t="s">
        <v>448</v>
      </c>
      <c r="K471" s="298" t="s">
        <v>448</v>
      </c>
      <c r="L471" s="298" t="s">
        <v>448</v>
      </c>
      <c r="M471" s="308"/>
    </row>
    <row r="472" spans="1:13" s="208" customFormat="1" ht="24" customHeight="1" x14ac:dyDescent="0.25">
      <c r="A472" s="291">
        <v>466</v>
      </c>
      <c r="B472" s="345"/>
      <c r="C472" s="314"/>
      <c r="D472" s="293" t="s">
        <v>524</v>
      </c>
      <c r="E472" s="324">
        <f t="shared" si="3"/>
        <v>12</v>
      </c>
      <c r="F472" s="298" t="s">
        <v>762</v>
      </c>
      <c r="G472" s="298" t="s">
        <v>762</v>
      </c>
      <c r="H472" s="298" t="s">
        <v>762</v>
      </c>
      <c r="I472" s="298" t="s">
        <v>762</v>
      </c>
      <c r="J472" s="298" t="s">
        <v>762</v>
      </c>
      <c r="K472" s="298" t="s">
        <v>762</v>
      </c>
      <c r="L472" s="298" t="s">
        <v>762</v>
      </c>
      <c r="M472" s="308"/>
    </row>
    <row r="473" spans="1:13" s="208" customFormat="1" ht="24" customHeight="1" x14ac:dyDescent="0.25">
      <c r="A473" s="291">
        <v>467</v>
      </c>
      <c r="B473" s="343"/>
      <c r="C473" s="341" t="s">
        <v>565</v>
      </c>
      <c r="D473" s="310" t="s">
        <v>1080</v>
      </c>
      <c r="E473" s="324">
        <f t="shared" si="3"/>
        <v>9</v>
      </c>
      <c r="F473" s="441" t="s">
        <v>165</v>
      </c>
      <c r="G473" s="298" t="s">
        <v>448</v>
      </c>
      <c r="H473" s="441" t="s">
        <v>165</v>
      </c>
      <c r="I473" s="441" t="s">
        <v>165</v>
      </c>
      <c r="J473" s="298" t="s">
        <v>448</v>
      </c>
      <c r="K473" s="298" t="s">
        <v>448</v>
      </c>
      <c r="L473" s="298" t="s">
        <v>448</v>
      </c>
      <c r="M473" s="308"/>
    </row>
    <row r="474" spans="1:13" s="208" customFormat="1" ht="24" customHeight="1" x14ac:dyDescent="0.25">
      <c r="A474" s="291">
        <v>468</v>
      </c>
      <c r="B474" s="343"/>
      <c r="C474" s="346"/>
      <c r="D474" s="293" t="s">
        <v>940</v>
      </c>
      <c r="E474" s="324">
        <f t="shared" si="3"/>
        <v>9</v>
      </c>
      <c r="F474" s="298" t="s">
        <v>664</v>
      </c>
      <c r="G474" s="298" t="s">
        <v>448</v>
      </c>
      <c r="H474" s="298" t="s">
        <v>448</v>
      </c>
      <c r="I474" s="298" t="s">
        <v>448</v>
      </c>
      <c r="J474" s="298" t="s">
        <v>448</v>
      </c>
      <c r="K474" s="298" t="s">
        <v>448</v>
      </c>
      <c r="L474" s="298" t="s">
        <v>448</v>
      </c>
      <c r="M474" s="308"/>
    </row>
    <row r="475" spans="1:13" s="208" customFormat="1" ht="24" customHeight="1" x14ac:dyDescent="0.25">
      <c r="A475" s="291">
        <v>469</v>
      </c>
      <c r="B475" s="343"/>
      <c r="C475" s="346"/>
      <c r="D475" s="293" t="s">
        <v>599</v>
      </c>
      <c r="E475" s="324">
        <f t="shared" si="3"/>
        <v>10</v>
      </c>
      <c r="F475" s="298" t="s">
        <v>664</v>
      </c>
      <c r="G475" s="298" t="s">
        <v>448</v>
      </c>
      <c r="H475" s="298" t="s">
        <v>448</v>
      </c>
      <c r="I475" s="298" t="s">
        <v>448</v>
      </c>
      <c r="J475" s="298" t="s">
        <v>448</v>
      </c>
      <c r="K475" s="298" t="s">
        <v>448</v>
      </c>
      <c r="L475" s="298" t="s">
        <v>448</v>
      </c>
      <c r="M475" s="308"/>
    </row>
    <row r="476" spans="1:13" s="208" customFormat="1" ht="24" customHeight="1" x14ac:dyDescent="0.25">
      <c r="A476" s="291">
        <v>470</v>
      </c>
      <c r="B476" s="343"/>
      <c r="C476" s="346"/>
      <c r="D476" s="293" t="s">
        <v>941</v>
      </c>
      <c r="E476" s="324">
        <f t="shared" si="3"/>
        <v>20</v>
      </c>
      <c r="F476" s="298" t="s">
        <v>664</v>
      </c>
      <c r="G476" s="441" t="s">
        <v>165</v>
      </c>
      <c r="H476" s="298" t="s">
        <v>448</v>
      </c>
      <c r="I476" s="298" t="s">
        <v>448</v>
      </c>
      <c r="J476" s="441" t="s">
        <v>165</v>
      </c>
      <c r="K476" s="441" t="s">
        <v>165</v>
      </c>
      <c r="L476" s="441" t="s">
        <v>165</v>
      </c>
      <c r="M476" s="308"/>
    </row>
    <row r="477" spans="1:13" s="208" customFormat="1" ht="24" customHeight="1" x14ac:dyDescent="0.25">
      <c r="A477" s="291">
        <v>471</v>
      </c>
      <c r="B477" s="345"/>
      <c r="C477" s="314"/>
      <c r="D477" s="293" t="s">
        <v>524</v>
      </c>
      <c r="E477" s="324">
        <f t="shared" si="3"/>
        <v>12</v>
      </c>
      <c r="F477" s="298" t="s">
        <v>762</v>
      </c>
      <c r="G477" s="298" t="s">
        <v>762</v>
      </c>
      <c r="H477" s="298" t="s">
        <v>762</v>
      </c>
      <c r="I477" s="298" t="s">
        <v>762</v>
      </c>
      <c r="J477" s="298" t="s">
        <v>762</v>
      </c>
      <c r="K477" s="298" t="s">
        <v>762</v>
      </c>
      <c r="L477" s="298" t="s">
        <v>762</v>
      </c>
      <c r="M477" s="308"/>
    </row>
    <row r="478" spans="1:13" s="208" customFormat="1" ht="24" customHeight="1" x14ac:dyDescent="0.25">
      <c r="A478" s="291">
        <v>472</v>
      </c>
      <c r="B478" s="343"/>
      <c r="C478" s="342" t="s">
        <v>691</v>
      </c>
      <c r="D478" s="310" t="s">
        <v>600</v>
      </c>
      <c r="E478" s="324">
        <f t="shared" si="3"/>
        <v>10</v>
      </c>
      <c r="F478" s="441" t="s">
        <v>165</v>
      </c>
      <c r="G478" s="441" t="s">
        <v>165</v>
      </c>
      <c r="H478" s="441" t="s">
        <v>165</v>
      </c>
      <c r="I478" s="441" t="s">
        <v>165</v>
      </c>
      <c r="J478" s="441" t="s">
        <v>165</v>
      </c>
      <c r="K478" s="441" t="s">
        <v>165</v>
      </c>
      <c r="L478" s="441" t="s">
        <v>165</v>
      </c>
      <c r="M478" s="308"/>
    </row>
    <row r="479" spans="1:13" s="208" customFormat="1" ht="24" customHeight="1" x14ac:dyDescent="0.25">
      <c r="A479" s="291">
        <v>473</v>
      </c>
      <c r="B479" s="343"/>
      <c r="C479" s="344"/>
      <c r="D479" s="293" t="s">
        <v>601</v>
      </c>
      <c r="E479" s="324">
        <f t="shared" si="3"/>
        <v>22</v>
      </c>
      <c r="F479" s="298" t="s">
        <v>664</v>
      </c>
      <c r="G479" s="298" t="s">
        <v>448</v>
      </c>
      <c r="H479" s="298" t="s">
        <v>448</v>
      </c>
      <c r="I479" s="298" t="s">
        <v>448</v>
      </c>
      <c r="J479" s="298" t="s">
        <v>448</v>
      </c>
      <c r="K479" s="298" t="s">
        <v>448</v>
      </c>
      <c r="L479" s="298" t="s">
        <v>448</v>
      </c>
      <c r="M479" s="308"/>
    </row>
    <row r="480" spans="1:13" s="208" customFormat="1" ht="24" customHeight="1" x14ac:dyDescent="0.25">
      <c r="A480" s="291">
        <v>474</v>
      </c>
      <c r="B480" s="343"/>
      <c r="C480" s="344"/>
      <c r="D480" s="293" t="s">
        <v>602</v>
      </c>
      <c r="E480" s="324">
        <f t="shared" si="3"/>
        <v>22</v>
      </c>
      <c r="F480" s="298" t="s">
        <v>664</v>
      </c>
      <c r="G480" s="298" t="s">
        <v>448</v>
      </c>
      <c r="H480" s="298" t="s">
        <v>448</v>
      </c>
      <c r="I480" s="298" t="s">
        <v>448</v>
      </c>
      <c r="J480" s="298" t="s">
        <v>448</v>
      </c>
      <c r="K480" s="298" t="s">
        <v>448</v>
      </c>
      <c r="L480" s="298" t="s">
        <v>448</v>
      </c>
      <c r="M480" s="308"/>
    </row>
    <row r="481" spans="1:13" s="208" customFormat="1" ht="24" customHeight="1" x14ac:dyDescent="0.25">
      <c r="A481" s="291">
        <v>475</v>
      </c>
      <c r="B481" s="343"/>
      <c r="C481" s="344"/>
      <c r="D481" s="293" t="s">
        <v>603</v>
      </c>
      <c r="E481" s="324">
        <f t="shared" si="3"/>
        <v>22</v>
      </c>
      <c r="F481" s="298" t="s">
        <v>664</v>
      </c>
      <c r="G481" s="298" t="s">
        <v>448</v>
      </c>
      <c r="H481" s="298" t="s">
        <v>448</v>
      </c>
      <c r="I481" s="298" t="s">
        <v>448</v>
      </c>
      <c r="J481" s="298" t="s">
        <v>448</v>
      </c>
      <c r="K481" s="298" t="s">
        <v>448</v>
      </c>
      <c r="L481" s="298" t="s">
        <v>448</v>
      </c>
      <c r="M481" s="308"/>
    </row>
    <row r="482" spans="1:13" s="208" customFormat="1" ht="24" customHeight="1" x14ac:dyDescent="0.25">
      <c r="A482" s="291">
        <v>476</v>
      </c>
      <c r="B482" s="343"/>
      <c r="C482" s="344"/>
      <c r="D482" s="293" t="s">
        <v>604</v>
      </c>
      <c r="E482" s="324">
        <f t="shared" si="3"/>
        <v>23</v>
      </c>
      <c r="F482" s="298" t="s">
        <v>664</v>
      </c>
      <c r="G482" s="298" t="s">
        <v>448</v>
      </c>
      <c r="H482" s="298" t="s">
        <v>448</v>
      </c>
      <c r="I482" s="298" t="s">
        <v>448</v>
      </c>
      <c r="J482" s="298" t="s">
        <v>448</v>
      </c>
      <c r="K482" s="298" t="s">
        <v>448</v>
      </c>
      <c r="L482" s="298" t="s">
        <v>448</v>
      </c>
      <c r="M482" s="308"/>
    </row>
    <row r="483" spans="1:13" s="208" customFormat="1" ht="24" customHeight="1" x14ac:dyDescent="0.25">
      <c r="A483" s="291">
        <v>477</v>
      </c>
      <c r="B483" s="343"/>
      <c r="C483" s="344"/>
      <c r="D483" s="293" t="s">
        <v>605</v>
      </c>
      <c r="E483" s="324">
        <f t="shared" si="3"/>
        <v>23</v>
      </c>
      <c r="F483" s="298" t="s">
        <v>664</v>
      </c>
      <c r="G483" s="298" t="s">
        <v>448</v>
      </c>
      <c r="H483" s="298" t="s">
        <v>448</v>
      </c>
      <c r="I483" s="298" t="s">
        <v>448</v>
      </c>
      <c r="J483" s="298" t="s">
        <v>448</v>
      </c>
      <c r="K483" s="298" t="s">
        <v>448</v>
      </c>
      <c r="L483" s="298" t="s">
        <v>448</v>
      </c>
      <c r="M483" s="308"/>
    </row>
    <row r="484" spans="1:13" s="208" customFormat="1" ht="24" customHeight="1" x14ac:dyDescent="0.25">
      <c r="A484" s="291">
        <v>478</v>
      </c>
      <c r="B484" s="343"/>
      <c r="C484" s="344"/>
      <c r="D484" s="293" t="s">
        <v>994</v>
      </c>
      <c r="E484" s="324">
        <f t="shared" si="3"/>
        <v>26</v>
      </c>
      <c r="F484" s="298" t="s">
        <v>10</v>
      </c>
      <c r="G484" s="298" t="s">
        <v>10</v>
      </c>
      <c r="H484" s="298" t="s">
        <v>10</v>
      </c>
      <c r="I484" s="298" t="s">
        <v>10</v>
      </c>
      <c r="J484" s="298" t="s">
        <v>10</v>
      </c>
      <c r="K484" s="298" t="s">
        <v>10</v>
      </c>
      <c r="L484" s="298" t="s">
        <v>10</v>
      </c>
      <c r="M484" s="308"/>
    </row>
    <row r="485" spans="1:13" s="208" customFormat="1" ht="24" customHeight="1" x14ac:dyDescent="0.25">
      <c r="A485" s="291">
        <v>479</v>
      </c>
      <c r="B485" s="345"/>
      <c r="C485" s="314"/>
      <c r="D485" s="293" t="s">
        <v>524</v>
      </c>
      <c r="E485" s="324">
        <f t="shared" si="3"/>
        <v>12</v>
      </c>
      <c r="F485" s="298" t="s">
        <v>762</v>
      </c>
      <c r="G485" s="298" t="s">
        <v>762</v>
      </c>
      <c r="H485" s="298" t="s">
        <v>762</v>
      </c>
      <c r="I485" s="298" t="s">
        <v>762</v>
      </c>
      <c r="J485" s="298" t="s">
        <v>762</v>
      </c>
      <c r="K485" s="298" t="s">
        <v>762</v>
      </c>
      <c r="L485" s="298" t="s">
        <v>762</v>
      </c>
      <c r="M485" s="308"/>
    </row>
    <row r="486" spans="1:13" s="208" customFormat="1" ht="24" customHeight="1" x14ac:dyDescent="0.25">
      <c r="A486" s="291">
        <v>480</v>
      </c>
      <c r="B486" s="343"/>
      <c r="C486" s="342" t="s">
        <v>692</v>
      </c>
      <c r="D486" s="310" t="s">
        <v>843</v>
      </c>
      <c r="E486" s="324">
        <f t="shared" si="3"/>
        <v>2</v>
      </c>
      <c r="F486" s="441" t="s">
        <v>165</v>
      </c>
      <c r="G486" s="298" t="s">
        <v>10</v>
      </c>
      <c r="H486" s="441" t="s">
        <v>165</v>
      </c>
      <c r="I486" s="441" t="s">
        <v>165</v>
      </c>
      <c r="J486" s="298" t="s">
        <v>10</v>
      </c>
      <c r="K486" s="441" t="s">
        <v>165</v>
      </c>
      <c r="L486" s="441" t="s">
        <v>165</v>
      </c>
      <c r="M486" s="308"/>
    </row>
    <row r="487" spans="1:13" s="208" customFormat="1" ht="24" customHeight="1" x14ac:dyDescent="0.25">
      <c r="A487" s="291">
        <v>481</v>
      </c>
      <c r="B487" s="343"/>
      <c r="C487" s="344"/>
      <c r="D487" s="293" t="s">
        <v>606</v>
      </c>
      <c r="E487" s="324">
        <f t="shared" si="3"/>
        <v>24</v>
      </c>
      <c r="F487" s="298" t="s">
        <v>664</v>
      </c>
      <c r="G487" s="441" t="s">
        <v>165</v>
      </c>
      <c r="H487" s="298" t="s">
        <v>448</v>
      </c>
      <c r="I487" s="298" t="s">
        <v>448</v>
      </c>
      <c r="J487" s="441" t="s">
        <v>165</v>
      </c>
      <c r="K487" s="298" t="s">
        <v>448</v>
      </c>
      <c r="L487" s="298" t="s">
        <v>448</v>
      </c>
      <c r="M487" s="308"/>
    </row>
    <row r="488" spans="1:13" s="208" customFormat="1" ht="24" customHeight="1" x14ac:dyDescent="0.25">
      <c r="A488" s="291">
        <v>482</v>
      </c>
      <c r="B488" s="345"/>
      <c r="C488" s="314"/>
      <c r="D488" s="293" t="s">
        <v>524</v>
      </c>
      <c r="E488" s="324">
        <f t="shared" si="3"/>
        <v>12</v>
      </c>
      <c r="F488" s="298" t="s">
        <v>762</v>
      </c>
      <c r="G488" s="298" t="s">
        <v>762</v>
      </c>
      <c r="H488" s="298" t="s">
        <v>762</v>
      </c>
      <c r="I488" s="298" t="s">
        <v>762</v>
      </c>
      <c r="J488" s="298" t="s">
        <v>762</v>
      </c>
      <c r="K488" s="298" t="s">
        <v>762</v>
      </c>
      <c r="L488" s="298" t="s">
        <v>762</v>
      </c>
      <c r="M488" s="308"/>
    </row>
    <row r="489" spans="1:13" s="208" customFormat="1" ht="24" customHeight="1" x14ac:dyDescent="0.25">
      <c r="A489" s="291">
        <v>483</v>
      </c>
      <c r="B489" s="408" t="s">
        <v>638</v>
      </c>
      <c r="C489" s="409" t="s">
        <v>191</v>
      </c>
      <c r="D489" s="302" t="s">
        <v>167</v>
      </c>
      <c r="E489" s="324">
        <f t="shared" si="3"/>
        <v>2</v>
      </c>
      <c r="F489" s="441" t="s">
        <v>165</v>
      </c>
      <c r="G489" s="441" t="s">
        <v>165</v>
      </c>
      <c r="H489" s="441" t="s">
        <v>165</v>
      </c>
      <c r="I489" s="441" t="s">
        <v>165</v>
      </c>
      <c r="J489" s="441" t="s">
        <v>165</v>
      </c>
      <c r="K489" s="441" t="s">
        <v>165</v>
      </c>
      <c r="L489" s="441" t="s">
        <v>165</v>
      </c>
      <c r="M489" s="308"/>
    </row>
    <row r="490" spans="1:13" s="208" customFormat="1" ht="24" customHeight="1" x14ac:dyDescent="0.25">
      <c r="A490" s="291">
        <v>484</v>
      </c>
      <c r="B490" s="331"/>
      <c r="C490" s="332"/>
      <c r="D490" s="293" t="s">
        <v>194</v>
      </c>
      <c r="E490" s="324">
        <f t="shared" si="3"/>
        <v>21</v>
      </c>
      <c r="F490" s="298" t="s">
        <v>664</v>
      </c>
      <c r="G490" s="298" t="s">
        <v>448</v>
      </c>
      <c r="H490" s="298" t="s">
        <v>448</v>
      </c>
      <c r="I490" s="298" t="s">
        <v>448</v>
      </c>
      <c r="J490" s="298" t="s">
        <v>448</v>
      </c>
      <c r="K490" s="298" t="s">
        <v>448</v>
      </c>
      <c r="L490" s="298" t="s">
        <v>448</v>
      </c>
      <c r="M490" s="308"/>
    </row>
    <row r="491" spans="1:13" s="208" customFormat="1" ht="24" customHeight="1" x14ac:dyDescent="0.25">
      <c r="A491" s="291">
        <v>485</v>
      </c>
      <c r="B491" s="331"/>
      <c r="C491" s="332"/>
      <c r="D491" s="293" t="s">
        <v>524</v>
      </c>
      <c r="E491" s="324">
        <f t="shared" si="3"/>
        <v>12</v>
      </c>
      <c r="F491" s="298" t="s">
        <v>762</v>
      </c>
      <c r="G491" s="298" t="s">
        <v>762</v>
      </c>
      <c r="H491" s="298" t="s">
        <v>762</v>
      </c>
      <c r="I491" s="298" t="s">
        <v>762</v>
      </c>
      <c r="J491" s="298" t="s">
        <v>762</v>
      </c>
      <c r="K491" s="298" t="s">
        <v>762</v>
      </c>
      <c r="L491" s="298" t="s">
        <v>762</v>
      </c>
      <c r="M491" s="363"/>
    </row>
    <row r="492" spans="1:13" s="208" customFormat="1" ht="24" customHeight="1" x14ac:dyDescent="0.25">
      <c r="A492" s="291">
        <v>486</v>
      </c>
      <c r="B492" s="331"/>
      <c r="C492" s="409" t="s">
        <v>1550</v>
      </c>
      <c r="D492" s="302" t="s">
        <v>167</v>
      </c>
      <c r="E492" s="324">
        <f t="shared" si="3"/>
        <v>2</v>
      </c>
      <c r="F492" s="441" t="s">
        <v>165</v>
      </c>
      <c r="G492" s="441" t="s">
        <v>165</v>
      </c>
      <c r="H492" s="441" t="s">
        <v>165</v>
      </c>
      <c r="I492" s="441" t="s">
        <v>165</v>
      </c>
      <c r="J492" s="441" t="s">
        <v>165</v>
      </c>
      <c r="K492" s="441" t="s">
        <v>165</v>
      </c>
      <c r="L492" s="441" t="s">
        <v>165</v>
      </c>
      <c r="M492" s="291"/>
    </row>
    <row r="493" spans="1:13" s="208" customFormat="1" ht="24" customHeight="1" x14ac:dyDescent="0.25">
      <c r="A493" s="291">
        <v>487</v>
      </c>
      <c r="B493" s="331"/>
      <c r="C493" s="332"/>
      <c r="D493" s="293" t="s">
        <v>195</v>
      </c>
      <c r="E493" s="324">
        <f t="shared" si="3"/>
        <v>27</v>
      </c>
      <c r="F493" s="298" t="s">
        <v>664</v>
      </c>
      <c r="G493" s="298" t="s">
        <v>448</v>
      </c>
      <c r="H493" s="298" t="s">
        <v>448</v>
      </c>
      <c r="I493" s="298" t="s">
        <v>448</v>
      </c>
      <c r="J493" s="298" t="s">
        <v>448</v>
      </c>
      <c r="K493" s="298" t="s">
        <v>448</v>
      </c>
      <c r="L493" s="298" t="s">
        <v>448</v>
      </c>
      <c r="M493" s="363"/>
    </row>
    <row r="494" spans="1:13" s="208" customFormat="1" ht="24" customHeight="1" x14ac:dyDescent="0.25">
      <c r="A494" s="291">
        <v>488</v>
      </c>
      <c r="B494" s="331"/>
      <c r="C494" s="332"/>
      <c r="D494" s="293" t="s">
        <v>524</v>
      </c>
      <c r="E494" s="324">
        <f t="shared" si="3"/>
        <v>12</v>
      </c>
      <c r="F494" s="298" t="s">
        <v>762</v>
      </c>
      <c r="G494" s="298" t="s">
        <v>762</v>
      </c>
      <c r="H494" s="298" t="s">
        <v>762</v>
      </c>
      <c r="I494" s="298" t="s">
        <v>762</v>
      </c>
      <c r="J494" s="298" t="s">
        <v>762</v>
      </c>
      <c r="K494" s="298" t="s">
        <v>762</v>
      </c>
      <c r="L494" s="298" t="s">
        <v>762</v>
      </c>
      <c r="M494" s="308"/>
    </row>
    <row r="495" spans="1:13" s="208" customFormat="1" ht="24" customHeight="1" x14ac:dyDescent="0.25">
      <c r="A495" s="291">
        <v>489</v>
      </c>
      <c r="B495" s="331"/>
      <c r="C495" s="409" t="s">
        <v>193</v>
      </c>
      <c r="D495" s="302" t="s">
        <v>167</v>
      </c>
      <c r="E495" s="324">
        <f t="shared" si="3"/>
        <v>2</v>
      </c>
      <c r="F495" s="441" t="s">
        <v>165</v>
      </c>
      <c r="G495" s="441" t="s">
        <v>165</v>
      </c>
      <c r="H495" s="441" t="s">
        <v>165</v>
      </c>
      <c r="I495" s="441" t="s">
        <v>165</v>
      </c>
      <c r="J495" s="441" t="s">
        <v>165</v>
      </c>
      <c r="K495" s="441" t="s">
        <v>165</v>
      </c>
      <c r="L495" s="441" t="s">
        <v>165</v>
      </c>
      <c r="M495" s="308"/>
    </row>
    <row r="496" spans="1:13" s="208" customFormat="1" ht="24" customHeight="1" x14ac:dyDescent="0.25">
      <c r="A496" s="291">
        <v>490</v>
      </c>
      <c r="B496" s="331"/>
      <c r="C496" s="332"/>
      <c r="D496" s="293" t="s">
        <v>196</v>
      </c>
      <c r="E496" s="324">
        <f t="shared" si="3"/>
        <v>47</v>
      </c>
      <c r="F496" s="298" t="s">
        <v>664</v>
      </c>
      <c r="G496" s="298" t="s">
        <v>448</v>
      </c>
      <c r="H496" s="298" t="s">
        <v>448</v>
      </c>
      <c r="I496" s="298" t="s">
        <v>448</v>
      </c>
      <c r="J496" s="298" t="s">
        <v>448</v>
      </c>
      <c r="K496" s="298" t="s">
        <v>448</v>
      </c>
      <c r="L496" s="298" t="s">
        <v>448</v>
      </c>
      <c r="M496" s="308"/>
    </row>
    <row r="497" spans="1:13" s="208" customFormat="1" ht="24" customHeight="1" x14ac:dyDescent="0.25">
      <c r="A497" s="291">
        <v>491</v>
      </c>
      <c r="B497" s="331"/>
      <c r="C497" s="332"/>
      <c r="D497" s="293" t="s">
        <v>524</v>
      </c>
      <c r="E497" s="324">
        <f t="shared" si="3"/>
        <v>12</v>
      </c>
      <c r="F497" s="298" t="s">
        <v>762</v>
      </c>
      <c r="G497" s="298" t="s">
        <v>762</v>
      </c>
      <c r="H497" s="298" t="s">
        <v>762</v>
      </c>
      <c r="I497" s="298" t="s">
        <v>762</v>
      </c>
      <c r="J497" s="298" t="s">
        <v>762</v>
      </c>
      <c r="K497" s="298" t="s">
        <v>762</v>
      </c>
      <c r="L497" s="298" t="s">
        <v>762</v>
      </c>
      <c r="M497" s="308"/>
    </row>
    <row r="498" spans="1:13" s="208" customFormat="1" ht="24" customHeight="1" x14ac:dyDescent="0.25">
      <c r="A498" s="291">
        <v>492</v>
      </c>
      <c r="B498" s="350" t="s">
        <v>639</v>
      </c>
      <c r="C498" s="320" t="s">
        <v>640</v>
      </c>
      <c r="D498" s="299" t="s">
        <v>842</v>
      </c>
      <c r="E498" s="324">
        <f t="shared" si="3"/>
        <v>2</v>
      </c>
      <c r="F498" s="441" t="s">
        <v>165</v>
      </c>
      <c r="G498" s="441" t="s">
        <v>165</v>
      </c>
      <c r="H498" s="441" t="s">
        <v>165</v>
      </c>
      <c r="I498" s="441" t="s">
        <v>165</v>
      </c>
      <c r="J498" s="441" t="s">
        <v>165</v>
      </c>
      <c r="K498" s="441" t="s">
        <v>165</v>
      </c>
      <c r="L498" s="441" t="s">
        <v>165</v>
      </c>
      <c r="M498" s="291"/>
    </row>
    <row r="499" spans="1:13" s="208" customFormat="1" ht="24" customHeight="1" x14ac:dyDescent="0.25">
      <c r="A499" s="291">
        <v>493</v>
      </c>
      <c r="B499" s="315"/>
      <c r="C499" s="323"/>
      <c r="D499" s="293" t="s">
        <v>942</v>
      </c>
      <c r="E499" s="324">
        <f t="shared" si="3"/>
        <v>32</v>
      </c>
      <c r="F499" s="298" t="s">
        <v>664</v>
      </c>
      <c r="G499" s="298" t="s">
        <v>448</v>
      </c>
      <c r="H499" s="298" t="s">
        <v>448</v>
      </c>
      <c r="I499" s="298" t="s">
        <v>448</v>
      </c>
      <c r="J499" s="298" t="s">
        <v>448</v>
      </c>
      <c r="K499" s="298" t="s">
        <v>448</v>
      </c>
      <c r="L499" s="298" t="s">
        <v>448</v>
      </c>
      <c r="M499" s="308"/>
    </row>
    <row r="500" spans="1:13" s="208" customFormat="1" ht="24" customHeight="1" x14ac:dyDescent="0.25">
      <c r="A500" s="291">
        <v>494</v>
      </c>
      <c r="B500" s="325"/>
      <c r="C500" s="351"/>
      <c r="D500" s="293" t="s">
        <v>524</v>
      </c>
      <c r="E500" s="324">
        <f t="shared" si="3"/>
        <v>12</v>
      </c>
      <c r="F500" s="298" t="s">
        <v>762</v>
      </c>
      <c r="G500" s="298" t="s">
        <v>762</v>
      </c>
      <c r="H500" s="298" t="s">
        <v>762</v>
      </c>
      <c r="I500" s="298" t="s">
        <v>762</v>
      </c>
      <c r="J500" s="298" t="s">
        <v>762</v>
      </c>
      <c r="K500" s="298" t="s">
        <v>762</v>
      </c>
      <c r="L500" s="298" t="s">
        <v>762</v>
      </c>
      <c r="M500" s="308"/>
    </row>
    <row r="501" spans="1:13" s="208" customFormat="1" ht="24" customHeight="1" x14ac:dyDescent="0.25">
      <c r="A501" s="291">
        <v>495</v>
      </c>
      <c r="B501" s="315"/>
      <c r="C501" s="320" t="s">
        <v>31</v>
      </c>
      <c r="D501" s="299" t="s">
        <v>842</v>
      </c>
      <c r="E501" s="324">
        <f t="shared" si="3"/>
        <v>2</v>
      </c>
      <c r="F501" s="441" t="s">
        <v>165</v>
      </c>
      <c r="G501" s="441" t="s">
        <v>165</v>
      </c>
      <c r="H501" s="441" t="s">
        <v>165</v>
      </c>
      <c r="I501" s="441" t="s">
        <v>165</v>
      </c>
      <c r="J501" s="441" t="s">
        <v>165</v>
      </c>
      <c r="K501" s="441" t="s">
        <v>165</v>
      </c>
      <c r="L501" s="441" t="s">
        <v>165</v>
      </c>
      <c r="M501" s="363"/>
    </row>
    <row r="502" spans="1:13" s="208" customFormat="1" ht="24" customHeight="1" x14ac:dyDescent="0.25">
      <c r="A502" s="291">
        <v>496</v>
      </c>
      <c r="B502" s="315"/>
      <c r="C502" s="323"/>
      <c r="D502" s="293" t="s">
        <v>943</v>
      </c>
      <c r="E502" s="324">
        <f t="shared" si="3"/>
        <v>10</v>
      </c>
      <c r="F502" s="298" t="s">
        <v>664</v>
      </c>
      <c r="G502" s="298" t="s">
        <v>448</v>
      </c>
      <c r="H502" s="298" t="s">
        <v>448</v>
      </c>
      <c r="I502" s="298" t="s">
        <v>448</v>
      </c>
      <c r="J502" s="298" t="s">
        <v>448</v>
      </c>
      <c r="K502" s="298" t="s">
        <v>448</v>
      </c>
      <c r="L502" s="298" t="s">
        <v>448</v>
      </c>
      <c r="M502" s="291"/>
    </row>
    <row r="503" spans="1:13" s="208" customFormat="1" ht="24" customHeight="1" x14ac:dyDescent="0.25">
      <c r="A503" s="291">
        <v>497</v>
      </c>
      <c r="B503" s="325"/>
      <c r="C503" s="351"/>
      <c r="D503" s="293" t="s">
        <v>524</v>
      </c>
      <c r="E503" s="324">
        <f t="shared" si="3"/>
        <v>12</v>
      </c>
      <c r="F503" s="298" t="s">
        <v>762</v>
      </c>
      <c r="G503" s="298" t="s">
        <v>762</v>
      </c>
      <c r="H503" s="298" t="s">
        <v>762</v>
      </c>
      <c r="I503" s="298" t="s">
        <v>762</v>
      </c>
      <c r="J503" s="298" t="s">
        <v>762</v>
      </c>
      <c r="K503" s="298" t="s">
        <v>762</v>
      </c>
      <c r="L503" s="298" t="s">
        <v>762</v>
      </c>
      <c r="M503" s="308"/>
    </row>
    <row r="504" spans="1:13" s="208" customFormat="1" ht="24" customHeight="1" x14ac:dyDescent="0.25">
      <c r="A504" s="291">
        <v>498</v>
      </c>
      <c r="B504" s="325"/>
      <c r="C504" s="326" t="s">
        <v>35</v>
      </c>
      <c r="D504" s="299" t="s">
        <v>841</v>
      </c>
      <c r="E504" s="324">
        <f t="shared" si="3"/>
        <v>2</v>
      </c>
      <c r="F504" s="441" t="s">
        <v>165</v>
      </c>
      <c r="G504" s="441" t="s">
        <v>165</v>
      </c>
      <c r="H504" s="441" t="s">
        <v>165</v>
      </c>
      <c r="I504" s="441" t="s">
        <v>165</v>
      </c>
      <c r="J504" s="441" t="s">
        <v>165</v>
      </c>
      <c r="K504" s="441" t="s">
        <v>165</v>
      </c>
      <c r="L504" s="441" t="s">
        <v>165</v>
      </c>
      <c r="M504" s="308"/>
    </row>
    <row r="505" spans="1:13" s="208" customFormat="1" ht="24" customHeight="1" x14ac:dyDescent="0.25">
      <c r="A505" s="291">
        <v>499</v>
      </c>
      <c r="B505" s="325"/>
      <c r="C505" s="326"/>
      <c r="D505" s="293" t="s">
        <v>868</v>
      </c>
      <c r="E505" s="324">
        <f t="shared" si="3"/>
        <v>13</v>
      </c>
      <c r="F505" s="298" t="s">
        <v>762</v>
      </c>
      <c r="G505" s="298" t="s">
        <v>762</v>
      </c>
      <c r="H505" s="298" t="s">
        <v>762</v>
      </c>
      <c r="I505" s="298" t="s">
        <v>762</v>
      </c>
      <c r="J505" s="298" t="s">
        <v>762</v>
      </c>
      <c r="K505" s="298" t="s">
        <v>762</v>
      </c>
      <c r="L505" s="298" t="s">
        <v>762</v>
      </c>
      <c r="M505" s="308"/>
    </row>
    <row r="506" spans="1:13" s="208" customFormat="1" ht="24" customHeight="1" x14ac:dyDescent="0.25">
      <c r="A506" s="291">
        <v>500</v>
      </c>
      <c r="B506" s="356" t="s">
        <v>445</v>
      </c>
      <c r="C506" s="356" t="s">
        <v>197</v>
      </c>
      <c r="D506" s="357" t="s">
        <v>841</v>
      </c>
      <c r="E506" s="324">
        <f t="shared" si="3"/>
        <v>2</v>
      </c>
      <c r="F506" s="441" t="s">
        <v>165</v>
      </c>
      <c r="G506" s="441" t="s">
        <v>165</v>
      </c>
      <c r="H506" s="441" t="s">
        <v>165</v>
      </c>
      <c r="I506" s="441" t="s">
        <v>165</v>
      </c>
      <c r="J506" s="441" t="s">
        <v>165</v>
      </c>
      <c r="K506" s="441" t="s">
        <v>165</v>
      </c>
      <c r="L506" s="441" t="s">
        <v>165</v>
      </c>
      <c r="M506" s="308"/>
    </row>
    <row r="507" spans="1:13" s="208" customFormat="1" ht="24" customHeight="1" x14ac:dyDescent="0.25">
      <c r="A507" s="291">
        <v>501</v>
      </c>
      <c r="B507" s="358"/>
      <c r="C507" s="358"/>
      <c r="D507" s="359" t="s">
        <v>794</v>
      </c>
      <c r="E507" s="324">
        <f t="shared" si="3"/>
        <v>2</v>
      </c>
      <c r="F507" s="298" t="s">
        <v>664</v>
      </c>
      <c r="G507" s="298" t="s">
        <v>448</v>
      </c>
      <c r="H507" s="298" t="s">
        <v>448</v>
      </c>
      <c r="I507" s="298" t="s">
        <v>448</v>
      </c>
      <c r="J507" s="298" t="s">
        <v>448</v>
      </c>
      <c r="K507" s="298" t="s">
        <v>448</v>
      </c>
      <c r="L507" s="298" t="s">
        <v>448</v>
      </c>
      <c r="M507" s="308"/>
    </row>
    <row r="508" spans="1:13" s="208" customFormat="1" ht="24" customHeight="1" x14ac:dyDescent="0.25">
      <c r="A508" s="291">
        <v>502</v>
      </c>
      <c r="B508" s="339"/>
      <c r="C508" s="317"/>
      <c r="D508" s="293" t="s">
        <v>524</v>
      </c>
      <c r="E508" s="324">
        <f t="shared" si="3"/>
        <v>12</v>
      </c>
      <c r="F508" s="298" t="s">
        <v>762</v>
      </c>
      <c r="G508" s="298" t="s">
        <v>762</v>
      </c>
      <c r="H508" s="298" t="s">
        <v>762</v>
      </c>
      <c r="I508" s="298" t="s">
        <v>762</v>
      </c>
      <c r="J508" s="298" t="s">
        <v>762</v>
      </c>
      <c r="K508" s="298" t="s">
        <v>762</v>
      </c>
      <c r="L508" s="298" t="s">
        <v>762</v>
      </c>
      <c r="M508" s="308"/>
    </row>
    <row r="509" spans="1:13" s="208" customFormat="1" ht="24" customHeight="1" x14ac:dyDescent="0.25">
      <c r="A509" s="291">
        <v>503</v>
      </c>
      <c r="B509" s="339"/>
      <c r="C509" s="340" t="s">
        <v>446</v>
      </c>
      <c r="D509" s="309" t="s">
        <v>549</v>
      </c>
      <c r="E509" s="324">
        <f t="shared" si="3"/>
        <v>28</v>
      </c>
      <c r="F509" s="441" t="s">
        <v>165</v>
      </c>
      <c r="G509" s="441" t="s">
        <v>165</v>
      </c>
      <c r="H509" s="441" t="s">
        <v>165</v>
      </c>
      <c r="I509" s="441" t="s">
        <v>165</v>
      </c>
      <c r="J509" s="441" t="s">
        <v>165</v>
      </c>
      <c r="K509" s="441" t="s">
        <v>165</v>
      </c>
      <c r="L509" s="441" t="s">
        <v>165</v>
      </c>
      <c r="M509" s="308"/>
    </row>
    <row r="510" spans="1:13" s="208" customFormat="1" ht="24" customHeight="1" x14ac:dyDescent="0.25">
      <c r="A510" s="291">
        <v>504</v>
      </c>
      <c r="B510" s="339"/>
      <c r="C510" s="340"/>
      <c r="D510" s="293" t="s">
        <v>447</v>
      </c>
      <c r="E510" s="324">
        <f t="shared" si="3"/>
        <v>22</v>
      </c>
      <c r="F510" s="298" t="s">
        <v>448</v>
      </c>
      <c r="G510" s="298" t="s">
        <v>448</v>
      </c>
      <c r="H510" s="298" t="s">
        <v>448</v>
      </c>
      <c r="I510" s="298" t="s">
        <v>448</v>
      </c>
      <c r="J510" s="298" t="s">
        <v>448</v>
      </c>
      <c r="K510" s="298" t="s">
        <v>448</v>
      </c>
      <c r="L510" s="298" t="s">
        <v>448</v>
      </c>
      <c r="M510" s="308"/>
    </row>
    <row r="511" spans="1:13" s="208" customFormat="1" ht="24" customHeight="1" x14ac:dyDescent="0.25">
      <c r="A511" s="291">
        <v>505</v>
      </c>
      <c r="B511" s="339"/>
      <c r="C511" s="340"/>
      <c r="D511" s="293" t="s">
        <v>449</v>
      </c>
      <c r="E511" s="324">
        <f t="shared" si="3"/>
        <v>12</v>
      </c>
      <c r="F511" s="298" t="s">
        <v>762</v>
      </c>
      <c r="G511" s="298" t="s">
        <v>762</v>
      </c>
      <c r="H511" s="298" t="s">
        <v>762</v>
      </c>
      <c r="I511" s="298" t="s">
        <v>762</v>
      </c>
      <c r="J511" s="298" t="s">
        <v>762</v>
      </c>
      <c r="K511" s="298" t="s">
        <v>762</v>
      </c>
      <c r="L511" s="298" t="s">
        <v>762</v>
      </c>
      <c r="M511" s="308"/>
    </row>
    <row r="512" spans="1:13" s="208" customFormat="1" ht="24" customHeight="1" x14ac:dyDescent="0.2">
      <c r="A512" s="291">
        <v>506</v>
      </c>
      <c r="B512" s="473" t="s">
        <v>647</v>
      </c>
      <c r="C512" s="473" t="s">
        <v>641</v>
      </c>
      <c r="D512" s="439" t="s">
        <v>166</v>
      </c>
      <c r="E512" s="324">
        <f t="shared" si="3"/>
        <v>2</v>
      </c>
      <c r="F512" s="442" t="s">
        <v>165</v>
      </c>
      <c r="G512" s="442" t="s">
        <v>165</v>
      </c>
      <c r="H512" s="442" t="s">
        <v>165</v>
      </c>
      <c r="I512" s="442" t="s">
        <v>165</v>
      </c>
      <c r="J512" s="442" t="s">
        <v>165</v>
      </c>
      <c r="K512" s="442" t="s">
        <v>165</v>
      </c>
      <c r="L512" s="442" t="s">
        <v>165</v>
      </c>
      <c r="M512" s="363"/>
    </row>
    <row r="513" spans="1:22" s="208" customFormat="1" ht="24" customHeight="1" x14ac:dyDescent="0.25">
      <c r="A513" s="291">
        <v>507</v>
      </c>
      <c r="B513" s="397"/>
      <c r="C513" s="397"/>
      <c r="D513" s="311" t="s">
        <v>1119</v>
      </c>
      <c r="E513" s="324">
        <f t="shared" si="3"/>
        <v>37</v>
      </c>
      <c r="F513" s="298" t="s">
        <v>664</v>
      </c>
      <c r="G513" s="298" t="s">
        <v>448</v>
      </c>
      <c r="H513" s="298" t="s">
        <v>448</v>
      </c>
      <c r="I513" s="298" t="s">
        <v>448</v>
      </c>
      <c r="J513" s="298" t="s">
        <v>448</v>
      </c>
      <c r="K513" s="298" t="s">
        <v>448</v>
      </c>
      <c r="L513" s="298" t="s">
        <v>448</v>
      </c>
      <c r="M513" s="291"/>
    </row>
    <row r="514" spans="1:22" s="208" customFormat="1" ht="24" customHeight="1" x14ac:dyDescent="0.25">
      <c r="A514" s="291">
        <v>508</v>
      </c>
      <c r="B514" s="397"/>
      <c r="C514" s="397"/>
      <c r="D514" s="311" t="s">
        <v>1120</v>
      </c>
      <c r="E514" s="324">
        <f t="shared" si="3"/>
        <v>42</v>
      </c>
      <c r="F514" s="298" t="s">
        <v>664</v>
      </c>
      <c r="G514" s="298" t="s">
        <v>448</v>
      </c>
      <c r="H514" s="298" t="s">
        <v>448</v>
      </c>
      <c r="I514" s="298" t="s">
        <v>448</v>
      </c>
      <c r="J514" s="298" t="s">
        <v>448</v>
      </c>
      <c r="K514" s="298" t="s">
        <v>448</v>
      </c>
      <c r="L514" s="298" t="s">
        <v>448</v>
      </c>
      <c r="M514" s="363"/>
    </row>
    <row r="515" spans="1:22" s="208" customFormat="1" ht="24" customHeight="1" x14ac:dyDescent="0.25">
      <c r="A515" s="291">
        <v>509</v>
      </c>
      <c r="B515" s="397"/>
      <c r="C515" s="397"/>
      <c r="D515" s="311" t="s">
        <v>1121</v>
      </c>
      <c r="E515" s="324">
        <f t="shared" si="3"/>
        <v>41</v>
      </c>
      <c r="F515" s="298" t="s">
        <v>664</v>
      </c>
      <c r="G515" s="298" t="s">
        <v>448</v>
      </c>
      <c r="H515" s="298" t="s">
        <v>448</v>
      </c>
      <c r="I515" s="298" t="s">
        <v>448</v>
      </c>
      <c r="J515" s="298" t="s">
        <v>448</v>
      </c>
      <c r="K515" s="298" t="s">
        <v>448</v>
      </c>
      <c r="L515" s="298" t="s">
        <v>448</v>
      </c>
      <c r="M515" s="308"/>
    </row>
    <row r="516" spans="1:22" s="208" customFormat="1" ht="24" customHeight="1" x14ac:dyDescent="0.25">
      <c r="A516" s="291">
        <v>510</v>
      </c>
      <c r="B516" s="397"/>
      <c r="C516" s="397"/>
      <c r="D516" s="311" t="s">
        <v>1122</v>
      </c>
      <c r="E516" s="324">
        <f t="shared" si="3"/>
        <v>35</v>
      </c>
      <c r="F516" s="298" t="s">
        <v>664</v>
      </c>
      <c r="G516" s="298" t="s">
        <v>448</v>
      </c>
      <c r="H516" s="298" t="s">
        <v>448</v>
      </c>
      <c r="I516" s="298" t="s">
        <v>448</v>
      </c>
      <c r="J516" s="298" t="s">
        <v>448</v>
      </c>
      <c r="K516" s="298" t="s">
        <v>448</v>
      </c>
      <c r="L516" s="298" t="s">
        <v>448</v>
      </c>
      <c r="M516" s="291"/>
    </row>
    <row r="517" spans="1:22" s="208" customFormat="1" ht="24" customHeight="1" x14ac:dyDescent="0.25">
      <c r="A517" s="291">
        <v>511</v>
      </c>
      <c r="B517" s="397"/>
      <c r="C517" s="397"/>
      <c r="D517" s="311" t="s">
        <v>1123</v>
      </c>
      <c r="E517" s="324">
        <f t="shared" si="3"/>
        <v>40</v>
      </c>
      <c r="F517" s="298" t="s">
        <v>664</v>
      </c>
      <c r="G517" s="298" t="s">
        <v>448</v>
      </c>
      <c r="H517" s="298" t="s">
        <v>448</v>
      </c>
      <c r="I517" s="298" t="s">
        <v>448</v>
      </c>
      <c r="J517" s="298" t="s">
        <v>448</v>
      </c>
      <c r="K517" s="298" t="s">
        <v>448</v>
      </c>
      <c r="L517" s="298" t="s">
        <v>448</v>
      </c>
      <c r="M517" s="363"/>
    </row>
    <row r="518" spans="1:22" s="208" customFormat="1" ht="24" customHeight="1" x14ac:dyDescent="0.25">
      <c r="A518" s="291">
        <v>512</v>
      </c>
      <c r="B518" s="397"/>
      <c r="C518" s="397"/>
      <c r="D518" s="311" t="s">
        <v>1125</v>
      </c>
      <c r="E518" s="324">
        <f t="shared" si="3"/>
        <v>39</v>
      </c>
      <c r="F518" s="298" t="s">
        <v>664</v>
      </c>
      <c r="G518" s="298" t="s">
        <v>448</v>
      </c>
      <c r="H518" s="298" t="s">
        <v>448</v>
      </c>
      <c r="I518" s="298" t="s">
        <v>448</v>
      </c>
      <c r="J518" s="298" t="s">
        <v>448</v>
      </c>
      <c r="K518" s="298" t="s">
        <v>448</v>
      </c>
      <c r="L518" s="298" t="s">
        <v>448</v>
      </c>
      <c r="M518" s="308"/>
    </row>
    <row r="519" spans="1:22" s="208" customFormat="1" ht="24" customHeight="1" x14ac:dyDescent="0.25">
      <c r="A519" s="291">
        <v>513</v>
      </c>
      <c r="B519" s="397"/>
      <c r="C519" s="397"/>
      <c r="D519" s="301" t="s">
        <v>1126</v>
      </c>
      <c r="E519" s="324">
        <f t="shared" ref="E519:E535" si="4">LEN(D519)</f>
        <v>54</v>
      </c>
      <c r="F519" s="298" t="s">
        <v>664</v>
      </c>
      <c r="G519" s="298" t="s">
        <v>448</v>
      </c>
      <c r="H519" s="298" t="s">
        <v>448</v>
      </c>
      <c r="I519" s="298" t="s">
        <v>448</v>
      </c>
      <c r="J519" s="298" t="s">
        <v>448</v>
      </c>
      <c r="K519" s="298" t="s">
        <v>448</v>
      </c>
      <c r="L519" s="298" t="s">
        <v>448</v>
      </c>
      <c r="M519" s="308"/>
    </row>
    <row r="520" spans="1:22" s="208" customFormat="1" ht="24" customHeight="1" x14ac:dyDescent="0.25">
      <c r="A520" s="291">
        <v>514</v>
      </c>
      <c r="B520" s="397"/>
      <c r="C520" s="397"/>
      <c r="D520" s="301" t="s">
        <v>1128</v>
      </c>
      <c r="E520" s="324">
        <f t="shared" si="4"/>
        <v>58</v>
      </c>
      <c r="F520" s="298" t="s">
        <v>664</v>
      </c>
      <c r="G520" s="298" t="s">
        <v>448</v>
      </c>
      <c r="H520" s="298" t="s">
        <v>448</v>
      </c>
      <c r="I520" s="298" t="s">
        <v>448</v>
      </c>
      <c r="J520" s="298" t="s">
        <v>448</v>
      </c>
      <c r="K520" s="298" t="s">
        <v>448</v>
      </c>
      <c r="L520" s="298" t="s">
        <v>448</v>
      </c>
      <c r="M520" s="308"/>
    </row>
    <row r="521" spans="1:22" s="208" customFormat="1" ht="24" customHeight="1" x14ac:dyDescent="0.25">
      <c r="A521" s="291">
        <v>515</v>
      </c>
      <c r="B521" s="397"/>
      <c r="C521" s="397"/>
      <c r="D521" s="301" t="s">
        <v>1130</v>
      </c>
      <c r="E521" s="324">
        <f t="shared" si="4"/>
        <v>58</v>
      </c>
      <c r="F521" s="298" t="s">
        <v>664</v>
      </c>
      <c r="G521" s="298" t="s">
        <v>448</v>
      </c>
      <c r="H521" s="298" t="s">
        <v>448</v>
      </c>
      <c r="I521" s="298" t="s">
        <v>448</v>
      </c>
      <c r="J521" s="298" t="s">
        <v>448</v>
      </c>
      <c r="K521" s="298" t="s">
        <v>448</v>
      </c>
      <c r="L521" s="298" t="s">
        <v>448</v>
      </c>
      <c r="M521" s="308"/>
    </row>
    <row r="522" spans="1:22" s="208" customFormat="1" ht="24" customHeight="1" x14ac:dyDescent="0.25">
      <c r="A522" s="291">
        <v>516</v>
      </c>
      <c r="B522" s="397"/>
      <c r="C522" s="397"/>
      <c r="D522" s="301" t="s">
        <v>1131</v>
      </c>
      <c r="E522" s="324">
        <f t="shared" si="4"/>
        <v>56</v>
      </c>
      <c r="F522" s="298" t="s">
        <v>664</v>
      </c>
      <c r="G522" s="298" t="s">
        <v>448</v>
      </c>
      <c r="H522" s="298" t="s">
        <v>448</v>
      </c>
      <c r="I522" s="298" t="s">
        <v>448</v>
      </c>
      <c r="J522" s="298" t="s">
        <v>448</v>
      </c>
      <c r="K522" s="298" t="s">
        <v>448</v>
      </c>
      <c r="L522" s="298" t="s">
        <v>448</v>
      </c>
      <c r="M522" s="308"/>
    </row>
    <row r="523" spans="1:22" s="208" customFormat="1" ht="24" customHeight="1" x14ac:dyDescent="0.25">
      <c r="A523" s="291">
        <v>517</v>
      </c>
      <c r="B523" s="397"/>
      <c r="C523" s="397"/>
      <c r="D523" s="301" t="s">
        <v>1133</v>
      </c>
      <c r="E523" s="324">
        <f t="shared" si="4"/>
        <v>60</v>
      </c>
      <c r="F523" s="298" t="s">
        <v>664</v>
      </c>
      <c r="G523" s="298" t="s">
        <v>448</v>
      </c>
      <c r="H523" s="298" t="s">
        <v>448</v>
      </c>
      <c r="I523" s="298" t="s">
        <v>448</v>
      </c>
      <c r="J523" s="298" t="s">
        <v>448</v>
      </c>
      <c r="K523" s="298" t="s">
        <v>448</v>
      </c>
      <c r="L523" s="298" t="s">
        <v>448</v>
      </c>
      <c r="M523" s="308"/>
    </row>
    <row r="524" spans="1:22" s="208" customFormat="1" ht="24" customHeight="1" x14ac:dyDescent="0.25">
      <c r="A524" s="291">
        <v>518</v>
      </c>
      <c r="B524" s="397"/>
      <c r="C524" s="397"/>
      <c r="D524" s="301" t="s">
        <v>1135</v>
      </c>
      <c r="E524" s="324">
        <f t="shared" si="4"/>
        <v>60</v>
      </c>
      <c r="F524" s="298" t="s">
        <v>664</v>
      </c>
      <c r="G524" s="298" t="s">
        <v>448</v>
      </c>
      <c r="H524" s="298" t="s">
        <v>448</v>
      </c>
      <c r="I524" s="298" t="s">
        <v>448</v>
      </c>
      <c r="J524" s="298" t="s">
        <v>448</v>
      </c>
      <c r="K524" s="298" t="s">
        <v>448</v>
      </c>
      <c r="L524" s="298" t="s">
        <v>448</v>
      </c>
      <c r="M524" s="308"/>
      <c r="V524" s="211"/>
    </row>
    <row r="525" spans="1:22" s="208" customFormat="1" ht="24" customHeight="1" x14ac:dyDescent="0.25">
      <c r="A525" s="291">
        <v>519</v>
      </c>
      <c r="B525" s="397"/>
      <c r="C525" s="397"/>
      <c r="D525" s="311" t="s">
        <v>1137</v>
      </c>
      <c r="E525" s="324">
        <f t="shared" si="4"/>
        <v>43</v>
      </c>
      <c r="F525" s="298" t="s">
        <v>664</v>
      </c>
      <c r="G525" s="298" t="s">
        <v>448</v>
      </c>
      <c r="H525" s="298" t="s">
        <v>448</v>
      </c>
      <c r="I525" s="298" t="s">
        <v>448</v>
      </c>
      <c r="J525" s="298" t="s">
        <v>448</v>
      </c>
      <c r="K525" s="298" t="s">
        <v>448</v>
      </c>
      <c r="L525" s="298" t="s">
        <v>448</v>
      </c>
      <c r="M525" s="308"/>
      <c r="V525" s="211"/>
    </row>
    <row r="526" spans="1:22" s="208" customFormat="1" ht="24" customHeight="1" x14ac:dyDescent="0.25">
      <c r="A526" s="291">
        <v>520</v>
      </c>
      <c r="B526" s="397"/>
      <c r="C526" s="397"/>
      <c r="D526" s="311" t="s">
        <v>1139</v>
      </c>
      <c r="E526" s="324">
        <f t="shared" si="4"/>
        <v>42</v>
      </c>
      <c r="F526" s="298" t="s">
        <v>664</v>
      </c>
      <c r="G526" s="298" t="s">
        <v>448</v>
      </c>
      <c r="H526" s="298" t="s">
        <v>448</v>
      </c>
      <c r="I526" s="298" t="s">
        <v>448</v>
      </c>
      <c r="J526" s="298" t="s">
        <v>448</v>
      </c>
      <c r="K526" s="298" t="s">
        <v>448</v>
      </c>
      <c r="L526" s="298" t="s">
        <v>448</v>
      </c>
      <c r="M526" s="308"/>
      <c r="V526" s="211"/>
    </row>
    <row r="527" spans="1:22" s="208" customFormat="1" ht="24" customHeight="1" x14ac:dyDescent="0.25">
      <c r="A527" s="291">
        <v>521</v>
      </c>
      <c r="B527" s="397"/>
      <c r="C527" s="397"/>
      <c r="D527" s="311" t="s">
        <v>1140</v>
      </c>
      <c r="E527" s="324">
        <f t="shared" si="4"/>
        <v>44</v>
      </c>
      <c r="F527" s="298" t="s">
        <v>664</v>
      </c>
      <c r="G527" s="298" t="s">
        <v>448</v>
      </c>
      <c r="H527" s="298" t="s">
        <v>448</v>
      </c>
      <c r="I527" s="298" t="s">
        <v>448</v>
      </c>
      <c r="J527" s="298" t="s">
        <v>448</v>
      </c>
      <c r="K527" s="298" t="s">
        <v>448</v>
      </c>
      <c r="L527" s="298" t="s">
        <v>448</v>
      </c>
      <c r="M527" s="308"/>
      <c r="V527" s="211"/>
    </row>
    <row r="528" spans="1:22" s="208" customFormat="1" ht="24" customHeight="1" x14ac:dyDescent="0.25">
      <c r="A528" s="291">
        <v>522</v>
      </c>
      <c r="B528" s="397"/>
      <c r="C528" s="397"/>
      <c r="D528" s="311" t="s">
        <v>1141</v>
      </c>
      <c r="E528" s="324">
        <f t="shared" si="4"/>
        <v>43</v>
      </c>
      <c r="F528" s="298" t="s">
        <v>664</v>
      </c>
      <c r="G528" s="298" t="s">
        <v>448</v>
      </c>
      <c r="H528" s="298" t="s">
        <v>448</v>
      </c>
      <c r="I528" s="298" t="s">
        <v>448</v>
      </c>
      <c r="J528" s="298" t="s">
        <v>448</v>
      </c>
      <c r="K528" s="298" t="s">
        <v>448</v>
      </c>
      <c r="L528" s="298" t="s">
        <v>448</v>
      </c>
      <c r="M528" s="291"/>
      <c r="V528" s="211"/>
    </row>
    <row r="529" spans="1:31" s="208" customFormat="1" ht="24" customHeight="1" x14ac:dyDescent="0.25">
      <c r="A529" s="291">
        <v>523</v>
      </c>
      <c r="B529" s="397"/>
      <c r="C529" s="397"/>
      <c r="D529" s="311" t="s">
        <v>1143</v>
      </c>
      <c r="E529" s="324">
        <f t="shared" si="4"/>
        <v>42</v>
      </c>
      <c r="F529" s="298" t="s">
        <v>10</v>
      </c>
      <c r="G529" s="298" t="s">
        <v>10</v>
      </c>
      <c r="H529" s="298" t="s">
        <v>10</v>
      </c>
      <c r="I529" s="298" t="s">
        <v>10</v>
      </c>
      <c r="J529" s="298" t="s">
        <v>10</v>
      </c>
      <c r="K529" s="298" t="s">
        <v>10</v>
      </c>
      <c r="L529" s="298" t="s">
        <v>10</v>
      </c>
      <c r="M529" s="291"/>
      <c r="V529" s="211"/>
    </row>
    <row r="530" spans="1:31" s="208" customFormat="1" ht="24" customHeight="1" x14ac:dyDescent="0.25">
      <c r="A530" s="291">
        <v>524</v>
      </c>
      <c r="B530" s="397"/>
      <c r="C530" s="397"/>
      <c r="D530" s="311" t="s">
        <v>1145</v>
      </c>
      <c r="E530" s="324">
        <f t="shared" si="4"/>
        <v>41</v>
      </c>
      <c r="F530" s="298" t="s">
        <v>10</v>
      </c>
      <c r="G530" s="298" t="s">
        <v>10</v>
      </c>
      <c r="H530" s="298" t="s">
        <v>10</v>
      </c>
      <c r="I530" s="298" t="s">
        <v>10</v>
      </c>
      <c r="J530" s="298" t="s">
        <v>10</v>
      </c>
      <c r="K530" s="298" t="s">
        <v>10</v>
      </c>
      <c r="L530" s="298" t="s">
        <v>10</v>
      </c>
      <c r="M530" s="291"/>
      <c r="V530" s="211"/>
    </row>
    <row r="531" spans="1:31" s="208" customFormat="1" ht="24" customHeight="1" x14ac:dyDescent="0.25">
      <c r="A531" s="291">
        <v>525</v>
      </c>
      <c r="B531" s="397"/>
      <c r="C531" s="397"/>
      <c r="D531" s="311" t="s">
        <v>1146</v>
      </c>
      <c r="E531" s="324">
        <f t="shared" si="4"/>
        <v>39</v>
      </c>
      <c r="F531" s="298" t="s">
        <v>10</v>
      </c>
      <c r="G531" s="298" t="s">
        <v>10</v>
      </c>
      <c r="H531" s="298" t="s">
        <v>10</v>
      </c>
      <c r="I531" s="298" t="s">
        <v>10</v>
      </c>
      <c r="J531" s="298" t="s">
        <v>10</v>
      </c>
      <c r="K531" s="298" t="s">
        <v>10</v>
      </c>
      <c r="L531" s="298" t="s">
        <v>10</v>
      </c>
      <c r="M531" s="291"/>
      <c r="V531" s="211"/>
    </row>
    <row r="532" spans="1:31" s="208" customFormat="1" ht="24" customHeight="1" x14ac:dyDescent="0.25">
      <c r="A532" s="291">
        <v>526</v>
      </c>
      <c r="B532" s="397"/>
      <c r="C532" s="397"/>
      <c r="D532" s="311" t="s">
        <v>1147</v>
      </c>
      <c r="E532" s="324">
        <f t="shared" si="4"/>
        <v>37</v>
      </c>
      <c r="F532" s="298" t="s">
        <v>10</v>
      </c>
      <c r="G532" s="298" t="s">
        <v>10</v>
      </c>
      <c r="H532" s="298" t="s">
        <v>10</v>
      </c>
      <c r="I532" s="298" t="s">
        <v>10</v>
      </c>
      <c r="J532" s="298" t="s">
        <v>10</v>
      </c>
      <c r="K532" s="298" t="s">
        <v>10</v>
      </c>
      <c r="L532" s="298" t="s">
        <v>10</v>
      </c>
      <c r="M532" s="291"/>
      <c r="V532" s="211"/>
    </row>
    <row r="533" spans="1:31" s="208" customFormat="1" ht="24" customHeight="1" x14ac:dyDescent="0.25">
      <c r="A533" s="291">
        <v>527</v>
      </c>
      <c r="B533" s="397"/>
      <c r="C533" s="398"/>
      <c r="D533" s="304" t="s">
        <v>761</v>
      </c>
      <c r="E533" s="324">
        <f t="shared" si="4"/>
        <v>11</v>
      </c>
      <c r="F533" s="298" t="s">
        <v>762</v>
      </c>
      <c r="G533" s="298" t="s">
        <v>762</v>
      </c>
      <c r="H533" s="298" t="s">
        <v>762</v>
      </c>
      <c r="I533" s="298" t="s">
        <v>762</v>
      </c>
      <c r="J533" s="298" t="s">
        <v>762</v>
      </c>
      <c r="K533" s="298" t="s">
        <v>762</v>
      </c>
      <c r="L533" s="298" t="s">
        <v>762</v>
      </c>
      <c r="M533" s="363"/>
      <c r="V533" s="211"/>
    </row>
    <row r="534" spans="1:31" s="208" customFormat="1" ht="24" customHeight="1" x14ac:dyDescent="0.25">
      <c r="A534" s="291">
        <v>528</v>
      </c>
      <c r="B534" s="397"/>
      <c r="C534" s="473" t="s">
        <v>642</v>
      </c>
      <c r="D534" s="439" t="s">
        <v>166</v>
      </c>
      <c r="E534" s="324">
        <f t="shared" si="4"/>
        <v>2</v>
      </c>
      <c r="F534" s="442" t="s">
        <v>165</v>
      </c>
      <c r="G534" s="442" t="s">
        <v>165</v>
      </c>
      <c r="H534" s="442" t="s">
        <v>165</v>
      </c>
      <c r="I534" s="442" t="s">
        <v>165</v>
      </c>
      <c r="J534" s="442" t="s">
        <v>165</v>
      </c>
      <c r="K534" s="442" t="s">
        <v>165</v>
      </c>
      <c r="L534" s="442" t="s">
        <v>165</v>
      </c>
      <c r="M534" s="291"/>
      <c r="V534" s="211"/>
    </row>
    <row r="535" spans="1:31" s="208" customFormat="1" ht="24" customHeight="1" x14ac:dyDescent="0.25">
      <c r="A535" s="291">
        <v>529</v>
      </c>
      <c r="B535" s="397"/>
      <c r="C535" s="397"/>
      <c r="D535" s="304" t="s">
        <v>648</v>
      </c>
      <c r="E535" s="324">
        <f t="shared" si="4"/>
        <v>29</v>
      </c>
      <c r="F535" s="298" t="s">
        <v>664</v>
      </c>
      <c r="G535" s="298" t="s">
        <v>448</v>
      </c>
      <c r="H535" s="298" t="s">
        <v>448</v>
      </c>
      <c r="I535" s="298" t="s">
        <v>448</v>
      </c>
      <c r="J535" s="298" t="s">
        <v>448</v>
      </c>
      <c r="K535" s="298" t="s">
        <v>448</v>
      </c>
      <c r="L535" s="298" t="s">
        <v>448</v>
      </c>
      <c r="M535" s="291"/>
      <c r="V535" s="211"/>
    </row>
    <row r="536" spans="1:31" s="208" customFormat="1" ht="24" customHeight="1" x14ac:dyDescent="0.25">
      <c r="A536" s="291">
        <v>530</v>
      </c>
      <c r="B536" s="397"/>
      <c r="C536" s="397"/>
      <c r="D536" s="304" t="s">
        <v>649</v>
      </c>
      <c r="E536" s="354"/>
      <c r="F536" s="298" t="s">
        <v>664</v>
      </c>
      <c r="G536" s="298" t="s">
        <v>448</v>
      </c>
      <c r="H536" s="298" t="s">
        <v>448</v>
      </c>
      <c r="I536" s="298" t="s">
        <v>448</v>
      </c>
      <c r="J536" s="298" t="s">
        <v>448</v>
      </c>
      <c r="K536" s="298" t="s">
        <v>448</v>
      </c>
      <c r="L536" s="298" t="s">
        <v>448</v>
      </c>
      <c r="M536" s="291"/>
      <c r="V536" s="211"/>
    </row>
    <row r="537" spans="1:31" s="208" customFormat="1" ht="24" customHeight="1" x14ac:dyDescent="0.25">
      <c r="A537" s="291">
        <v>531</v>
      </c>
      <c r="B537" s="397"/>
      <c r="C537" s="397"/>
      <c r="D537" s="304" t="s">
        <v>650</v>
      </c>
      <c r="E537" s="170"/>
      <c r="F537" s="298" t="s">
        <v>664</v>
      </c>
      <c r="G537" s="298" t="s">
        <v>448</v>
      </c>
      <c r="H537" s="298" t="s">
        <v>448</v>
      </c>
      <c r="I537" s="298" t="s">
        <v>448</v>
      </c>
      <c r="J537" s="298" t="s">
        <v>448</v>
      </c>
      <c r="K537" s="298" t="s">
        <v>448</v>
      </c>
      <c r="L537" s="298" t="s">
        <v>448</v>
      </c>
      <c r="M537" s="291"/>
      <c r="R537" s="211"/>
      <c r="S537" s="211"/>
      <c r="T537" s="211"/>
      <c r="U537" s="211"/>
      <c r="V537" s="211"/>
      <c r="W537" s="211"/>
      <c r="X537" s="211"/>
      <c r="Y537" s="211"/>
      <c r="Z537" s="211"/>
      <c r="AA537" s="211"/>
      <c r="AB537" s="211"/>
      <c r="AC537" s="211"/>
      <c r="AD537" s="211"/>
      <c r="AE537" s="211"/>
    </row>
    <row r="538" spans="1:31" s="208" customFormat="1" ht="24" customHeight="1" x14ac:dyDescent="0.25">
      <c r="A538" s="291">
        <v>532</v>
      </c>
      <c r="B538" s="397"/>
      <c r="C538" s="397"/>
      <c r="D538" s="304" t="s">
        <v>696</v>
      </c>
      <c r="E538" s="170"/>
      <c r="F538" s="298" t="s">
        <v>664</v>
      </c>
      <c r="G538" s="298" t="s">
        <v>448</v>
      </c>
      <c r="H538" s="298" t="s">
        <v>448</v>
      </c>
      <c r="I538" s="298" t="s">
        <v>448</v>
      </c>
      <c r="J538" s="298" t="s">
        <v>448</v>
      </c>
      <c r="K538" s="298" t="s">
        <v>448</v>
      </c>
      <c r="L538" s="298" t="s">
        <v>448</v>
      </c>
      <c r="M538" s="291"/>
      <c r="R538" s="211"/>
      <c r="S538" s="211"/>
      <c r="T538" s="211"/>
      <c r="U538" s="211"/>
      <c r="V538" s="211"/>
      <c r="W538" s="211"/>
      <c r="X538" s="211"/>
      <c r="Y538" s="211"/>
      <c r="Z538" s="211"/>
      <c r="AA538" s="211"/>
      <c r="AB538" s="211"/>
      <c r="AC538" s="211"/>
      <c r="AD538" s="211"/>
      <c r="AE538" s="211"/>
    </row>
    <row r="539" spans="1:31" ht="24" customHeight="1" x14ac:dyDescent="0.25">
      <c r="A539" s="291">
        <v>533</v>
      </c>
      <c r="B539" s="397"/>
      <c r="C539" s="398"/>
      <c r="D539" s="440" t="s">
        <v>699</v>
      </c>
      <c r="E539" s="393"/>
      <c r="F539" s="298" t="s">
        <v>762</v>
      </c>
      <c r="G539" s="298" t="s">
        <v>762</v>
      </c>
      <c r="H539" s="298" t="s">
        <v>762</v>
      </c>
      <c r="I539" s="298" t="s">
        <v>762</v>
      </c>
      <c r="J539" s="298" t="s">
        <v>762</v>
      </c>
      <c r="K539" s="298" t="s">
        <v>762</v>
      </c>
      <c r="L539" s="298" t="s">
        <v>762</v>
      </c>
      <c r="M539" s="396"/>
    </row>
    <row r="540" spans="1:31" ht="24" customHeight="1" x14ac:dyDescent="0.25">
      <c r="A540" s="291">
        <v>534</v>
      </c>
      <c r="B540" s="397"/>
      <c r="C540" s="474" t="s">
        <v>729</v>
      </c>
      <c r="D540" s="439" t="s">
        <v>166</v>
      </c>
      <c r="E540" s="393"/>
      <c r="F540" s="442" t="s">
        <v>165</v>
      </c>
      <c r="G540" s="442" t="s">
        <v>165</v>
      </c>
      <c r="H540" s="442" t="s">
        <v>165</v>
      </c>
      <c r="I540" s="442" t="s">
        <v>165</v>
      </c>
      <c r="J540" s="442" t="s">
        <v>165</v>
      </c>
      <c r="K540" s="442" t="s">
        <v>165</v>
      </c>
      <c r="L540" s="442" t="s">
        <v>165</v>
      </c>
      <c r="M540" s="396"/>
    </row>
    <row r="541" spans="1:31" ht="24" customHeight="1" x14ac:dyDescent="0.25">
      <c r="A541" s="291">
        <v>535</v>
      </c>
      <c r="B541" s="397"/>
      <c r="C541" s="473" t="s">
        <v>643</v>
      </c>
      <c r="D541" s="457" t="s">
        <v>166</v>
      </c>
      <c r="E541" s="393"/>
      <c r="F541" s="442" t="s">
        <v>165</v>
      </c>
      <c r="G541" s="442" t="s">
        <v>165</v>
      </c>
      <c r="H541" s="442" t="s">
        <v>165</v>
      </c>
      <c r="I541" s="442" t="s">
        <v>165</v>
      </c>
      <c r="J541" s="442" t="s">
        <v>165</v>
      </c>
      <c r="K541" s="442" t="s">
        <v>165</v>
      </c>
      <c r="L541" s="442" t="s">
        <v>165</v>
      </c>
      <c r="M541" s="396"/>
    </row>
    <row r="542" spans="1:31" ht="24" customHeight="1" x14ac:dyDescent="0.25">
      <c r="A542" s="291">
        <v>536</v>
      </c>
      <c r="B542" s="397"/>
      <c r="C542" s="474"/>
      <c r="D542" s="458" t="s">
        <v>700</v>
      </c>
      <c r="E542" s="393"/>
      <c r="F542" s="298" t="s">
        <v>664</v>
      </c>
      <c r="G542" s="298" t="s">
        <v>448</v>
      </c>
      <c r="H542" s="298" t="s">
        <v>448</v>
      </c>
      <c r="I542" s="298" t="s">
        <v>448</v>
      </c>
      <c r="J542" s="298" t="s">
        <v>448</v>
      </c>
      <c r="K542" s="298" t="s">
        <v>448</v>
      </c>
      <c r="L542" s="298" t="s">
        <v>448</v>
      </c>
      <c r="M542" s="396"/>
    </row>
    <row r="543" spans="1:31" ht="24" customHeight="1" x14ac:dyDescent="0.25">
      <c r="A543" s="291">
        <v>537</v>
      </c>
      <c r="B543" s="397"/>
      <c r="C543" s="474"/>
      <c r="D543" s="458" t="s">
        <v>701</v>
      </c>
      <c r="E543" s="393"/>
      <c r="F543" s="298" t="s">
        <v>664</v>
      </c>
      <c r="G543" s="298" t="s">
        <v>448</v>
      </c>
      <c r="H543" s="298" t="s">
        <v>448</v>
      </c>
      <c r="I543" s="298" t="s">
        <v>448</v>
      </c>
      <c r="J543" s="298" t="s">
        <v>448</v>
      </c>
      <c r="K543" s="298" t="s">
        <v>448</v>
      </c>
      <c r="L543" s="298" t="s">
        <v>448</v>
      </c>
      <c r="M543" s="396"/>
    </row>
    <row r="544" spans="1:31" ht="24" customHeight="1" x14ac:dyDescent="0.25">
      <c r="A544" s="291">
        <v>538</v>
      </c>
      <c r="B544" s="397"/>
      <c r="C544" s="475"/>
      <c r="D544" s="458" t="s">
        <v>699</v>
      </c>
      <c r="E544" s="393"/>
      <c r="F544" s="298" t="s">
        <v>762</v>
      </c>
      <c r="G544" s="298" t="s">
        <v>762</v>
      </c>
      <c r="H544" s="298" t="s">
        <v>762</v>
      </c>
      <c r="I544" s="298" t="s">
        <v>762</v>
      </c>
      <c r="J544" s="298" t="s">
        <v>762</v>
      </c>
      <c r="K544" s="298" t="s">
        <v>762</v>
      </c>
      <c r="L544" s="298" t="s">
        <v>762</v>
      </c>
      <c r="M544" s="396"/>
    </row>
    <row r="545" spans="1:13" ht="24" customHeight="1" x14ac:dyDescent="0.25">
      <c r="A545" s="291">
        <v>539</v>
      </c>
      <c r="B545" s="397"/>
      <c r="C545" s="474" t="s">
        <v>729</v>
      </c>
      <c r="D545" s="457" t="s">
        <v>166</v>
      </c>
      <c r="E545" s="393"/>
      <c r="F545" s="442" t="s">
        <v>165</v>
      </c>
      <c r="G545" s="442" t="s">
        <v>165</v>
      </c>
      <c r="H545" s="442" t="s">
        <v>165</v>
      </c>
      <c r="I545" s="442" t="s">
        <v>165</v>
      </c>
      <c r="J545" s="442" t="s">
        <v>165</v>
      </c>
      <c r="K545" s="442" t="s">
        <v>165</v>
      </c>
      <c r="L545" s="442" t="s">
        <v>165</v>
      </c>
      <c r="M545" s="396"/>
    </row>
    <row r="546" spans="1:13" ht="24" customHeight="1" x14ac:dyDescent="0.25">
      <c r="A546" s="291">
        <v>540</v>
      </c>
      <c r="B546" s="397"/>
      <c r="C546" s="473" t="s">
        <v>644</v>
      </c>
      <c r="D546" s="457" t="s">
        <v>166</v>
      </c>
      <c r="E546" s="393"/>
      <c r="F546" s="442" t="s">
        <v>165</v>
      </c>
      <c r="G546" s="442" t="s">
        <v>165</v>
      </c>
      <c r="H546" s="442" t="s">
        <v>165</v>
      </c>
      <c r="I546" s="442" t="s">
        <v>165</v>
      </c>
      <c r="J546" s="442" t="s">
        <v>165</v>
      </c>
      <c r="K546" s="442" t="s">
        <v>165</v>
      </c>
      <c r="L546" s="442" t="s">
        <v>165</v>
      </c>
      <c r="M546" s="396"/>
    </row>
    <row r="547" spans="1:13" ht="24" customHeight="1" x14ac:dyDescent="0.25">
      <c r="A547" s="291">
        <v>541</v>
      </c>
      <c r="B547" s="397"/>
      <c r="C547" s="474"/>
      <c r="D547" s="458" t="s">
        <v>702</v>
      </c>
      <c r="E547" s="393"/>
      <c r="F547" s="298" t="s">
        <v>664</v>
      </c>
      <c r="G547" s="298" t="s">
        <v>448</v>
      </c>
      <c r="H547" s="298" t="s">
        <v>448</v>
      </c>
      <c r="I547" s="298" t="s">
        <v>448</v>
      </c>
      <c r="J547" s="298" t="s">
        <v>448</v>
      </c>
      <c r="K547" s="298" t="s">
        <v>448</v>
      </c>
      <c r="L547" s="298" t="s">
        <v>448</v>
      </c>
      <c r="M547" s="396"/>
    </row>
    <row r="548" spans="1:13" ht="24" customHeight="1" x14ac:dyDescent="0.25">
      <c r="A548" s="291">
        <v>542</v>
      </c>
      <c r="B548" s="397"/>
      <c r="C548" s="474"/>
      <c r="D548" s="458" t="s">
        <v>703</v>
      </c>
      <c r="E548" s="393"/>
      <c r="F548" s="298" t="s">
        <v>664</v>
      </c>
      <c r="G548" s="298" t="s">
        <v>448</v>
      </c>
      <c r="H548" s="298" t="s">
        <v>448</v>
      </c>
      <c r="I548" s="298" t="s">
        <v>448</v>
      </c>
      <c r="J548" s="298" t="s">
        <v>448</v>
      </c>
      <c r="K548" s="298" t="s">
        <v>448</v>
      </c>
      <c r="L548" s="298" t="s">
        <v>448</v>
      </c>
      <c r="M548" s="396"/>
    </row>
    <row r="549" spans="1:13" ht="24" customHeight="1" x14ac:dyDescent="0.25">
      <c r="A549" s="291">
        <v>543</v>
      </c>
      <c r="B549" s="397"/>
      <c r="C549" s="475"/>
      <c r="D549" s="458" t="s">
        <v>699</v>
      </c>
      <c r="E549" s="393"/>
      <c r="F549" s="298" t="s">
        <v>762</v>
      </c>
      <c r="G549" s="298" t="s">
        <v>762</v>
      </c>
      <c r="H549" s="298" t="s">
        <v>762</v>
      </c>
      <c r="I549" s="298" t="s">
        <v>762</v>
      </c>
      <c r="J549" s="298" t="s">
        <v>762</v>
      </c>
      <c r="K549" s="298" t="s">
        <v>762</v>
      </c>
      <c r="L549" s="298" t="s">
        <v>762</v>
      </c>
      <c r="M549" s="396"/>
    </row>
    <row r="550" spans="1:13" ht="24" customHeight="1" x14ac:dyDescent="0.25">
      <c r="A550" s="291">
        <v>544</v>
      </c>
      <c r="B550" s="397"/>
      <c r="C550" s="473" t="s">
        <v>198</v>
      </c>
      <c r="D550" s="439" t="s">
        <v>166</v>
      </c>
      <c r="E550" s="393"/>
      <c r="F550" s="442" t="s">
        <v>165</v>
      </c>
      <c r="G550" s="442" t="s">
        <v>165</v>
      </c>
      <c r="H550" s="442" t="s">
        <v>165</v>
      </c>
      <c r="I550" s="442" t="s">
        <v>165</v>
      </c>
      <c r="J550" s="442" t="s">
        <v>165</v>
      </c>
      <c r="K550" s="442" t="s">
        <v>165</v>
      </c>
      <c r="L550" s="442" t="s">
        <v>165</v>
      </c>
      <c r="M550" s="396"/>
    </row>
    <row r="551" spans="1:13" ht="24" customHeight="1" x14ac:dyDescent="0.25">
      <c r="A551" s="291">
        <v>545</v>
      </c>
      <c r="B551" s="397"/>
      <c r="C551" s="474"/>
      <c r="D551" s="440" t="s">
        <v>704</v>
      </c>
      <c r="E551" s="393"/>
      <c r="F551" s="298" t="s">
        <v>664</v>
      </c>
      <c r="G551" s="298" t="s">
        <v>448</v>
      </c>
      <c r="H551" s="298" t="s">
        <v>448</v>
      </c>
      <c r="I551" s="298" t="s">
        <v>448</v>
      </c>
      <c r="J551" s="298" t="s">
        <v>448</v>
      </c>
      <c r="K551" s="298" t="s">
        <v>448</v>
      </c>
      <c r="L551" s="298" t="s">
        <v>448</v>
      </c>
      <c r="M551" s="396"/>
    </row>
    <row r="552" spans="1:13" ht="24" customHeight="1" x14ac:dyDescent="0.25">
      <c r="A552" s="291">
        <v>546</v>
      </c>
      <c r="B552" s="397"/>
      <c r="C552" s="474"/>
      <c r="D552" s="440" t="s">
        <v>651</v>
      </c>
      <c r="E552" s="393"/>
      <c r="F552" s="298" t="s">
        <v>664</v>
      </c>
      <c r="G552" s="298" t="s">
        <v>448</v>
      </c>
      <c r="H552" s="298" t="s">
        <v>448</v>
      </c>
      <c r="I552" s="298" t="s">
        <v>448</v>
      </c>
      <c r="J552" s="298" t="s">
        <v>448</v>
      </c>
      <c r="K552" s="298" t="s">
        <v>448</v>
      </c>
      <c r="L552" s="298" t="s">
        <v>448</v>
      </c>
      <c r="M552" s="396"/>
    </row>
    <row r="553" spans="1:13" ht="24" customHeight="1" x14ac:dyDescent="0.25">
      <c r="A553" s="291">
        <v>547</v>
      </c>
      <c r="B553" s="397"/>
      <c r="C553" s="474"/>
      <c r="D553" s="440" t="s">
        <v>706</v>
      </c>
      <c r="E553" s="393"/>
      <c r="F553" s="298" t="s">
        <v>664</v>
      </c>
      <c r="G553" s="298" t="s">
        <v>448</v>
      </c>
      <c r="H553" s="298" t="s">
        <v>448</v>
      </c>
      <c r="I553" s="298" t="s">
        <v>448</v>
      </c>
      <c r="J553" s="298" t="s">
        <v>448</v>
      </c>
      <c r="K553" s="298" t="s">
        <v>448</v>
      </c>
      <c r="L553" s="298" t="s">
        <v>448</v>
      </c>
      <c r="M553" s="396"/>
    </row>
    <row r="554" spans="1:13" ht="24" customHeight="1" x14ac:dyDescent="0.25">
      <c r="A554" s="291">
        <v>548</v>
      </c>
      <c r="B554" s="397"/>
      <c r="C554" s="474"/>
      <c r="D554" s="440" t="s">
        <v>653</v>
      </c>
      <c r="E554" s="393"/>
      <c r="F554" s="298" t="s">
        <v>664</v>
      </c>
      <c r="G554" s="298" t="s">
        <v>448</v>
      </c>
      <c r="H554" s="298" t="s">
        <v>448</v>
      </c>
      <c r="I554" s="298" t="s">
        <v>448</v>
      </c>
      <c r="J554" s="298" t="s">
        <v>448</v>
      </c>
      <c r="K554" s="298" t="s">
        <v>448</v>
      </c>
      <c r="L554" s="298" t="s">
        <v>448</v>
      </c>
      <c r="M554" s="396"/>
    </row>
    <row r="555" spans="1:13" ht="24" customHeight="1" x14ac:dyDescent="0.25">
      <c r="A555" s="291">
        <v>549</v>
      </c>
      <c r="B555" s="397"/>
      <c r="C555" s="474"/>
      <c r="D555" s="440" t="s">
        <v>944</v>
      </c>
      <c r="E555" s="393"/>
      <c r="F555" s="298" t="s">
        <v>664</v>
      </c>
      <c r="G555" s="298" t="s">
        <v>448</v>
      </c>
      <c r="H555" s="298" t="s">
        <v>448</v>
      </c>
      <c r="I555" s="298" t="s">
        <v>448</v>
      </c>
      <c r="J555" s="298" t="s">
        <v>448</v>
      </c>
      <c r="K555" s="298" t="s">
        <v>448</v>
      </c>
      <c r="L555" s="298" t="s">
        <v>448</v>
      </c>
      <c r="M555" s="396"/>
    </row>
    <row r="556" spans="1:13" ht="24" customHeight="1" x14ac:dyDescent="0.25">
      <c r="A556" s="291">
        <v>550</v>
      </c>
      <c r="B556" s="397"/>
      <c r="C556" s="474"/>
      <c r="D556" s="440" t="s">
        <v>677</v>
      </c>
      <c r="E556" s="393"/>
      <c r="F556" s="298" t="s">
        <v>664</v>
      </c>
      <c r="G556" s="298" t="s">
        <v>448</v>
      </c>
      <c r="H556" s="298" t="s">
        <v>448</v>
      </c>
      <c r="I556" s="298" t="s">
        <v>448</v>
      </c>
      <c r="J556" s="298" t="s">
        <v>448</v>
      </c>
      <c r="K556" s="298" t="s">
        <v>448</v>
      </c>
      <c r="L556" s="298" t="s">
        <v>448</v>
      </c>
      <c r="M556" s="396"/>
    </row>
    <row r="557" spans="1:13" ht="24" customHeight="1" x14ac:dyDescent="0.25">
      <c r="A557" s="291">
        <v>551</v>
      </c>
      <c r="B557" s="397"/>
      <c r="C557" s="474"/>
      <c r="D557" s="440" t="s">
        <v>705</v>
      </c>
      <c r="E557" s="393"/>
      <c r="F557" s="298" t="s">
        <v>664</v>
      </c>
      <c r="G557" s="298" t="s">
        <v>448</v>
      </c>
      <c r="H557" s="298" t="s">
        <v>448</v>
      </c>
      <c r="I557" s="298" t="s">
        <v>448</v>
      </c>
      <c r="J557" s="298" t="s">
        <v>448</v>
      </c>
      <c r="K557" s="298" t="s">
        <v>448</v>
      </c>
      <c r="L557" s="298" t="s">
        <v>448</v>
      </c>
      <c r="M557" s="396"/>
    </row>
    <row r="558" spans="1:13" ht="24" customHeight="1" x14ac:dyDescent="0.25">
      <c r="A558" s="291">
        <v>552</v>
      </c>
      <c r="B558" s="397"/>
      <c r="C558" s="474"/>
      <c r="D558" s="440" t="s">
        <v>652</v>
      </c>
      <c r="E558" s="393"/>
      <c r="F558" s="298" t="s">
        <v>664</v>
      </c>
      <c r="G558" s="298" t="s">
        <v>448</v>
      </c>
      <c r="H558" s="298" t="s">
        <v>448</v>
      </c>
      <c r="I558" s="298" t="s">
        <v>448</v>
      </c>
      <c r="J558" s="298" t="s">
        <v>448</v>
      </c>
      <c r="K558" s="298" t="s">
        <v>448</v>
      </c>
      <c r="L558" s="298" t="s">
        <v>448</v>
      </c>
      <c r="M558" s="396"/>
    </row>
    <row r="559" spans="1:13" ht="24" customHeight="1" x14ac:dyDescent="0.25">
      <c r="A559" s="291">
        <v>553</v>
      </c>
      <c r="B559" s="397"/>
      <c r="C559" s="474"/>
      <c r="D559" s="440" t="s">
        <v>678</v>
      </c>
      <c r="E559" s="393"/>
      <c r="F559" s="298" t="s">
        <v>664</v>
      </c>
      <c r="G559" s="298" t="s">
        <v>448</v>
      </c>
      <c r="H559" s="298" t="s">
        <v>448</v>
      </c>
      <c r="I559" s="298" t="s">
        <v>448</v>
      </c>
      <c r="J559" s="298" t="s">
        <v>448</v>
      </c>
      <c r="K559" s="298" t="s">
        <v>448</v>
      </c>
      <c r="L559" s="298" t="s">
        <v>448</v>
      </c>
      <c r="M559" s="396"/>
    </row>
    <row r="560" spans="1:13" ht="24" customHeight="1" x14ac:dyDescent="0.25">
      <c r="A560" s="291">
        <v>554</v>
      </c>
      <c r="B560" s="397"/>
      <c r="C560" s="474"/>
      <c r="D560" s="440" t="s">
        <v>679</v>
      </c>
      <c r="E560" s="393"/>
      <c r="F560" s="298" t="s">
        <v>664</v>
      </c>
      <c r="G560" s="298" t="s">
        <v>448</v>
      </c>
      <c r="H560" s="298" t="s">
        <v>448</v>
      </c>
      <c r="I560" s="298" t="s">
        <v>448</v>
      </c>
      <c r="J560" s="298" t="s">
        <v>448</v>
      </c>
      <c r="K560" s="298" t="s">
        <v>448</v>
      </c>
      <c r="L560" s="298" t="s">
        <v>448</v>
      </c>
      <c r="M560" s="396"/>
    </row>
    <row r="561" spans="1:13" ht="24" customHeight="1" x14ac:dyDescent="0.25">
      <c r="A561" s="291">
        <v>555</v>
      </c>
      <c r="B561" s="397"/>
      <c r="C561" s="474"/>
      <c r="D561" s="440" t="s">
        <v>680</v>
      </c>
      <c r="E561" s="393"/>
      <c r="F561" s="298" t="s">
        <v>664</v>
      </c>
      <c r="G561" s="298" t="s">
        <v>448</v>
      </c>
      <c r="H561" s="298" t="s">
        <v>448</v>
      </c>
      <c r="I561" s="298" t="s">
        <v>448</v>
      </c>
      <c r="J561" s="298" t="s">
        <v>448</v>
      </c>
      <c r="K561" s="298" t="s">
        <v>448</v>
      </c>
      <c r="L561" s="298" t="s">
        <v>448</v>
      </c>
      <c r="M561" s="396"/>
    </row>
    <row r="562" spans="1:13" ht="24" customHeight="1" x14ac:dyDescent="0.25">
      <c r="A562" s="291">
        <v>556</v>
      </c>
      <c r="B562" s="397"/>
      <c r="C562" s="474"/>
      <c r="D562" s="440" t="s">
        <v>681</v>
      </c>
      <c r="E562" s="393"/>
      <c r="F562" s="298" t="s">
        <v>664</v>
      </c>
      <c r="G562" s="298" t="s">
        <v>448</v>
      </c>
      <c r="H562" s="298" t="s">
        <v>448</v>
      </c>
      <c r="I562" s="298" t="s">
        <v>448</v>
      </c>
      <c r="J562" s="298" t="s">
        <v>448</v>
      </c>
      <c r="K562" s="298" t="s">
        <v>448</v>
      </c>
      <c r="L562" s="298" t="s">
        <v>448</v>
      </c>
      <c r="M562" s="396"/>
    </row>
    <row r="563" spans="1:13" ht="24" customHeight="1" x14ac:dyDescent="0.25">
      <c r="A563" s="291">
        <v>557</v>
      </c>
      <c r="B563" s="397"/>
      <c r="C563" s="474"/>
      <c r="D563" s="440" t="s">
        <v>654</v>
      </c>
      <c r="E563" s="393"/>
      <c r="F563" s="298" t="s">
        <v>664</v>
      </c>
      <c r="G563" s="298" t="s">
        <v>448</v>
      </c>
      <c r="H563" s="298" t="s">
        <v>448</v>
      </c>
      <c r="I563" s="298" t="s">
        <v>448</v>
      </c>
      <c r="J563" s="298" t="s">
        <v>448</v>
      </c>
      <c r="K563" s="298" t="s">
        <v>448</v>
      </c>
      <c r="L563" s="298" t="s">
        <v>448</v>
      </c>
      <c r="M563" s="396"/>
    </row>
    <row r="564" spans="1:13" ht="24" customHeight="1" x14ac:dyDescent="0.25">
      <c r="A564" s="291">
        <v>558</v>
      </c>
      <c r="B564" s="397"/>
      <c r="C564" s="474"/>
      <c r="D564" s="440" t="s">
        <v>945</v>
      </c>
      <c r="E564" s="393"/>
      <c r="F564" s="298" t="s">
        <v>664</v>
      </c>
      <c r="G564" s="298" t="s">
        <v>448</v>
      </c>
      <c r="H564" s="298" t="s">
        <v>448</v>
      </c>
      <c r="I564" s="298" t="s">
        <v>448</v>
      </c>
      <c r="J564" s="298" t="s">
        <v>448</v>
      </c>
      <c r="K564" s="298" t="s">
        <v>448</v>
      </c>
      <c r="L564" s="298" t="s">
        <v>448</v>
      </c>
      <c r="M564" s="396"/>
    </row>
    <row r="565" spans="1:13" ht="24" customHeight="1" x14ac:dyDescent="0.25">
      <c r="A565" s="291">
        <v>559</v>
      </c>
      <c r="B565" s="397"/>
      <c r="C565" s="474"/>
      <c r="D565" s="440" t="s">
        <v>655</v>
      </c>
      <c r="E565" s="393"/>
      <c r="F565" s="298" t="s">
        <v>664</v>
      </c>
      <c r="G565" s="298" t="s">
        <v>448</v>
      </c>
      <c r="H565" s="298" t="s">
        <v>448</v>
      </c>
      <c r="I565" s="298" t="s">
        <v>448</v>
      </c>
      <c r="J565" s="298" t="s">
        <v>448</v>
      </c>
      <c r="K565" s="298" t="s">
        <v>448</v>
      </c>
      <c r="L565" s="298" t="s">
        <v>448</v>
      </c>
      <c r="M565" s="396"/>
    </row>
    <row r="566" spans="1:13" ht="24" customHeight="1" x14ac:dyDescent="0.25">
      <c r="A566" s="291">
        <v>560</v>
      </c>
      <c r="B566" s="397"/>
      <c r="C566" s="474"/>
      <c r="D566" s="440" t="s">
        <v>946</v>
      </c>
      <c r="E566" s="393"/>
      <c r="F566" s="298" t="s">
        <v>664</v>
      </c>
      <c r="G566" s="298" t="s">
        <v>448</v>
      </c>
      <c r="H566" s="298" t="s">
        <v>448</v>
      </c>
      <c r="I566" s="298" t="s">
        <v>448</v>
      </c>
      <c r="J566" s="298" t="s">
        <v>448</v>
      </c>
      <c r="K566" s="298" t="s">
        <v>448</v>
      </c>
      <c r="L566" s="298" t="s">
        <v>448</v>
      </c>
      <c r="M566" s="396"/>
    </row>
    <row r="567" spans="1:13" ht="24" customHeight="1" x14ac:dyDescent="0.25">
      <c r="A567" s="291">
        <v>561</v>
      </c>
      <c r="B567" s="397"/>
      <c r="C567" s="474"/>
      <c r="D567" s="440" t="s">
        <v>682</v>
      </c>
      <c r="E567" s="393"/>
      <c r="F567" s="298" t="s">
        <v>664</v>
      </c>
      <c r="G567" s="298" t="s">
        <v>448</v>
      </c>
      <c r="H567" s="298" t="s">
        <v>448</v>
      </c>
      <c r="I567" s="298" t="s">
        <v>448</v>
      </c>
      <c r="J567" s="298" t="s">
        <v>448</v>
      </c>
      <c r="K567" s="298" t="s">
        <v>448</v>
      </c>
      <c r="L567" s="298" t="s">
        <v>448</v>
      </c>
      <c r="M567" s="396"/>
    </row>
    <row r="568" spans="1:13" ht="24" customHeight="1" x14ac:dyDescent="0.25">
      <c r="A568" s="291">
        <v>562</v>
      </c>
      <c r="B568" s="397"/>
      <c r="C568" s="474"/>
      <c r="D568" s="436" t="s">
        <v>619</v>
      </c>
      <c r="E568" s="393"/>
      <c r="F568" s="298" t="s">
        <v>664</v>
      </c>
      <c r="G568" s="298" t="s">
        <v>448</v>
      </c>
      <c r="H568" s="298" t="s">
        <v>448</v>
      </c>
      <c r="I568" s="298" t="s">
        <v>448</v>
      </c>
      <c r="J568" s="298" t="s">
        <v>448</v>
      </c>
      <c r="K568" s="298" t="s">
        <v>448</v>
      </c>
      <c r="L568" s="298" t="s">
        <v>448</v>
      </c>
      <c r="M568" s="396"/>
    </row>
    <row r="569" spans="1:13" ht="24" customHeight="1" x14ac:dyDescent="0.25">
      <c r="A569" s="291">
        <v>563</v>
      </c>
      <c r="B569" s="397"/>
      <c r="C569" s="474"/>
      <c r="D569" s="436" t="s">
        <v>620</v>
      </c>
      <c r="E569" s="393"/>
      <c r="F569" s="298" t="s">
        <v>664</v>
      </c>
      <c r="G569" s="298" t="s">
        <v>448</v>
      </c>
      <c r="H569" s="298" t="s">
        <v>448</v>
      </c>
      <c r="I569" s="298" t="s">
        <v>448</v>
      </c>
      <c r="J569" s="298" t="s">
        <v>448</v>
      </c>
      <c r="K569" s="298" t="s">
        <v>448</v>
      </c>
      <c r="L569" s="298" t="s">
        <v>448</v>
      </c>
      <c r="M569" s="396"/>
    </row>
    <row r="570" spans="1:13" ht="24" customHeight="1" x14ac:dyDescent="0.25">
      <c r="A570" s="291">
        <v>564</v>
      </c>
      <c r="B570" s="397"/>
      <c r="C570" s="474"/>
      <c r="D570" s="436" t="s">
        <v>621</v>
      </c>
      <c r="E570" s="393"/>
      <c r="F570" s="298" t="s">
        <v>664</v>
      </c>
      <c r="G570" s="298" t="s">
        <v>448</v>
      </c>
      <c r="H570" s="298" t="s">
        <v>448</v>
      </c>
      <c r="I570" s="298" t="s">
        <v>448</v>
      </c>
      <c r="J570" s="298" t="s">
        <v>448</v>
      </c>
      <c r="K570" s="298" t="s">
        <v>448</v>
      </c>
      <c r="L570" s="298" t="s">
        <v>448</v>
      </c>
      <c r="M570" s="396"/>
    </row>
    <row r="571" spans="1:13" ht="24" customHeight="1" x14ac:dyDescent="0.25">
      <c r="A571" s="291">
        <v>565</v>
      </c>
      <c r="B571" s="397"/>
      <c r="C571" s="475"/>
      <c r="D571" s="440" t="s">
        <v>699</v>
      </c>
      <c r="E571" s="393"/>
      <c r="F571" s="298" t="s">
        <v>762</v>
      </c>
      <c r="G571" s="298" t="s">
        <v>762</v>
      </c>
      <c r="H571" s="298" t="s">
        <v>762</v>
      </c>
      <c r="I571" s="298" t="s">
        <v>762</v>
      </c>
      <c r="J571" s="298" t="s">
        <v>762</v>
      </c>
      <c r="K571" s="298" t="s">
        <v>762</v>
      </c>
      <c r="L571" s="298" t="s">
        <v>762</v>
      </c>
      <c r="M571" s="396"/>
    </row>
    <row r="572" spans="1:13" ht="24" customHeight="1" x14ac:dyDescent="0.25">
      <c r="A572" s="291">
        <v>566</v>
      </c>
      <c r="B572" s="397"/>
      <c r="C572" s="474" t="s">
        <v>729</v>
      </c>
      <c r="D572" s="457" t="s">
        <v>166</v>
      </c>
      <c r="E572" s="393"/>
      <c r="F572" s="442" t="s">
        <v>165</v>
      </c>
      <c r="G572" s="442" t="s">
        <v>165</v>
      </c>
      <c r="H572" s="442" t="s">
        <v>165</v>
      </c>
      <c r="I572" s="442" t="s">
        <v>165</v>
      </c>
      <c r="J572" s="442" t="s">
        <v>165</v>
      </c>
      <c r="K572" s="442" t="s">
        <v>165</v>
      </c>
      <c r="L572" s="442" t="s">
        <v>165</v>
      </c>
      <c r="M572" s="396"/>
    </row>
    <row r="573" spans="1:13" ht="24" customHeight="1" x14ac:dyDescent="0.25">
      <c r="A573" s="291">
        <v>567</v>
      </c>
      <c r="B573" s="397"/>
      <c r="C573" s="474" t="s">
        <v>729</v>
      </c>
      <c r="D573" s="457" t="s">
        <v>166</v>
      </c>
      <c r="E573" s="393"/>
      <c r="F573" s="442" t="s">
        <v>165</v>
      </c>
      <c r="G573" s="442" t="s">
        <v>165</v>
      </c>
      <c r="H573" s="442" t="s">
        <v>165</v>
      </c>
      <c r="I573" s="442" t="s">
        <v>165</v>
      </c>
      <c r="J573" s="442" t="s">
        <v>165</v>
      </c>
      <c r="K573" s="442" t="s">
        <v>165</v>
      </c>
      <c r="L573" s="442" t="s">
        <v>165</v>
      </c>
      <c r="M573" s="396"/>
    </row>
    <row r="574" spans="1:13" ht="24" customHeight="1" x14ac:dyDescent="0.25">
      <c r="A574" s="291">
        <v>568</v>
      </c>
      <c r="B574" s="397"/>
      <c r="C574" s="474" t="s">
        <v>729</v>
      </c>
      <c r="D574" s="457" t="s">
        <v>166</v>
      </c>
      <c r="E574" s="393"/>
      <c r="F574" s="442" t="s">
        <v>165</v>
      </c>
      <c r="G574" s="442" t="s">
        <v>165</v>
      </c>
      <c r="H574" s="442" t="s">
        <v>165</v>
      </c>
      <c r="I574" s="442" t="s">
        <v>165</v>
      </c>
      <c r="J574" s="442" t="s">
        <v>165</v>
      </c>
      <c r="K574" s="442" t="s">
        <v>165</v>
      </c>
      <c r="L574" s="442" t="s">
        <v>165</v>
      </c>
      <c r="M574" s="396"/>
    </row>
    <row r="575" spans="1:13" ht="24" customHeight="1" x14ac:dyDescent="0.25">
      <c r="A575" s="291">
        <v>569</v>
      </c>
      <c r="B575" s="397"/>
      <c r="C575" s="473" t="s">
        <v>199</v>
      </c>
      <c r="D575" s="457" t="s">
        <v>166</v>
      </c>
      <c r="E575" s="393"/>
      <c r="F575" s="442" t="s">
        <v>165</v>
      </c>
      <c r="G575" s="442" t="s">
        <v>165</v>
      </c>
      <c r="H575" s="442" t="s">
        <v>165</v>
      </c>
      <c r="I575" s="442" t="s">
        <v>165</v>
      </c>
      <c r="J575" s="442" t="s">
        <v>165</v>
      </c>
      <c r="K575" s="442" t="s">
        <v>165</v>
      </c>
      <c r="L575" s="442" t="s">
        <v>165</v>
      </c>
      <c r="M575" s="396"/>
    </row>
    <row r="576" spans="1:13" ht="24" customHeight="1" x14ac:dyDescent="0.25">
      <c r="A576" s="291">
        <v>570</v>
      </c>
      <c r="B576" s="397"/>
      <c r="C576" s="474"/>
      <c r="D576" s="458" t="s">
        <v>707</v>
      </c>
      <c r="E576" s="393"/>
      <c r="F576" s="298" t="s">
        <v>664</v>
      </c>
      <c r="G576" s="298" t="s">
        <v>448</v>
      </c>
      <c r="H576" s="298" t="s">
        <v>448</v>
      </c>
      <c r="I576" s="298" t="s">
        <v>448</v>
      </c>
      <c r="J576" s="298" t="s">
        <v>448</v>
      </c>
      <c r="K576" s="298" t="s">
        <v>448</v>
      </c>
      <c r="L576" s="298" t="s">
        <v>448</v>
      </c>
      <c r="M576" s="396"/>
    </row>
    <row r="577" spans="1:13" ht="24" customHeight="1" x14ac:dyDescent="0.25">
      <c r="A577" s="291">
        <v>571</v>
      </c>
      <c r="B577" s="397"/>
      <c r="C577" s="474"/>
      <c r="D577" s="458" t="s">
        <v>708</v>
      </c>
      <c r="E577" s="393"/>
      <c r="F577" s="298" t="s">
        <v>664</v>
      </c>
      <c r="G577" s="298" t="s">
        <v>448</v>
      </c>
      <c r="H577" s="298" t="s">
        <v>448</v>
      </c>
      <c r="I577" s="298" t="s">
        <v>448</v>
      </c>
      <c r="J577" s="298" t="s">
        <v>448</v>
      </c>
      <c r="K577" s="298" t="s">
        <v>448</v>
      </c>
      <c r="L577" s="298" t="s">
        <v>448</v>
      </c>
      <c r="M577" s="396"/>
    </row>
    <row r="578" spans="1:13" ht="24" customHeight="1" x14ac:dyDescent="0.25">
      <c r="A578" s="291">
        <v>572</v>
      </c>
      <c r="B578" s="397"/>
      <c r="C578" s="474"/>
      <c r="D578" s="458" t="s">
        <v>709</v>
      </c>
      <c r="E578" s="393"/>
      <c r="F578" s="298" t="s">
        <v>664</v>
      </c>
      <c r="G578" s="298" t="s">
        <v>448</v>
      </c>
      <c r="H578" s="298" t="s">
        <v>448</v>
      </c>
      <c r="I578" s="298" t="s">
        <v>448</v>
      </c>
      <c r="J578" s="298" t="s">
        <v>448</v>
      </c>
      <c r="K578" s="298" t="s">
        <v>448</v>
      </c>
      <c r="L578" s="298" t="s">
        <v>448</v>
      </c>
      <c r="M578" s="396"/>
    </row>
    <row r="579" spans="1:13" ht="24" customHeight="1" x14ac:dyDescent="0.25">
      <c r="A579" s="291">
        <v>573</v>
      </c>
      <c r="B579" s="397"/>
      <c r="C579" s="475"/>
      <c r="D579" s="458" t="s">
        <v>699</v>
      </c>
      <c r="E579" s="393"/>
      <c r="F579" s="298" t="s">
        <v>762</v>
      </c>
      <c r="G579" s="298" t="s">
        <v>762</v>
      </c>
      <c r="H579" s="298" t="s">
        <v>762</v>
      </c>
      <c r="I579" s="298" t="s">
        <v>762</v>
      </c>
      <c r="J579" s="298" t="s">
        <v>762</v>
      </c>
      <c r="K579" s="298" t="s">
        <v>762</v>
      </c>
      <c r="L579" s="298" t="s">
        <v>762</v>
      </c>
      <c r="M579" s="396"/>
    </row>
    <row r="580" spans="1:13" ht="24" customHeight="1" x14ac:dyDescent="0.25">
      <c r="A580" s="291">
        <v>574</v>
      </c>
      <c r="B580" s="397"/>
      <c r="C580" s="474" t="s">
        <v>729</v>
      </c>
      <c r="D580" s="457" t="s">
        <v>166</v>
      </c>
      <c r="E580" s="393"/>
      <c r="F580" s="442" t="s">
        <v>165</v>
      </c>
      <c r="G580" s="442" t="s">
        <v>165</v>
      </c>
      <c r="H580" s="442" t="s">
        <v>165</v>
      </c>
      <c r="I580" s="442" t="s">
        <v>165</v>
      </c>
      <c r="J580" s="442" t="s">
        <v>165</v>
      </c>
      <c r="K580" s="442" t="s">
        <v>165</v>
      </c>
      <c r="L580" s="442" t="s">
        <v>165</v>
      </c>
      <c r="M580" s="396"/>
    </row>
    <row r="581" spans="1:13" ht="24" customHeight="1" x14ac:dyDescent="0.25">
      <c r="A581" s="291">
        <v>575</v>
      </c>
      <c r="B581" s="397"/>
      <c r="C581" s="473" t="s">
        <v>645</v>
      </c>
      <c r="D581" s="457" t="s">
        <v>166</v>
      </c>
      <c r="E581" s="393"/>
      <c r="F581" s="442" t="s">
        <v>165</v>
      </c>
      <c r="G581" s="442" t="s">
        <v>165</v>
      </c>
      <c r="H581" s="442" t="s">
        <v>165</v>
      </c>
      <c r="I581" s="442" t="s">
        <v>165</v>
      </c>
      <c r="J581" s="442" t="s">
        <v>165</v>
      </c>
      <c r="K581" s="442" t="s">
        <v>165</v>
      </c>
      <c r="L581" s="442" t="s">
        <v>165</v>
      </c>
      <c r="M581" s="396"/>
    </row>
    <row r="582" spans="1:13" ht="24" customHeight="1" x14ac:dyDescent="0.25">
      <c r="A582" s="291">
        <v>576</v>
      </c>
      <c r="B582" s="397"/>
      <c r="C582" s="474"/>
      <c r="D582" s="458" t="s">
        <v>163</v>
      </c>
      <c r="E582" s="393"/>
      <c r="F582" s="298" t="s">
        <v>664</v>
      </c>
      <c r="G582" s="298" t="s">
        <v>448</v>
      </c>
      <c r="H582" s="298" t="s">
        <v>448</v>
      </c>
      <c r="I582" s="298" t="s">
        <v>448</v>
      </c>
      <c r="J582" s="298" t="s">
        <v>448</v>
      </c>
      <c r="K582" s="298" t="s">
        <v>448</v>
      </c>
      <c r="L582" s="298" t="s">
        <v>448</v>
      </c>
      <c r="M582" s="396"/>
    </row>
    <row r="583" spans="1:13" ht="24" customHeight="1" x14ac:dyDescent="0.25">
      <c r="A583" s="291">
        <v>577</v>
      </c>
      <c r="B583" s="397"/>
      <c r="C583" s="475"/>
      <c r="D583" s="458" t="s">
        <v>699</v>
      </c>
      <c r="E583" s="393"/>
      <c r="F583" s="298" t="s">
        <v>762</v>
      </c>
      <c r="G583" s="298" t="s">
        <v>762</v>
      </c>
      <c r="H583" s="298" t="s">
        <v>762</v>
      </c>
      <c r="I583" s="298" t="s">
        <v>762</v>
      </c>
      <c r="J583" s="298" t="s">
        <v>762</v>
      </c>
      <c r="K583" s="298" t="s">
        <v>762</v>
      </c>
      <c r="L583" s="298" t="s">
        <v>762</v>
      </c>
      <c r="M583" s="396"/>
    </row>
    <row r="584" spans="1:13" ht="24" customHeight="1" x14ac:dyDescent="0.25">
      <c r="A584" s="291">
        <v>578</v>
      </c>
      <c r="B584" s="397"/>
      <c r="C584" s="473" t="s">
        <v>200</v>
      </c>
      <c r="D584" s="457" t="s">
        <v>166</v>
      </c>
      <c r="E584" s="393"/>
      <c r="F584" s="442" t="s">
        <v>165</v>
      </c>
      <c r="G584" s="442" t="s">
        <v>165</v>
      </c>
      <c r="H584" s="442" t="s">
        <v>165</v>
      </c>
      <c r="I584" s="442" t="s">
        <v>165</v>
      </c>
      <c r="J584" s="442" t="s">
        <v>165</v>
      </c>
      <c r="K584" s="442" t="s">
        <v>165</v>
      </c>
      <c r="L584" s="442" t="s">
        <v>165</v>
      </c>
      <c r="M584" s="396"/>
    </row>
    <row r="585" spans="1:13" ht="24" customHeight="1" x14ac:dyDescent="0.25">
      <c r="A585" s="291">
        <v>579</v>
      </c>
      <c r="B585" s="397"/>
      <c r="C585" s="474"/>
      <c r="D585" s="458" t="s">
        <v>710</v>
      </c>
      <c r="E585" s="393"/>
      <c r="F585" s="298" t="s">
        <v>664</v>
      </c>
      <c r="G585" s="298" t="s">
        <v>448</v>
      </c>
      <c r="H585" s="298" t="s">
        <v>448</v>
      </c>
      <c r="I585" s="298" t="s">
        <v>448</v>
      </c>
      <c r="J585" s="298" t="s">
        <v>448</v>
      </c>
      <c r="K585" s="298" t="s">
        <v>448</v>
      </c>
      <c r="L585" s="298" t="s">
        <v>448</v>
      </c>
      <c r="M585" s="396"/>
    </row>
    <row r="586" spans="1:13" ht="24" customHeight="1" x14ac:dyDescent="0.25">
      <c r="A586" s="291">
        <v>580</v>
      </c>
      <c r="B586" s="397"/>
      <c r="C586" s="474"/>
      <c r="D586" s="458" t="s">
        <v>711</v>
      </c>
      <c r="E586" s="393"/>
      <c r="F586" s="298" t="s">
        <v>664</v>
      </c>
      <c r="G586" s="298" t="s">
        <v>448</v>
      </c>
      <c r="H586" s="298" t="s">
        <v>448</v>
      </c>
      <c r="I586" s="298" t="s">
        <v>448</v>
      </c>
      <c r="J586" s="298" t="s">
        <v>448</v>
      </c>
      <c r="K586" s="298" t="s">
        <v>448</v>
      </c>
      <c r="L586" s="298" t="s">
        <v>448</v>
      </c>
      <c r="M586" s="396"/>
    </row>
    <row r="587" spans="1:13" ht="24" customHeight="1" x14ac:dyDescent="0.25">
      <c r="A587" s="291">
        <v>581</v>
      </c>
      <c r="B587" s="397"/>
      <c r="C587" s="474"/>
      <c r="D587" s="458" t="s">
        <v>712</v>
      </c>
      <c r="E587" s="393"/>
      <c r="F587" s="298" t="s">
        <v>664</v>
      </c>
      <c r="G587" s="298" t="s">
        <v>448</v>
      </c>
      <c r="H587" s="298" t="s">
        <v>448</v>
      </c>
      <c r="I587" s="298" t="s">
        <v>448</v>
      </c>
      <c r="J587" s="298" t="s">
        <v>448</v>
      </c>
      <c r="K587" s="298" t="s">
        <v>448</v>
      </c>
      <c r="L587" s="298" t="s">
        <v>448</v>
      </c>
      <c r="M587" s="396"/>
    </row>
    <row r="588" spans="1:13" ht="24" customHeight="1" x14ac:dyDescent="0.25">
      <c r="A588" s="291">
        <v>582</v>
      </c>
      <c r="B588" s="397"/>
      <c r="C588" s="474"/>
      <c r="D588" s="458" t="s">
        <v>7</v>
      </c>
      <c r="E588" s="393"/>
      <c r="F588" s="298" t="s">
        <v>664</v>
      </c>
      <c r="G588" s="298" t="s">
        <v>448</v>
      </c>
      <c r="H588" s="298" t="s">
        <v>448</v>
      </c>
      <c r="I588" s="298" t="s">
        <v>448</v>
      </c>
      <c r="J588" s="298" t="s">
        <v>448</v>
      </c>
      <c r="K588" s="298" t="s">
        <v>448</v>
      </c>
      <c r="L588" s="298" t="s">
        <v>448</v>
      </c>
      <c r="M588" s="396"/>
    </row>
    <row r="589" spans="1:13" ht="24" customHeight="1" x14ac:dyDescent="0.25">
      <c r="A589" s="291">
        <v>583</v>
      </c>
      <c r="B589" s="397"/>
      <c r="C589" s="474"/>
      <c r="D589" s="458" t="s">
        <v>8</v>
      </c>
      <c r="E589" s="393"/>
      <c r="F589" s="298" t="s">
        <v>664</v>
      </c>
      <c r="G589" s="298" t="s">
        <v>448</v>
      </c>
      <c r="H589" s="298" t="s">
        <v>448</v>
      </c>
      <c r="I589" s="298" t="s">
        <v>448</v>
      </c>
      <c r="J589" s="298" t="s">
        <v>448</v>
      </c>
      <c r="K589" s="298" t="s">
        <v>448</v>
      </c>
      <c r="L589" s="298" t="s">
        <v>448</v>
      </c>
      <c r="M589" s="396"/>
    </row>
    <row r="590" spans="1:13" ht="24" customHeight="1" x14ac:dyDescent="0.25">
      <c r="A590" s="291">
        <v>584</v>
      </c>
      <c r="B590" s="397"/>
      <c r="C590" s="474"/>
      <c r="D590" s="458" t="s">
        <v>9</v>
      </c>
      <c r="E590" s="393"/>
      <c r="F590" s="298" t="s">
        <v>664</v>
      </c>
      <c r="G590" s="298" t="s">
        <v>448</v>
      </c>
      <c r="H590" s="298" t="s">
        <v>448</v>
      </c>
      <c r="I590" s="298" t="s">
        <v>448</v>
      </c>
      <c r="J590" s="298" t="s">
        <v>448</v>
      </c>
      <c r="K590" s="298" t="s">
        <v>448</v>
      </c>
      <c r="L590" s="298" t="s">
        <v>448</v>
      </c>
      <c r="M590" s="396"/>
    </row>
    <row r="591" spans="1:13" ht="24" customHeight="1" x14ac:dyDescent="0.25">
      <c r="A591" s="291">
        <v>585</v>
      </c>
      <c r="B591" s="397"/>
      <c r="C591" s="474"/>
      <c r="D591" s="458" t="s">
        <v>713</v>
      </c>
      <c r="E591" s="393"/>
      <c r="F591" s="298" t="s">
        <v>664</v>
      </c>
      <c r="G591" s="298" t="s">
        <v>448</v>
      </c>
      <c r="H591" s="298" t="s">
        <v>448</v>
      </c>
      <c r="I591" s="298" t="s">
        <v>448</v>
      </c>
      <c r="J591" s="298" t="s">
        <v>448</v>
      </c>
      <c r="K591" s="298" t="s">
        <v>448</v>
      </c>
      <c r="L591" s="298" t="s">
        <v>448</v>
      </c>
      <c r="M591" s="396"/>
    </row>
    <row r="592" spans="1:13" ht="24" customHeight="1" x14ac:dyDescent="0.25">
      <c r="A592" s="291">
        <v>586</v>
      </c>
      <c r="B592" s="397"/>
      <c r="C592" s="474"/>
      <c r="D592" s="458" t="s">
        <v>714</v>
      </c>
      <c r="E592" s="393"/>
      <c r="F592" s="298" t="s">
        <v>664</v>
      </c>
      <c r="G592" s="298" t="s">
        <v>448</v>
      </c>
      <c r="H592" s="298" t="s">
        <v>448</v>
      </c>
      <c r="I592" s="298" t="s">
        <v>448</v>
      </c>
      <c r="J592" s="298" t="s">
        <v>448</v>
      </c>
      <c r="K592" s="298" t="s">
        <v>448</v>
      </c>
      <c r="L592" s="298" t="s">
        <v>448</v>
      </c>
      <c r="M592" s="396"/>
    </row>
    <row r="593" spans="1:13" ht="24" customHeight="1" x14ac:dyDescent="0.25">
      <c r="A593" s="291">
        <v>587</v>
      </c>
      <c r="B593" s="397"/>
      <c r="C593" s="474"/>
      <c r="D593" s="458" t="s">
        <v>715</v>
      </c>
      <c r="E593" s="393"/>
      <c r="F593" s="298" t="s">
        <v>664</v>
      </c>
      <c r="G593" s="298" t="s">
        <v>448</v>
      </c>
      <c r="H593" s="298" t="s">
        <v>448</v>
      </c>
      <c r="I593" s="298" t="s">
        <v>448</v>
      </c>
      <c r="J593" s="298" t="s">
        <v>448</v>
      </c>
      <c r="K593" s="298" t="s">
        <v>448</v>
      </c>
      <c r="L593" s="298" t="s">
        <v>448</v>
      </c>
      <c r="M593" s="396"/>
    </row>
    <row r="594" spans="1:13" ht="24" customHeight="1" x14ac:dyDescent="0.25">
      <c r="A594" s="291">
        <v>588</v>
      </c>
      <c r="B594" s="397"/>
      <c r="C594" s="474"/>
      <c r="D594" s="458" t="s">
        <v>716</v>
      </c>
      <c r="E594" s="393"/>
      <c r="F594" s="298" t="s">
        <v>664</v>
      </c>
      <c r="G594" s="298" t="s">
        <v>448</v>
      </c>
      <c r="H594" s="298" t="s">
        <v>448</v>
      </c>
      <c r="I594" s="298" t="s">
        <v>448</v>
      </c>
      <c r="J594" s="298" t="s">
        <v>448</v>
      </c>
      <c r="K594" s="298" t="s">
        <v>448</v>
      </c>
      <c r="L594" s="298" t="s">
        <v>448</v>
      </c>
      <c r="M594" s="396"/>
    </row>
    <row r="595" spans="1:13" ht="24" customHeight="1" x14ac:dyDescent="0.25">
      <c r="A595" s="291">
        <v>589</v>
      </c>
      <c r="B595" s="397"/>
      <c r="C595" s="474"/>
      <c r="D595" s="458" t="s">
        <v>717</v>
      </c>
      <c r="E595" s="393"/>
      <c r="F595" s="298" t="s">
        <v>664</v>
      </c>
      <c r="G595" s="298" t="s">
        <v>448</v>
      </c>
      <c r="H595" s="298" t="s">
        <v>448</v>
      </c>
      <c r="I595" s="298" t="s">
        <v>448</v>
      </c>
      <c r="J595" s="298" t="s">
        <v>448</v>
      </c>
      <c r="K595" s="298" t="s">
        <v>448</v>
      </c>
      <c r="L595" s="298" t="s">
        <v>448</v>
      </c>
      <c r="M595" s="396"/>
    </row>
    <row r="596" spans="1:13" ht="24" customHeight="1" x14ac:dyDescent="0.25">
      <c r="A596" s="291">
        <v>590</v>
      </c>
      <c r="B596" s="397"/>
      <c r="C596" s="474"/>
      <c r="D596" s="458" t="s">
        <v>718</v>
      </c>
      <c r="E596" s="393"/>
      <c r="F596" s="298" t="s">
        <v>664</v>
      </c>
      <c r="G596" s="298" t="s">
        <v>448</v>
      </c>
      <c r="H596" s="298" t="s">
        <v>448</v>
      </c>
      <c r="I596" s="298" t="s">
        <v>448</v>
      </c>
      <c r="J596" s="298" t="s">
        <v>448</v>
      </c>
      <c r="K596" s="298" t="s">
        <v>448</v>
      </c>
      <c r="L596" s="298" t="s">
        <v>448</v>
      </c>
      <c r="M596" s="396"/>
    </row>
    <row r="597" spans="1:13" ht="24" customHeight="1" x14ac:dyDescent="0.25">
      <c r="A597" s="291">
        <v>591</v>
      </c>
      <c r="B597" s="397"/>
      <c r="C597" s="474"/>
      <c r="D597" s="458" t="s">
        <v>719</v>
      </c>
      <c r="E597" s="393"/>
      <c r="F597" s="298" t="s">
        <v>664</v>
      </c>
      <c r="G597" s="298" t="s">
        <v>448</v>
      </c>
      <c r="H597" s="298" t="s">
        <v>448</v>
      </c>
      <c r="I597" s="298" t="s">
        <v>448</v>
      </c>
      <c r="J597" s="298" t="s">
        <v>448</v>
      </c>
      <c r="K597" s="298" t="s">
        <v>448</v>
      </c>
      <c r="L597" s="298" t="s">
        <v>448</v>
      </c>
      <c r="M597" s="396"/>
    </row>
    <row r="598" spans="1:13" ht="24" customHeight="1" x14ac:dyDescent="0.25">
      <c r="A598" s="291">
        <v>592</v>
      </c>
      <c r="B598" s="398"/>
      <c r="C598" s="475"/>
      <c r="D598" s="458" t="s">
        <v>699</v>
      </c>
      <c r="E598" s="393"/>
      <c r="F598" s="298" t="s">
        <v>762</v>
      </c>
      <c r="G598" s="298" t="s">
        <v>762</v>
      </c>
      <c r="H598" s="298" t="s">
        <v>762</v>
      </c>
      <c r="I598" s="298" t="s">
        <v>762</v>
      </c>
      <c r="J598" s="298" t="s">
        <v>762</v>
      </c>
      <c r="K598" s="298" t="s">
        <v>762</v>
      </c>
      <c r="L598" s="298" t="s">
        <v>762</v>
      </c>
      <c r="M598" s="396"/>
    </row>
    <row r="599" spans="1:13" ht="24" customHeight="1" x14ac:dyDescent="0.25">
      <c r="A599" s="291">
        <v>593</v>
      </c>
      <c r="B599" s="395"/>
      <c r="C599" s="476" t="s">
        <v>729</v>
      </c>
      <c r="D599" s="457" t="s">
        <v>166</v>
      </c>
      <c r="E599" s="393"/>
      <c r="F599" s="442" t="s">
        <v>165</v>
      </c>
      <c r="G599" s="442" t="s">
        <v>165</v>
      </c>
      <c r="H599" s="442" t="s">
        <v>165</v>
      </c>
      <c r="I599" s="442" t="s">
        <v>165</v>
      </c>
      <c r="J599" s="442" t="s">
        <v>165</v>
      </c>
      <c r="K599" s="442" t="s">
        <v>165</v>
      </c>
      <c r="L599" s="442" t="s">
        <v>165</v>
      </c>
      <c r="M599" s="396"/>
    </row>
    <row r="600" spans="1:13" ht="24" customHeight="1" x14ac:dyDescent="0.25">
      <c r="A600" s="291">
        <v>594</v>
      </c>
      <c r="B600" s="395"/>
      <c r="C600" s="476" t="s">
        <v>729</v>
      </c>
      <c r="D600" s="457" t="s">
        <v>166</v>
      </c>
      <c r="E600" s="393"/>
      <c r="F600" s="442" t="s">
        <v>165</v>
      </c>
      <c r="G600" s="442" t="s">
        <v>165</v>
      </c>
      <c r="H600" s="442" t="s">
        <v>165</v>
      </c>
      <c r="I600" s="442" t="s">
        <v>165</v>
      </c>
      <c r="J600" s="442" t="s">
        <v>165</v>
      </c>
      <c r="K600" s="442" t="s">
        <v>165</v>
      </c>
      <c r="L600" s="442" t="s">
        <v>165</v>
      </c>
      <c r="M600" s="396"/>
    </row>
    <row r="601" spans="1:13" ht="24" customHeight="1" x14ac:dyDescent="0.25">
      <c r="A601" s="291">
        <v>595</v>
      </c>
      <c r="B601" s="395"/>
      <c r="C601" s="476" t="s">
        <v>729</v>
      </c>
      <c r="D601" s="457" t="s">
        <v>166</v>
      </c>
      <c r="E601" s="393"/>
      <c r="F601" s="442" t="s">
        <v>165</v>
      </c>
      <c r="G601" s="442" t="s">
        <v>165</v>
      </c>
      <c r="H601" s="442" t="s">
        <v>165</v>
      </c>
      <c r="I601" s="442" t="s">
        <v>165</v>
      </c>
      <c r="J601" s="442" t="s">
        <v>165</v>
      </c>
      <c r="K601" s="442" t="s">
        <v>165</v>
      </c>
      <c r="L601" s="442" t="s">
        <v>165</v>
      </c>
      <c r="M601" s="396"/>
    </row>
    <row r="602" spans="1:13" ht="24" customHeight="1" x14ac:dyDescent="0.25">
      <c r="A602" s="291">
        <v>596</v>
      </c>
      <c r="B602" s="395"/>
      <c r="C602" s="476" t="s">
        <v>729</v>
      </c>
      <c r="D602" s="457" t="s">
        <v>166</v>
      </c>
      <c r="E602" s="393"/>
      <c r="F602" s="442" t="s">
        <v>165</v>
      </c>
      <c r="G602" s="442" t="s">
        <v>165</v>
      </c>
      <c r="H602" s="442" t="s">
        <v>165</v>
      </c>
      <c r="I602" s="442" t="s">
        <v>165</v>
      </c>
      <c r="J602" s="442" t="s">
        <v>165</v>
      </c>
      <c r="K602" s="442" t="s">
        <v>165</v>
      </c>
      <c r="L602" s="442" t="s">
        <v>165</v>
      </c>
      <c r="M602" s="396"/>
    </row>
    <row r="603" spans="1:13" ht="24" customHeight="1" x14ac:dyDescent="0.25">
      <c r="M603" s="211"/>
    </row>
    <row r="604" spans="1:13" ht="24" customHeight="1" x14ac:dyDescent="0.25">
      <c r="M604" s="211"/>
    </row>
    <row r="605" spans="1:13" ht="24" customHeight="1" x14ac:dyDescent="0.25">
      <c r="M605" s="211"/>
    </row>
    <row r="606" spans="1:13" ht="24" customHeight="1" x14ac:dyDescent="0.25">
      <c r="M606" s="211"/>
    </row>
    <row r="607" spans="1:13" ht="24" customHeight="1" x14ac:dyDescent="0.25">
      <c r="M607" s="211"/>
    </row>
    <row r="608" spans="1:13" ht="24" customHeight="1" x14ac:dyDescent="0.25">
      <c r="M608" s="211"/>
    </row>
    <row r="609" spans="13:13" ht="24" customHeight="1" x14ac:dyDescent="0.25">
      <c r="M609" s="211"/>
    </row>
    <row r="610" spans="13:13" ht="24" customHeight="1" x14ac:dyDescent="0.25">
      <c r="M610" s="211"/>
    </row>
    <row r="611" spans="13:13" ht="24" customHeight="1" x14ac:dyDescent="0.25">
      <c r="M611" s="211"/>
    </row>
    <row r="612" spans="13:13" ht="24" customHeight="1" x14ac:dyDescent="0.25">
      <c r="M612" s="211"/>
    </row>
    <row r="613" spans="13:13" ht="24" customHeight="1" x14ac:dyDescent="0.25">
      <c r="M613" s="211"/>
    </row>
    <row r="614" spans="13:13" ht="24" customHeight="1" x14ac:dyDescent="0.25">
      <c r="M614" s="211"/>
    </row>
    <row r="615" spans="13:13" ht="24" customHeight="1" x14ac:dyDescent="0.25">
      <c r="M615" s="211"/>
    </row>
    <row r="616" spans="13:13" ht="24" customHeight="1" x14ac:dyDescent="0.25">
      <c r="M616" s="211"/>
    </row>
    <row r="617" spans="13:13" ht="24" customHeight="1" x14ac:dyDescent="0.25">
      <c r="M617" s="211"/>
    </row>
    <row r="618" spans="13:13" ht="24" customHeight="1" x14ac:dyDescent="0.25">
      <c r="M618" s="211"/>
    </row>
    <row r="619" spans="13:13" ht="24" customHeight="1" x14ac:dyDescent="0.25">
      <c r="M619" s="211"/>
    </row>
    <row r="620" spans="13:13" ht="24" customHeight="1" x14ac:dyDescent="0.25">
      <c r="M620" s="211"/>
    </row>
    <row r="621" spans="13:13" ht="24" customHeight="1" x14ac:dyDescent="0.25">
      <c r="M621" s="211"/>
    </row>
    <row r="622" spans="13:13" ht="24" customHeight="1" x14ac:dyDescent="0.25">
      <c r="M622" s="211"/>
    </row>
    <row r="623" spans="13:13" ht="24" customHeight="1" x14ac:dyDescent="0.25">
      <c r="M623" s="211"/>
    </row>
    <row r="624" spans="13:13" ht="24" customHeight="1" x14ac:dyDescent="0.25">
      <c r="M624" s="211"/>
    </row>
    <row r="625" spans="13:13" ht="24" customHeight="1" x14ac:dyDescent="0.25">
      <c r="M625" s="211"/>
    </row>
    <row r="626" spans="13:13" ht="24" customHeight="1" x14ac:dyDescent="0.25">
      <c r="M626" s="211"/>
    </row>
    <row r="627" spans="13:13" ht="24" customHeight="1" x14ac:dyDescent="0.25">
      <c r="M627" s="211"/>
    </row>
    <row r="628" spans="13:13" ht="24" customHeight="1" x14ac:dyDescent="0.25">
      <c r="M628" s="211"/>
    </row>
    <row r="629" spans="13:13" ht="24" customHeight="1" x14ac:dyDescent="0.25">
      <c r="M629" s="211"/>
    </row>
    <row r="630" spans="13:13" ht="24" customHeight="1" x14ac:dyDescent="0.25">
      <c r="M630" s="211"/>
    </row>
    <row r="631" spans="13:13" ht="24" customHeight="1" x14ac:dyDescent="0.25">
      <c r="M631" s="211"/>
    </row>
    <row r="632" spans="13:13" ht="24" customHeight="1" x14ac:dyDescent="0.25">
      <c r="M632" s="211"/>
    </row>
    <row r="633" spans="13:13" ht="24" customHeight="1" x14ac:dyDescent="0.25">
      <c r="M633" s="211"/>
    </row>
    <row r="634" spans="13:13" ht="24" customHeight="1" x14ac:dyDescent="0.25">
      <c r="M634" s="211"/>
    </row>
    <row r="635" spans="13:13" ht="24" customHeight="1" x14ac:dyDescent="0.25">
      <c r="M635" s="211"/>
    </row>
    <row r="636" spans="13:13" ht="24" customHeight="1" x14ac:dyDescent="0.25">
      <c r="M636" s="211"/>
    </row>
    <row r="637" spans="13:13" ht="24" customHeight="1" x14ac:dyDescent="0.25">
      <c r="M637" s="211"/>
    </row>
    <row r="638" spans="13:13" ht="24" customHeight="1" x14ac:dyDescent="0.25">
      <c r="M638" s="211"/>
    </row>
    <row r="639" spans="13:13" ht="24" customHeight="1" x14ac:dyDescent="0.25">
      <c r="M639" s="211"/>
    </row>
    <row r="640" spans="13:13" ht="24" customHeight="1" x14ac:dyDescent="0.25">
      <c r="M640" s="211"/>
    </row>
    <row r="641" spans="13:13" ht="24" customHeight="1" x14ac:dyDescent="0.25">
      <c r="M641" s="211"/>
    </row>
    <row r="642" spans="13:13" ht="24" customHeight="1" x14ac:dyDescent="0.25">
      <c r="M642" s="211"/>
    </row>
    <row r="643" spans="13:13" ht="24" customHeight="1" x14ac:dyDescent="0.25">
      <c r="M643" s="211"/>
    </row>
    <row r="644" spans="13:13" ht="24" customHeight="1" x14ac:dyDescent="0.25">
      <c r="M644" s="211"/>
    </row>
    <row r="645" spans="13:13" ht="24" customHeight="1" x14ac:dyDescent="0.25">
      <c r="M645" s="211"/>
    </row>
    <row r="646" spans="13:13" ht="24" customHeight="1" x14ac:dyDescent="0.25">
      <c r="M646" s="211"/>
    </row>
    <row r="647" spans="13:13" ht="24" customHeight="1" x14ac:dyDescent="0.25">
      <c r="M647" s="211"/>
    </row>
    <row r="648" spans="13:13" ht="24" customHeight="1" x14ac:dyDescent="0.25">
      <c r="M648" s="211"/>
    </row>
    <row r="649" spans="13:13" ht="24" customHeight="1" x14ac:dyDescent="0.25">
      <c r="M649" s="211"/>
    </row>
    <row r="650" spans="13:13" ht="24" customHeight="1" x14ac:dyDescent="0.25">
      <c r="M650" s="211"/>
    </row>
    <row r="651" spans="13:13" ht="24" customHeight="1" x14ac:dyDescent="0.25">
      <c r="M651" s="211"/>
    </row>
    <row r="652" spans="13:13" ht="24" customHeight="1" x14ac:dyDescent="0.25">
      <c r="M652" s="211"/>
    </row>
    <row r="653" spans="13:13" ht="24" customHeight="1" x14ac:dyDescent="0.25">
      <c r="M653" s="211"/>
    </row>
    <row r="654" spans="13:13" ht="24" customHeight="1" x14ac:dyDescent="0.25">
      <c r="M654" s="211"/>
    </row>
    <row r="655" spans="13:13" ht="24" customHeight="1" x14ac:dyDescent="0.25">
      <c r="M655" s="211"/>
    </row>
    <row r="656" spans="13:13" ht="24" customHeight="1" x14ac:dyDescent="0.25">
      <c r="M656" s="211"/>
    </row>
    <row r="657" spans="13:13" ht="24" customHeight="1" x14ac:dyDescent="0.25">
      <c r="M657" s="211"/>
    </row>
    <row r="658" spans="13:13" ht="24" customHeight="1" x14ac:dyDescent="0.25">
      <c r="M658" s="211"/>
    </row>
    <row r="659" spans="13:13" ht="24" customHeight="1" x14ac:dyDescent="0.25">
      <c r="M659" s="211"/>
    </row>
    <row r="660" spans="13:13" ht="24" customHeight="1" x14ac:dyDescent="0.25">
      <c r="M660" s="211"/>
    </row>
    <row r="661" spans="13:13" ht="24" customHeight="1" x14ac:dyDescent="0.25">
      <c r="M661" s="211"/>
    </row>
    <row r="662" spans="13:13" ht="24" customHeight="1" x14ac:dyDescent="0.25">
      <c r="M662" s="211"/>
    </row>
    <row r="663" spans="13:13" ht="24" customHeight="1" x14ac:dyDescent="0.25">
      <c r="M663" s="211"/>
    </row>
    <row r="664" spans="13:13" ht="24" customHeight="1" x14ac:dyDescent="0.25">
      <c r="M664" s="211"/>
    </row>
    <row r="665" spans="13:13" ht="24" customHeight="1" x14ac:dyDescent="0.25">
      <c r="M665" s="211"/>
    </row>
    <row r="666" spans="13:13" ht="24" customHeight="1" x14ac:dyDescent="0.25">
      <c r="M666" s="211"/>
    </row>
    <row r="667" spans="13:13" ht="24" customHeight="1" x14ac:dyDescent="0.25">
      <c r="M667" s="211"/>
    </row>
    <row r="668" spans="13:13" ht="24" customHeight="1" x14ac:dyDescent="0.25">
      <c r="M668" s="211"/>
    </row>
    <row r="669" spans="13:13" ht="24" customHeight="1" x14ac:dyDescent="0.25">
      <c r="M669" s="211"/>
    </row>
    <row r="670" spans="13:13" ht="24" customHeight="1" x14ac:dyDescent="0.25">
      <c r="M670" s="211"/>
    </row>
    <row r="671" spans="13:13" ht="24" customHeight="1" x14ac:dyDescent="0.25">
      <c r="M671" s="211"/>
    </row>
    <row r="672" spans="13:13" ht="24" customHeight="1" x14ac:dyDescent="0.25">
      <c r="M672" s="211"/>
    </row>
    <row r="673" spans="13:13" ht="24" customHeight="1" x14ac:dyDescent="0.25">
      <c r="M673" s="211"/>
    </row>
    <row r="674" spans="13:13" ht="24" customHeight="1" x14ac:dyDescent="0.25">
      <c r="M674" s="211"/>
    </row>
    <row r="675" spans="13:13" ht="24" customHeight="1" x14ac:dyDescent="0.25">
      <c r="M675" s="211"/>
    </row>
    <row r="676" spans="13:13" ht="24" customHeight="1" x14ac:dyDescent="0.25">
      <c r="M676" s="211"/>
    </row>
    <row r="677" spans="13:13" ht="24" customHeight="1" x14ac:dyDescent="0.25">
      <c r="M677" s="211"/>
    </row>
    <row r="678" spans="13:13" ht="24" customHeight="1" x14ac:dyDescent="0.25">
      <c r="M678" s="211"/>
    </row>
    <row r="679" spans="13:13" ht="24" customHeight="1" x14ac:dyDescent="0.25">
      <c r="M679" s="211"/>
    </row>
    <row r="680" spans="13:13" ht="24" customHeight="1" x14ac:dyDescent="0.25">
      <c r="M680" s="211"/>
    </row>
    <row r="681" spans="13:13" ht="24" customHeight="1" x14ac:dyDescent="0.25">
      <c r="M681" s="211"/>
    </row>
    <row r="682" spans="13:13" ht="24" customHeight="1" x14ac:dyDescent="0.25">
      <c r="M682" s="211"/>
    </row>
    <row r="683" spans="13:13" ht="24" customHeight="1" x14ac:dyDescent="0.25">
      <c r="M683" s="211"/>
    </row>
    <row r="684" spans="13:13" ht="24" customHeight="1" x14ac:dyDescent="0.25">
      <c r="M684" s="211"/>
    </row>
    <row r="685" spans="13:13" ht="24" customHeight="1" x14ac:dyDescent="0.25">
      <c r="M685" s="211"/>
    </row>
    <row r="686" spans="13:13" ht="24" customHeight="1" x14ac:dyDescent="0.25">
      <c r="M686" s="211"/>
    </row>
    <row r="687" spans="13:13" ht="24" customHeight="1" x14ac:dyDescent="0.25">
      <c r="M687" s="211"/>
    </row>
    <row r="688" spans="13:13" ht="24" customHeight="1" x14ac:dyDescent="0.25">
      <c r="M688" s="211"/>
    </row>
    <row r="689" spans="13:13" ht="24" customHeight="1" x14ac:dyDescent="0.25">
      <c r="M689" s="211"/>
    </row>
    <row r="690" spans="13:13" ht="24" customHeight="1" x14ac:dyDescent="0.25">
      <c r="M690" s="211"/>
    </row>
    <row r="691" spans="13:13" ht="24" customHeight="1" x14ac:dyDescent="0.25">
      <c r="M691" s="211"/>
    </row>
    <row r="692" spans="13:13" ht="24" customHeight="1" x14ac:dyDescent="0.25">
      <c r="M692" s="211"/>
    </row>
    <row r="693" spans="13:13" ht="24" customHeight="1" x14ac:dyDescent="0.25">
      <c r="M693" s="211"/>
    </row>
    <row r="694" spans="13:13" ht="24" customHeight="1" x14ac:dyDescent="0.25">
      <c r="M694" s="211"/>
    </row>
    <row r="695" spans="13:13" ht="24" customHeight="1" x14ac:dyDescent="0.25">
      <c r="M695" s="211"/>
    </row>
    <row r="696" spans="13:13" ht="24" customHeight="1" x14ac:dyDescent="0.25">
      <c r="M696" s="211"/>
    </row>
    <row r="697" spans="13:13" ht="24" customHeight="1" x14ac:dyDescent="0.25">
      <c r="M697" s="211"/>
    </row>
    <row r="698" spans="13:13" ht="24" customHeight="1" x14ac:dyDescent="0.25">
      <c r="M698" s="211"/>
    </row>
    <row r="699" spans="13:13" ht="24" customHeight="1" x14ac:dyDescent="0.25">
      <c r="M699" s="211"/>
    </row>
    <row r="700" spans="13:13" ht="24" customHeight="1" x14ac:dyDescent="0.25">
      <c r="M700" s="211"/>
    </row>
    <row r="701" spans="13:13" ht="24" customHeight="1" x14ac:dyDescent="0.25">
      <c r="M701" s="211"/>
    </row>
    <row r="702" spans="13:13" ht="24" customHeight="1" x14ac:dyDescent="0.25">
      <c r="M702" s="211"/>
    </row>
    <row r="703" spans="13:13" ht="24" customHeight="1" x14ac:dyDescent="0.25">
      <c r="M703" s="211"/>
    </row>
    <row r="704" spans="13:13" ht="24" customHeight="1" x14ac:dyDescent="0.25">
      <c r="M704" s="211"/>
    </row>
    <row r="705" spans="13:13" ht="24" customHeight="1" x14ac:dyDescent="0.25">
      <c r="M705" s="211"/>
    </row>
    <row r="706" spans="13:13" ht="24" customHeight="1" x14ac:dyDescent="0.25">
      <c r="M706" s="211"/>
    </row>
    <row r="707" spans="13:13" ht="24" customHeight="1" x14ac:dyDescent="0.25">
      <c r="M707" s="211"/>
    </row>
    <row r="708" spans="13:13" ht="24" customHeight="1" x14ac:dyDescent="0.25">
      <c r="M708" s="211"/>
    </row>
    <row r="709" spans="13:13" ht="24" customHeight="1" x14ac:dyDescent="0.25">
      <c r="M709" s="211"/>
    </row>
    <row r="710" spans="13:13" ht="24" customHeight="1" x14ac:dyDescent="0.25">
      <c r="M710" s="211"/>
    </row>
    <row r="711" spans="13:13" ht="24" customHeight="1" x14ac:dyDescent="0.25">
      <c r="M711" s="211"/>
    </row>
    <row r="712" spans="13:13" ht="24" customHeight="1" x14ac:dyDescent="0.25">
      <c r="M712" s="211"/>
    </row>
    <row r="713" spans="13:13" ht="24" customHeight="1" x14ac:dyDescent="0.25">
      <c r="M713" s="211"/>
    </row>
    <row r="714" spans="13:13" ht="24" customHeight="1" x14ac:dyDescent="0.25">
      <c r="M714" s="211"/>
    </row>
    <row r="715" spans="13:13" ht="24" customHeight="1" x14ac:dyDescent="0.25">
      <c r="M715" s="211"/>
    </row>
    <row r="716" spans="13:13" ht="24" customHeight="1" x14ac:dyDescent="0.25">
      <c r="M716" s="211"/>
    </row>
    <row r="717" spans="13:13" ht="24" customHeight="1" x14ac:dyDescent="0.25">
      <c r="M717" s="211"/>
    </row>
    <row r="718" spans="13:13" ht="24" customHeight="1" x14ac:dyDescent="0.25">
      <c r="M718" s="211"/>
    </row>
    <row r="719" spans="13:13" ht="24" customHeight="1" x14ac:dyDescent="0.25">
      <c r="M719" s="211"/>
    </row>
    <row r="720" spans="13:13" ht="24" customHeight="1" x14ac:dyDescent="0.25">
      <c r="M720" s="211"/>
    </row>
    <row r="721" spans="13:13" ht="24" customHeight="1" x14ac:dyDescent="0.25">
      <c r="M721" s="211"/>
    </row>
    <row r="722" spans="13:13" ht="24" customHeight="1" x14ac:dyDescent="0.25">
      <c r="M722" s="211"/>
    </row>
    <row r="723" spans="13:13" ht="24" customHeight="1" x14ac:dyDescent="0.25">
      <c r="M723" s="211"/>
    </row>
    <row r="724" spans="13:13" ht="24" customHeight="1" x14ac:dyDescent="0.25">
      <c r="M724" s="211"/>
    </row>
    <row r="725" spans="13:13" ht="24" customHeight="1" x14ac:dyDescent="0.25">
      <c r="M725" s="211"/>
    </row>
    <row r="726" spans="13:13" ht="24" customHeight="1" x14ac:dyDescent="0.25">
      <c r="M726" s="211"/>
    </row>
    <row r="727" spans="13:13" ht="24" customHeight="1" x14ac:dyDescent="0.25">
      <c r="M727" s="211"/>
    </row>
    <row r="728" spans="13:13" ht="24" customHeight="1" x14ac:dyDescent="0.25">
      <c r="M728" s="211"/>
    </row>
    <row r="729" spans="13:13" ht="24" customHeight="1" x14ac:dyDescent="0.25">
      <c r="M729" s="211"/>
    </row>
    <row r="730" spans="13:13" ht="24" customHeight="1" x14ac:dyDescent="0.25">
      <c r="M730" s="211"/>
    </row>
    <row r="731" spans="13:13" ht="24" customHeight="1" x14ac:dyDescent="0.25">
      <c r="M731" s="211"/>
    </row>
    <row r="732" spans="13:13" ht="24" customHeight="1" x14ac:dyDescent="0.25">
      <c r="M732" s="211"/>
    </row>
    <row r="733" spans="13:13" ht="24" customHeight="1" x14ac:dyDescent="0.25">
      <c r="M733" s="211"/>
    </row>
    <row r="734" spans="13:13" ht="24" customHeight="1" x14ac:dyDescent="0.25">
      <c r="M734" s="211"/>
    </row>
    <row r="735" spans="13:13" ht="24" customHeight="1" x14ac:dyDescent="0.25">
      <c r="M735" s="211"/>
    </row>
    <row r="736" spans="13:13" ht="24" customHeight="1" x14ac:dyDescent="0.25">
      <c r="M736" s="211"/>
    </row>
    <row r="737" spans="13:13" ht="24" customHeight="1" x14ac:dyDescent="0.25">
      <c r="M737" s="211"/>
    </row>
    <row r="738" spans="13:13" ht="24" customHeight="1" x14ac:dyDescent="0.25">
      <c r="M738" s="211"/>
    </row>
    <row r="739" spans="13:13" ht="24" customHeight="1" x14ac:dyDescent="0.25">
      <c r="M739" s="211"/>
    </row>
    <row r="740" spans="13:13" ht="24" customHeight="1" x14ac:dyDescent="0.25">
      <c r="M740" s="211"/>
    </row>
    <row r="741" spans="13:13" ht="24" customHeight="1" x14ac:dyDescent="0.25">
      <c r="M741" s="211"/>
    </row>
    <row r="742" spans="13:13" ht="24" customHeight="1" x14ac:dyDescent="0.25">
      <c r="M742" s="211"/>
    </row>
    <row r="743" spans="13:13" ht="24" customHeight="1" x14ac:dyDescent="0.25">
      <c r="M743" s="211"/>
    </row>
    <row r="744" spans="13:13" ht="24" customHeight="1" x14ac:dyDescent="0.25">
      <c r="M744" s="211"/>
    </row>
    <row r="745" spans="13:13" ht="24" customHeight="1" x14ac:dyDescent="0.25">
      <c r="M745" s="211"/>
    </row>
    <row r="746" spans="13:13" ht="24" customHeight="1" x14ac:dyDescent="0.25">
      <c r="M746" s="211"/>
    </row>
    <row r="747" spans="13:13" ht="24" customHeight="1" x14ac:dyDescent="0.25">
      <c r="M747" s="211"/>
    </row>
    <row r="748" spans="13:13" ht="24" customHeight="1" x14ac:dyDescent="0.25">
      <c r="M748" s="211"/>
    </row>
    <row r="749" spans="13:13" ht="24" customHeight="1" x14ac:dyDescent="0.25">
      <c r="M749" s="211"/>
    </row>
    <row r="750" spans="13:13" ht="24" customHeight="1" x14ac:dyDescent="0.25">
      <c r="M750" s="211"/>
    </row>
    <row r="751" spans="13:13" ht="24" customHeight="1" x14ac:dyDescent="0.25">
      <c r="M751" s="211"/>
    </row>
    <row r="752" spans="13:13" ht="24" customHeight="1" x14ac:dyDescent="0.25">
      <c r="M752" s="211"/>
    </row>
    <row r="753" spans="13:13" ht="24" customHeight="1" x14ac:dyDescent="0.25">
      <c r="M753" s="211"/>
    </row>
    <row r="754" spans="13:13" ht="24" customHeight="1" x14ac:dyDescent="0.25">
      <c r="M754" s="211"/>
    </row>
    <row r="755" spans="13:13" ht="24" customHeight="1" x14ac:dyDescent="0.25">
      <c r="M755" s="211"/>
    </row>
    <row r="756" spans="13:13" ht="24" customHeight="1" x14ac:dyDescent="0.25">
      <c r="M756" s="211"/>
    </row>
    <row r="757" spans="13:13" ht="24" customHeight="1" x14ac:dyDescent="0.25">
      <c r="M757" s="211"/>
    </row>
    <row r="758" spans="13:13" ht="24" customHeight="1" x14ac:dyDescent="0.25">
      <c r="M758" s="211"/>
    </row>
    <row r="759" spans="13:13" ht="24" customHeight="1" x14ac:dyDescent="0.25">
      <c r="M759" s="211"/>
    </row>
    <row r="760" spans="13:13" ht="24" customHeight="1" x14ac:dyDescent="0.25">
      <c r="M760" s="211"/>
    </row>
    <row r="761" spans="13:13" ht="24" customHeight="1" x14ac:dyDescent="0.25">
      <c r="M761" s="211"/>
    </row>
    <row r="762" spans="13:13" ht="24" customHeight="1" x14ac:dyDescent="0.25">
      <c r="M762" s="211"/>
    </row>
    <row r="763" spans="13:13" ht="24" customHeight="1" x14ac:dyDescent="0.25">
      <c r="M763" s="211"/>
    </row>
    <row r="764" spans="13:13" ht="24" customHeight="1" x14ac:dyDescent="0.25">
      <c r="M764" s="211"/>
    </row>
    <row r="765" spans="13:13" ht="24" customHeight="1" x14ac:dyDescent="0.25">
      <c r="M765" s="211"/>
    </row>
    <row r="766" spans="13:13" ht="24" customHeight="1" x14ac:dyDescent="0.25">
      <c r="M766" s="211"/>
    </row>
    <row r="767" spans="13:13" ht="24" customHeight="1" x14ac:dyDescent="0.25">
      <c r="M767" s="211"/>
    </row>
    <row r="768" spans="13:13" ht="24" customHeight="1" x14ac:dyDescent="0.25">
      <c r="M768" s="211"/>
    </row>
    <row r="769" spans="13:13" ht="24" customHeight="1" x14ac:dyDescent="0.25">
      <c r="M769" s="211"/>
    </row>
    <row r="770" spans="13:13" ht="24" customHeight="1" x14ac:dyDescent="0.25">
      <c r="M770" s="211"/>
    </row>
    <row r="771" spans="13:13" ht="24" customHeight="1" x14ac:dyDescent="0.25">
      <c r="M771" s="211"/>
    </row>
    <row r="772" spans="13:13" ht="24" customHeight="1" x14ac:dyDescent="0.25">
      <c r="M772" s="211"/>
    </row>
    <row r="773" spans="13:13" ht="24" customHeight="1" x14ac:dyDescent="0.25">
      <c r="M773" s="211"/>
    </row>
    <row r="774" spans="13:13" ht="24" customHeight="1" x14ac:dyDescent="0.25">
      <c r="M774" s="211"/>
    </row>
    <row r="775" spans="13:13" ht="24" customHeight="1" x14ac:dyDescent="0.25">
      <c r="M775" s="211"/>
    </row>
    <row r="776" spans="13:13" ht="24" customHeight="1" x14ac:dyDescent="0.25">
      <c r="M776" s="211"/>
    </row>
    <row r="777" spans="13:13" ht="24" customHeight="1" x14ac:dyDescent="0.25">
      <c r="M777" s="211"/>
    </row>
    <row r="778" spans="13:13" ht="24" customHeight="1" x14ac:dyDescent="0.25">
      <c r="M778" s="211"/>
    </row>
    <row r="779" spans="13:13" ht="24" customHeight="1" x14ac:dyDescent="0.25">
      <c r="M779" s="211"/>
    </row>
    <row r="780" spans="13:13" ht="24" customHeight="1" x14ac:dyDescent="0.25">
      <c r="M780" s="211"/>
    </row>
    <row r="781" spans="13:13" ht="24" customHeight="1" x14ac:dyDescent="0.25">
      <c r="M781" s="211"/>
    </row>
    <row r="782" spans="13:13" ht="24" customHeight="1" x14ac:dyDescent="0.25">
      <c r="M782" s="211"/>
    </row>
    <row r="783" spans="13:13" ht="24" customHeight="1" x14ac:dyDescent="0.25">
      <c r="M783" s="211"/>
    </row>
    <row r="784" spans="13:13" ht="24" customHeight="1" x14ac:dyDescent="0.25">
      <c r="M784" s="211"/>
    </row>
    <row r="785" spans="13:13" ht="24" customHeight="1" x14ac:dyDescent="0.25">
      <c r="M785" s="211"/>
    </row>
    <row r="786" spans="13:13" ht="24" customHeight="1" x14ac:dyDescent="0.25">
      <c r="M786" s="211"/>
    </row>
    <row r="787" spans="13:13" ht="24" customHeight="1" x14ac:dyDescent="0.25">
      <c r="M787" s="211"/>
    </row>
    <row r="788" spans="13:13" ht="24" customHeight="1" x14ac:dyDescent="0.25">
      <c r="M788" s="211"/>
    </row>
    <row r="789" spans="13:13" ht="24" customHeight="1" x14ac:dyDescent="0.25">
      <c r="M789" s="211"/>
    </row>
    <row r="790" spans="13:13" ht="24" customHeight="1" x14ac:dyDescent="0.25">
      <c r="M790" s="211"/>
    </row>
    <row r="791" spans="13:13" ht="24" customHeight="1" x14ac:dyDescent="0.25">
      <c r="M791" s="211"/>
    </row>
    <row r="792" spans="13:13" ht="24" customHeight="1" x14ac:dyDescent="0.25">
      <c r="M792" s="211"/>
    </row>
    <row r="793" spans="13:13" ht="24" customHeight="1" x14ac:dyDescent="0.25">
      <c r="M793" s="211"/>
    </row>
    <row r="794" spans="13:13" ht="24" customHeight="1" x14ac:dyDescent="0.25">
      <c r="M794" s="211"/>
    </row>
    <row r="795" spans="13:13" ht="24" customHeight="1" x14ac:dyDescent="0.25">
      <c r="M795" s="211"/>
    </row>
    <row r="796" spans="13:13" ht="24" customHeight="1" x14ac:dyDescent="0.25">
      <c r="M796" s="211"/>
    </row>
    <row r="797" spans="13:13" ht="24" customHeight="1" x14ac:dyDescent="0.25">
      <c r="M797" s="211"/>
    </row>
    <row r="798" spans="13:13" ht="24" customHeight="1" x14ac:dyDescent="0.25">
      <c r="M798" s="211"/>
    </row>
    <row r="799" spans="13:13" ht="24" customHeight="1" x14ac:dyDescent="0.25">
      <c r="M799" s="211"/>
    </row>
    <row r="800" spans="13:13" ht="24" customHeight="1" x14ac:dyDescent="0.25">
      <c r="M800" s="211"/>
    </row>
    <row r="801" spans="13:13" ht="24" customHeight="1" x14ac:dyDescent="0.25">
      <c r="M801" s="211"/>
    </row>
    <row r="802" spans="13:13" ht="24" customHeight="1" x14ac:dyDescent="0.25">
      <c r="M802" s="211"/>
    </row>
    <row r="803" spans="13:13" ht="24" customHeight="1" x14ac:dyDescent="0.25">
      <c r="M803" s="211"/>
    </row>
    <row r="804" spans="13:13" ht="24" customHeight="1" x14ac:dyDescent="0.25">
      <c r="M804" s="211"/>
    </row>
    <row r="805" spans="13:13" ht="24" customHeight="1" x14ac:dyDescent="0.25">
      <c r="M805" s="211"/>
    </row>
    <row r="806" spans="13:13" ht="24" customHeight="1" x14ac:dyDescent="0.25">
      <c r="M806" s="211"/>
    </row>
    <row r="807" spans="13:13" ht="24" customHeight="1" x14ac:dyDescent="0.25">
      <c r="M807" s="211"/>
    </row>
    <row r="808" spans="13:13" ht="24" customHeight="1" x14ac:dyDescent="0.25">
      <c r="M808" s="211"/>
    </row>
    <row r="809" spans="13:13" ht="24" customHeight="1" x14ac:dyDescent="0.25">
      <c r="M809" s="211"/>
    </row>
    <row r="810" spans="13:13" ht="24" customHeight="1" x14ac:dyDescent="0.25">
      <c r="M810" s="211"/>
    </row>
    <row r="811" spans="13:13" ht="24" customHeight="1" x14ac:dyDescent="0.25">
      <c r="M811" s="211"/>
    </row>
    <row r="812" spans="13:13" ht="24" customHeight="1" x14ac:dyDescent="0.25">
      <c r="M812" s="211"/>
    </row>
    <row r="813" spans="13:13" ht="24" customHeight="1" x14ac:dyDescent="0.25">
      <c r="M813" s="211"/>
    </row>
    <row r="814" spans="13:13" ht="24" customHeight="1" x14ac:dyDescent="0.25">
      <c r="M814" s="211"/>
    </row>
    <row r="815" spans="13:13" ht="24" customHeight="1" x14ac:dyDescent="0.25">
      <c r="M815" s="211"/>
    </row>
    <row r="816" spans="13:13" ht="24" customHeight="1" x14ac:dyDescent="0.25">
      <c r="M816" s="211"/>
    </row>
    <row r="817" spans="13:13" ht="24" customHeight="1" x14ac:dyDescent="0.25">
      <c r="M817" s="211"/>
    </row>
    <row r="818" spans="13:13" ht="24" customHeight="1" x14ac:dyDescent="0.25">
      <c r="M818" s="211"/>
    </row>
    <row r="819" spans="13:13" ht="24" customHeight="1" x14ac:dyDescent="0.25">
      <c r="M819" s="211"/>
    </row>
    <row r="820" spans="13:13" ht="24" customHeight="1" x14ac:dyDescent="0.25">
      <c r="M820" s="211"/>
    </row>
    <row r="821" spans="13:13" ht="24" customHeight="1" x14ac:dyDescent="0.25">
      <c r="M821" s="211"/>
    </row>
    <row r="822" spans="13:13" ht="24" customHeight="1" x14ac:dyDescent="0.25">
      <c r="M822" s="211"/>
    </row>
    <row r="823" spans="13:13" ht="24" customHeight="1" x14ac:dyDescent="0.25">
      <c r="M823" s="211"/>
    </row>
    <row r="824" spans="13:13" ht="24" customHeight="1" x14ac:dyDescent="0.25">
      <c r="M824" s="211"/>
    </row>
    <row r="825" spans="13:13" ht="24" customHeight="1" x14ac:dyDescent="0.25">
      <c r="M825" s="211"/>
    </row>
    <row r="826" spans="13:13" ht="24" customHeight="1" x14ac:dyDescent="0.25">
      <c r="M826" s="211"/>
    </row>
    <row r="827" spans="13:13" ht="24" customHeight="1" x14ac:dyDescent="0.25">
      <c r="M827" s="211"/>
    </row>
    <row r="828" spans="13:13" ht="24" customHeight="1" x14ac:dyDescent="0.25">
      <c r="M828" s="211"/>
    </row>
    <row r="829" spans="13:13" ht="24" customHeight="1" x14ac:dyDescent="0.25">
      <c r="M829" s="211"/>
    </row>
    <row r="830" spans="13:13" ht="24" customHeight="1" x14ac:dyDescent="0.25">
      <c r="M830" s="211"/>
    </row>
    <row r="831" spans="13:13" ht="24" customHeight="1" x14ac:dyDescent="0.25">
      <c r="M831" s="211"/>
    </row>
    <row r="832" spans="13:13" ht="24" customHeight="1" x14ac:dyDescent="0.25">
      <c r="M832" s="211"/>
    </row>
    <row r="833" spans="13:13" ht="24" customHeight="1" x14ac:dyDescent="0.25">
      <c r="M833" s="211"/>
    </row>
    <row r="834" spans="13:13" ht="24" customHeight="1" x14ac:dyDescent="0.25">
      <c r="M834" s="211"/>
    </row>
    <row r="835" spans="13:13" ht="24" customHeight="1" x14ac:dyDescent="0.25">
      <c r="M835" s="211"/>
    </row>
    <row r="836" spans="13:13" ht="24" customHeight="1" x14ac:dyDescent="0.25">
      <c r="M836" s="211"/>
    </row>
    <row r="837" spans="13:13" ht="24" customHeight="1" x14ac:dyDescent="0.25">
      <c r="M837" s="211"/>
    </row>
    <row r="838" spans="13:13" ht="24" customHeight="1" x14ac:dyDescent="0.25">
      <c r="M838" s="211"/>
    </row>
    <row r="839" spans="13:13" ht="24" customHeight="1" x14ac:dyDescent="0.25">
      <c r="M839" s="211"/>
    </row>
    <row r="840" spans="13:13" ht="24" customHeight="1" x14ac:dyDescent="0.25">
      <c r="M840" s="211"/>
    </row>
    <row r="841" spans="13:13" ht="24" customHeight="1" x14ac:dyDescent="0.25">
      <c r="M841" s="211"/>
    </row>
    <row r="842" spans="13:13" ht="24" customHeight="1" x14ac:dyDescent="0.25">
      <c r="M842" s="211"/>
    </row>
    <row r="843" spans="13:13" ht="24" customHeight="1" x14ac:dyDescent="0.25">
      <c r="M843" s="211"/>
    </row>
    <row r="844" spans="13:13" ht="24" customHeight="1" x14ac:dyDescent="0.25">
      <c r="M844" s="211"/>
    </row>
    <row r="845" spans="13:13" ht="24" customHeight="1" x14ac:dyDescent="0.25">
      <c r="M845" s="211"/>
    </row>
    <row r="846" spans="13:13" ht="24" customHeight="1" x14ac:dyDescent="0.25">
      <c r="M846" s="211"/>
    </row>
    <row r="847" spans="13:13" ht="24" customHeight="1" x14ac:dyDescent="0.25">
      <c r="M847" s="211"/>
    </row>
    <row r="848" spans="13:13" ht="24" customHeight="1" x14ac:dyDescent="0.25">
      <c r="M848" s="211"/>
    </row>
    <row r="849" spans="13:13" ht="24" customHeight="1" x14ac:dyDescent="0.25">
      <c r="M849" s="211"/>
    </row>
    <row r="850" spans="13:13" ht="24" customHeight="1" x14ac:dyDescent="0.25">
      <c r="M850" s="211"/>
    </row>
    <row r="851" spans="13:13" ht="24" customHeight="1" x14ac:dyDescent="0.25">
      <c r="M851" s="211"/>
    </row>
    <row r="852" spans="13:13" ht="24" customHeight="1" x14ac:dyDescent="0.25">
      <c r="M852" s="211"/>
    </row>
    <row r="853" spans="13:13" ht="24" customHeight="1" x14ac:dyDescent="0.25">
      <c r="M853" s="211"/>
    </row>
    <row r="854" spans="13:13" ht="24" customHeight="1" x14ac:dyDescent="0.25">
      <c r="M854" s="211"/>
    </row>
    <row r="855" spans="13:13" ht="24" customHeight="1" x14ac:dyDescent="0.25">
      <c r="M855" s="211"/>
    </row>
    <row r="856" spans="13:13" ht="24" customHeight="1" x14ac:dyDescent="0.25">
      <c r="M856" s="211"/>
    </row>
    <row r="857" spans="13:13" ht="24" customHeight="1" x14ac:dyDescent="0.25">
      <c r="M857" s="211"/>
    </row>
    <row r="858" spans="13:13" ht="24" customHeight="1" x14ac:dyDescent="0.25">
      <c r="M858" s="211"/>
    </row>
    <row r="859" spans="13:13" ht="24" customHeight="1" x14ac:dyDescent="0.25">
      <c r="M859" s="211"/>
    </row>
    <row r="860" spans="13:13" ht="24" customHeight="1" x14ac:dyDescent="0.25">
      <c r="M860" s="211"/>
    </row>
    <row r="861" spans="13:13" ht="24" customHeight="1" x14ac:dyDescent="0.25">
      <c r="M861" s="211"/>
    </row>
    <row r="862" spans="13:13" ht="24" customHeight="1" x14ac:dyDescent="0.25">
      <c r="M862" s="211"/>
    </row>
    <row r="863" spans="13:13" ht="24" customHeight="1" x14ac:dyDescent="0.25">
      <c r="M863" s="211"/>
    </row>
    <row r="864" spans="13:13" ht="24" customHeight="1" x14ac:dyDescent="0.25">
      <c r="M864" s="211"/>
    </row>
    <row r="865" spans="13:13" ht="24" customHeight="1" x14ac:dyDescent="0.25">
      <c r="M865" s="211"/>
    </row>
    <row r="866" spans="13:13" ht="24" customHeight="1" x14ac:dyDescent="0.25">
      <c r="M866" s="211"/>
    </row>
    <row r="867" spans="13:13" ht="24" customHeight="1" x14ac:dyDescent="0.25">
      <c r="M867" s="211"/>
    </row>
    <row r="868" spans="13:13" ht="24" customHeight="1" x14ac:dyDescent="0.25">
      <c r="M868" s="211"/>
    </row>
    <row r="869" spans="13:13" ht="24" customHeight="1" x14ac:dyDescent="0.25">
      <c r="M869" s="211"/>
    </row>
    <row r="870" spans="13:13" ht="24" customHeight="1" x14ac:dyDescent="0.25">
      <c r="M870" s="211"/>
    </row>
    <row r="871" spans="13:13" ht="24" customHeight="1" x14ac:dyDescent="0.25">
      <c r="M871" s="211"/>
    </row>
    <row r="872" spans="13:13" ht="24" customHeight="1" x14ac:dyDescent="0.25">
      <c r="M872" s="211"/>
    </row>
    <row r="873" spans="13:13" ht="24" customHeight="1" x14ac:dyDescent="0.25">
      <c r="M873" s="211"/>
    </row>
    <row r="874" spans="13:13" ht="24" customHeight="1" x14ac:dyDescent="0.25">
      <c r="M874" s="211"/>
    </row>
    <row r="875" spans="13:13" ht="24" customHeight="1" x14ac:dyDescent="0.25">
      <c r="M875" s="211"/>
    </row>
    <row r="876" spans="13:13" ht="24" customHeight="1" x14ac:dyDescent="0.25">
      <c r="M876" s="211"/>
    </row>
    <row r="877" spans="13:13" ht="24" customHeight="1" x14ac:dyDescent="0.25">
      <c r="M877" s="211"/>
    </row>
    <row r="878" spans="13:13" ht="24" customHeight="1" x14ac:dyDescent="0.25">
      <c r="M878" s="211"/>
    </row>
    <row r="879" spans="13:13" ht="24" customHeight="1" x14ac:dyDescent="0.25">
      <c r="M879" s="211"/>
    </row>
    <row r="880" spans="13:13" ht="24" customHeight="1" x14ac:dyDescent="0.25">
      <c r="M880" s="211"/>
    </row>
    <row r="881" spans="13:13" ht="24" customHeight="1" x14ac:dyDescent="0.25">
      <c r="M881" s="211"/>
    </row>
    <row r="882" spans="13:13" ht="24" customHeight="1" x14ac:dyDescent="0.25">
      <c r="M882" s="211"/>
    </row>
    <row r="883" spans="13:13" ht="24" customHeight="1" x14ac:dyDescent="0.25">
      <c r="M883" s="211"/>
    </row>
    <row r="884" spans="13:13" ht="24" customHeight="1" x14ac:dyDescent="0.25">
      <c r="M884" s="211"/>
    </row>
    <row r="885" spans="13:13" ht="24" customHeight="1" x14ac:dyDescent="0.25">
      <c r="M885" s="211"/>
    </row>
    <row r="886" spans="13:13" ht="24" customHeight="1" x14ac:dyDescent="0.25">
      <c r="M886" s="211"/>
    </row>
    <row r="887" spans="13:13" ht="24" customHeight="1" x14ac:dyDescent="0.25">
      <c r="M887" s="211"/>
    </row>
    <row r="888" spans="13:13" ht="24" customHeight="1" x14ac:dyDescent="0.25">
      <c r="M888" s="211"/>
    </row>
    <row r="889" spans="13:13" ht="24" customHeight="1" x14ac:dyDescent="0.25">
      <c r="M889" s="211"/>
    </row>
    <row r="890" spans="13:13" ht="24" customHeight="1" x14ac:dyDescent="0.25">
      <c r="M890" s="211"/>
    </row>
    <row r="891" spans="13:13" ht="24" customHeight="1" x14ac:dyDescent="0.25">
      <c r="M891" s="211"/>
    </row>
    <row r="892" spans="13:13" ht="24" customHeight="1" x14ac:dyDescent="0.25">
      <c r="M892" s="211"/>
    </row>
    <row r="893" spans="13:13" ht="24" customHeight="1" x14ac:dyDescent="0.25">
      <c r="M893" s="211"/>
    </row>
    <row r="894" spans="13:13" ht="24" customHeight="1" x14ac:dyDescent="0.25">
      <c r="M894" s="211"/>
    </row>
    <row r="895" spans="13:13" ht="24" customHeight="1" x14ac:dyDescent="0.25">
      <c r="M895" s="211"/>
    </row>
    <row r="896" spans="13:13" ht="24" customHeight="1" x14ac:dyDescent="0.25">
      <c r="M896" s="211"/>
    </row>
    <row r="897" spans="13:13" ht="24" customHeight="1" x14ac:dyDescent="0.25">
      <c r="M897" s="211"/>
    </row>
    <row r="898" spans="13:13" ht="24" customHeight="1" x14ac:dyDescent="0.25">
      <c r="M898" s="211"/>
    </row>
    <row r="899" spans="13:13" ht="24" customHeight="1" x14ac:dyDescent="0.25">
      <c r="M899" s="211"/>
    </row>
    <row r="900" spans="13:13" ht="24" customHeight="1" x14ac:dyDescent="0.25">
      <c r="M900" s="211"/>
    </row>
    <row r="901" spans="13:13" ht="24" customHeight="1" x14ac:dyDescent="0.25">
      <c r="M901" s="211"/>
    </row>
    <row r="902" spans="13:13" ht="24" customHeight="1" x14ac:dyDescent="0.25">
      <c r="M902" s="211"/>
    </row>
    <row r="903" spans="13:13" ht="24" customHeight="1" x14ac:dyDescent="0.25">
      <c r="M903" s="211"/>
    </row>
    <row r="904" spans="13:13" ht="24" customHeight="1" x14ac:dyDescent="0.25">
      <c r="M904" s="211"/>
    </row>
    <row r="905" spans="13:13" ht="24" customHeight="1" x14ac:dyDescent="0.25">
      <c r="M905" s="211"/>
    </row>
    <row r="906" spans="13:13" ht="24" customHeight="1" x14ac:dyDescent="0.25">
      <c r="M906" s="211"/>
    </row>
    <row r="907" spans="13:13" ht="24" customHeight="1" x14ac:dyDescent="0.25">
      <c r="M907" s="211"/>
    </row>
    <row r="908" spans="13:13" ht="24" customHeight="1" x14ac:dyDescent="0.25">
      <c r="M908" s="211"/>
    </row>
    <row r="909" spans="13:13" ht="24" customHeight="1" x14ac:dyDescent="0.25">
      <c r="M909" s="211"/>
    </row>
    <row r="910" spans="13:13" ht="24" customHeight="1" x14ac:dyDescent="0.25">
      <c r="M910" s="211"/>
    </row>
    <row r="911" spans="13:13" ht="24" customHeight="1" x14ac:dyDescent="0.25">
      <c r="M911" s="211"/>
    </row>
    <row r="912" spans="13:13" ht="24" customHeight="1" x14ac:dyDescent="0.25">
      <c r="M912" s="211"/>
    </row>
    <row r="913" spans="13:13" ht="24" customHeight="1" x14ac:dyDescent="0.25">
      <c r="M913" s="211"/>
    </row>
    <row r="914" spans="13:13" ht="24" customHeight="1" x14ac:dyDescent="0.25">
      <c r="M914" s="211"/>
    </row>
    <row r="915" spans="13:13" ht="24" customHeight="1" x14ac:dyDescent="0.25">
      <c r="M915" s="211"/>
    </row>
    <row r="916" spans="13:13" ht="24" customHeight="1" x14ac:dyDescent="0.25">
      <c r="M916" s="211"/>
    </row>
    <row r="917" spans="13:13" ht="24" customHeight="1" x14ac:dyDescent="0.25">
      <c r="M917" s="211"/>
    </row>
    <row r="918" spans="13:13" ht="24" customHeight="1" x14ac:dyDescent="0.25">
      <c r="M918" s="211"/>
    </row>
    <row r="919" spans="13:13" ht="24" customHeight="1" x14ac:dyDescent="0.25">
      <c r="M919" s="211"/>
    </row>
    <row r="920" spans="13:13" ht="24" customHeight="1" x14ac:dyDescent="0.25">
      <c r="M920" s="211"/>
    </row>
    <row r="921" spans="13:13" ht="24" customHeight="1" x14ac:dyDescent="0.25">
      <c r="M921" s="211"/>
    </row>
    <row r="922" spans="13:13" ht="24" customHeight="1" x14ac:dyDescent="0.25">
      <c r="M922" s="211"/>
    </row>
    <row r="923" spans="13:13" ht="24" customHeight="1" x14ac:dyDescent="0.25">
      <c r="M923" s="211"/>
    </row>
    <row r="924" spans="13:13" ht="24" customHeight="1" x14ac:dyDescent="0.25">
      <c r="M924" s="211"/>
    </row>
    <row r="925" spans="13:13" ht="24" customHeight="1" x14ac:dyDescent="0.25">
      <c r="M925" s="211"/>
    </row>
    <row r="926" spans="13:13" ht="24" customHeight="1" x14ac:dyDescent="0.25">
      <c r="M926" s="211"/>
    </row>
    <row r="927" spans="13:13" ht="24" customHeight="1" x14ac:dyDescent="0.25">
      <c r="M927" s="211"/>
    </row>
    <row r="928" spans="13:13" ht="24" customHeight="1" x14ac:dyDescent="0.25">
      <c r="M928" s="211"/>
    </row>
    <row r="929" spans="13:13" ht="24" customHeight="1" x14ac:dyDescent="0.25">
      <c r="M929" s="211"/>
    </row>
    <row r="930" spans="13:13" ht="24" customHeight="1" x14ac:dyDescent="0.25">
      <c r="M930" s="211"/>
    </row>
    <row r="931" spans="13:13" ht="24" customHeight="1" x14ac:dyDescent="0.25">
      <c r="M931" s="211"/>
    </row>
    <row r="932" spans="13:13" ht="24" customHeight="1" x14ac:dyDescent="0.25">
      <c r="M932" s="211"/>
    </row>
    <row r="933" spans="13:13" ht="24" customHeight="1" x14ac:dyDescent="0.25">
      <c r="M933" s="211"/>
    </row>
    <row r="934" spans="13:13" ht="24" customHeight="1" x14ac:dyDescent="0.25">
      <c r="M934" s="211"/>
    </row>
    <row r="935" spans="13:13" ht="24" customHeight="1" x14ac:dyDescent="0.25">
      <c r="M935" s="211"/>
    </row>
    <row r="936" spans="13:13" ht="24" customHeight="1" x14ac:dyDescent="0.25">
      <c r="M936" s="211"/>
    </row>
    <row r="937" spans="13:13" ht="24" customHeight="1" x14ac:dyDescent="0.25">
      <c r="M937" s="211"/>
    </row>
    <row r="938" spans="13:13" ht="24" customHeight="1" x14ac:dyDescent="0.25">
      <c r="M938" s="211"/>
    </row>
    <row r="939" spans="13:13" ht="24" customHeight="1" x14ac:dyDescent="0.25">
      <c r="M939" s="211"/>
    </row>
    <row r="940" spans="13:13" ht="24" customHeight="1" x14ac:dyDescent="0.25">
      <c r="M940" s="211"/>
    </row>
    <row r="941" spans="13:13" ht="24" customHeight="1" x14ac:dyDescent="0.25">
      <c r="M941" s="211"/>
    </row>
    <row r="942" spans="13:13" ht="24" customHeight="1" x14ac:dyDescent="0.25">
      <c r="M942" s="211"/>
    </row>
    <row r="943" spans="13:13" ht="24" customHeight="1" x14ac:dyDescent="0.25">
      <c r="M943" s="211"/>
    </row>
    <row r="944" spans="13:13" ht="24" customHeight="1" x14ac:dyDescent="0.25">
      <c r="M944" s="211"/>
    </row>
    <row r="945" spans="13:13" ht="24" customHeight="1" x14ac:dyDescent="0.25">
      <c r="M945" s="211"/>
    </row>
    <row r="946" spans="13:13" ht="24" customHeight="1" x14ac:dyDescent="0.25">
      <c r="M946" s="211"/>
    </row>
    <row r="947" spans="13:13" ht="24" customHeight="1" x14ac:dyDescent="0.25">
      <c r="M947" s="211"/>
    </row>
    <row r="948" spans="13:13" ht="24" customHeight="1" x14ac:dyDescent="0.25">
      <c r="M948" s="211"/>
    </row>
    <row r="949" spans="13:13" ht="24" customHeight="1" x14ac:dyDescent="0.25">
      <c r="M949" s="211"/>
    </row>
    <row r="950" spans="13:13" ht="24" customHeight="1" x14ac:dyDescent="0.25">
      <c r="M950" s="211"/>
    </row>
    <row r="951" spans="13:13" ht="24" customHeight="1" x14ac:dyDescent="0.25">
      <c r="M951" s="211"/>
    </row>
    <row r="952" spans="13:13" ht="24" customHeight="1" x14ac:dyDescent="0.25">
      <c r="M952" s="211"/>
    </row>
    <row r="953" spans="13:13" ht="24" customHeight="1" x14ac:dyDescent="0.25">
      <c r="M953" s="211"/>
    </row>
    <row r="954" spans="13:13" ht="24" customHeight="1" x14ac:dyDescent="0.25">
      <c r="M954" s="211"/>
    </row>
    <row r="955" spans="13:13" ht="24" customHeight="1" x14ac:dyDescent="0.25">
      <c r="M955" s="211"/>
    </row>
    <row r="956" spans="13:13" ht="24" customHeight="1" x14ac:dyDescent="0.25">
      <c r="M956" s="211"/>
    </row>
    <row r="957" spans="13:13" ht="24" customHeight="1" x14ac:dyDescent="0.25">
      <c r="M957" s="211"/>
    </row>
    <row r="958" spans="13:13" ht="24" customHeight="1" x14ac:dyDescent="0.25">
      <c r="M958" s="211"/>
    </row>
    <row r="959" spans="13:13" ht="24" customHeight="1" x14ac:dyDescent="0.25">
      <c r="M959" s="211"/>
    </row>
    <row r="960" spans="13:13" ht="24" customHeight="1" x14ac:dyDescent="0.25">
      <c r="M960" s="211"/>
    </row>
    <row r="961" spans="13:13" ht="24" customHeight="1" x14ac:dyDescent="0.25">
      <c r="M961" s="211"/>
    </row>
    <row r="962" spans="13:13" ht="24" customHeight="1" x14ac:dyDescent="0.25">
      <c r="M962" s="211"/>
    </row>
    <row r="963" spans="13:13" ht="24" customHeight="1" x14ac:dyDescent="0.25">
      <c r="M963" s="211"/>
    </row>
    <row r="964" spans="13:13" ht="24" customHeight="1" x14ac:dyDescent="0.25">
      <c r="M964" s="211"/>
    </row>
    <row r="965" spans="13:13" ht="24" customHeight="1" x14ac:dyDescent="0.25">
      <c r="M965" s="211"/>
    </row>
    <row r="966" spans="13:13" ht="24" customHeight="1" x14ac:dyDescent="0.25">
      <c r="M966" s="211"/>
    </row>
    <row r="967" spans="13:13" ht="24" customHeight="1" x14ac:dyDescent="0.25">
      <c r="M967" s="211"/>
    </row>
    <row r="968" spans="13:13" ht="24" customHeight="1" x14ac:dyDescent="0.25">
      <c r="M968" s="211"/>
    </row>
    <row r="969" spans="13:13" ht="24" customHeight="1" x14ac:dyDescent="0.25">
      <c r="M969" s="211"/>
    </row>
    <row r="970" spans="13:13" ht="24" customHeight="1" x14ac:dyDescent="0.25">
      <c r="M970" s="211"/>
    </row>
    <row r="971" spans="13:13" ht="24" customHeight="1" x14ac:dyDescent="0.25">
      <c r="M971" s="211"/>
    </row>
    <row r="972" spans="13:13" ht="24" customHeight="1" x14ac:dyDescent="0.25">
      <c r="M972" s="211"/>
    </row>
    <row r="973" spans="13:13" ht="24" customHeight="1" x14ac:dyDescent="0.25">
      <c r="M973" s="211"/>
    </row>
    <row r="974" spans="13:13" ht="24" customHeight="1" x14ac:dyDescent="0.25">
      <c r="M974" s="211"/>
    </row>
    <row r="975" spans="13:13" ht="24" customHeight="1" x14ac:dyDescent="0.25">
      <c r="M975" s="211"/>
    </row>
    <row r="976" spans="13:13" ht="24" customHeight="1" x14ac:dyDescent="0.25">
      <c r="M976" s="211"/>
    </row>
    <row r="977" spans="13:13" ht="24" customHeight="1" x14ac:dyDescent="0.25">
      <c r="M977" s="211"/>
    </row>
    <row r="978" spans="13:13" ht="24" customHeight="1" x14ac:dyDescent="0.25">
      <c r="M978" s="211"/>
    </row>
    <row r="979" spans="13:13" ht="24" customHeight="1" x14ac:dyDescent="0.25">
      <c r="M979" s="211"/>
    </row>
    <row r="980" spans="13:13" ht="24" customHeight="1" x14ac:dyDescent="0.25">
      <c r="M980" s="211"/>
    </row>
    <row r="981" spans="13:13" ht="24" customHeight="1" x14ac:dyDescent="0.25">
      <c r="M981" s="211"/>
    </row>
    <row r="982" spans="13:13" ht="24" customHeight="1" x14ac:dyDescent="0.25">
      <c r="M982" s="211"/>
    </row>
    <row r="983" spans="13:13" ht="24" customHeight="1" x14ac:dyDescent="0.25">
      <c r="M983" s="211"/>
    </row>
    <row r="984" spans="13:13" ht="24" customHeight="1" x14ac:dyDescent="0.25">
      <c r="M984" s="211"/>
    </row>
    <row r="985" spans="13:13" ht="24" customHeight="1" x14ac:dyDescent="0.25">
      <c r="M985" s="211"/>
    </row>
    <row r="986" spans="13:13" ht="24" customHeight="1" x14ac:dyDescent="0.25">
      <c r="M986" s="211"/>
    </row>
    <row r="987" spans="13:13" ht="24" customHeight="1" x14ac:dyDescent="0.25">
      <c r="M987" s="211"/>
    </row>
    <row r="988" spans="13:13" ht="24" customHeight="1" x14ac:dyDescent="0.25">
      <c r="M988" s="211"/>
    </row>
    <row r="989" spans="13:13" ht="24" customHeight="1" x14ac:dyDescent="0.25">
      <c r="M989" s="211"/>
    </row>
    <row r="990" spans="13:13" ht="24" customHeight="1" x14ac:dyDescent="0.25">
      <c r="M990" s="211"/>
    </row>
    <row r="991" spans="13:13" ht="24" customHeight="1" x14ac:dyDescent="0.25">
      <c r="M991" s="211"/>
    </row>
    <row r="992" spans="13:13" ht="24" customHeight="1" x14ac:dyDescent="0.25">
      <c r="M992" s="211"/>
    </row>
    <row r="993" spans="13:13" ht="24" customHeight="1" x14ac:dyDescent="0.25">
      <c r="M993" s="211"/>
    </row>
    <row r="994" spans="13:13" ht="24" customHeight="1" x14ac:dyDescent="0.25">
      <c r="M994" s="211"/>
    </row>
    <row r="995" spans="13:13" ht="24" customHeight="1" x14ac:dyDescent="0.25">
      <c r="M995" s="211"/>
    </row>
    <row r="996" spans="13:13" ht="24" customHeight="1" x14ac:dyDescent="0.25">
      <c r="M996" s="211"/>
    </row>
    <row r="997" spans="13:13" ht="24" customHeight="1" x14ac:dyDescent="0.25">
      <c r="M997" s="211"/>
    </row>
    <row r="998" spans="13:13" ht="24" customHeight="1" x14ac:dyDescent="0.25">
      <c r="M998" s="211"/>
    </row>
    <row r="999" spans="13:13" ht="24" customHeight="1" x14ac:dyDescent="0.25">
      <c r="M999" s="211"/>
    </row>
    <row r="1000" spans="13:13" ht="24" customHeight="1" x14ac:dyDescent="0.25">
      <c r="M1000" s="211"/>
    </row>
    <row r="1001" spans="13:13" ht="24" customHeight="1" x14ac:dyDescent="0.25">
      <c r="M1001" s="211"/>
    </row>
    <row r="1002" spans="13:13" ht="24" customHeight="1" x14ac:dyDescent="0.25">
      <c r="M1002" s="211"/>
    </row>
    <row r="1003" spans="13:13" ht="24" customHeight="1" x14ac:dyDescent="0.25">
      <c r="M1003" s="211"/>
    </row>
    <row r="1004" spans="13:13" ht="24" customHeight="1" x14ac:dyDescent="0.25">
      <c r="M1004" s="211"/>
    </row>
    <row r="1005" spans="13:13" ht="24" customHeight="1" x14ac:dyDescent="0.25">
      <c r="M1005" s="211"/>
    </row>
    <row r="1006" spans="13:13" ht="24" customHeight="1" x14ac:dyDescent="0.25">
      <c r="M1006" s="211"/>
    </row>
    <row r="1007" spans="13:13" ht="24" customHeight="1" x14ac:dyDescent="0.25">
      <c r="M1007" s="211"/>
    </row>
    <row r="1008" spans="13:13" ht="24" customHeight="1" x14ac:dyDescent="0.25">
      <c r="M1008" s="211"/>
    </row>
    <row r="1009" spans="13:13" ht="24" customHeight="1" x14ac:dyDescent="0.25">
      <c r="M1009" s="211"/>
    </row>
    <row r="1010" spans="13:13" ht="24" customHeight="1" x14ac:dyDescent="0.25">
      <c r="M1010" s="211"/>
    </row>
    <row r="1011" spans="13:13" ht="24" customHeight="1" x14ac:dyDescent="0.25">
      <c r="M1011" s="211"/>
    </row>
    <row r="1012" spans="13:13" ht="24" customHeight="1" x14ac:dyDescent="0.25">
      <c r="M1012" s="211"/>
    </row>
    <row r="1013" spans="13:13" ht="24" customHeight="1" x14ac:dyDescent="0.25">
      <c r="M1013" s="211"/>
    </row>
    <row r="1014" spans="13:13" ht="24" customHeight="1" x14ac:dyDescent="0.25">
      <c r="M1014" s="211"/>
    </row>
    <row r="1015" spans="13:13" ht="24" customHeight="1" x14ac:dyDescent="0.25">
      <c r="M1015" s="211"/>
    </row>
    <row r="1016" spans="13:13" ht="24" customHeight="1" x14ac:dyDescent="0.25">
      <c r="M1016" s="211"/>
    </row>
    <row r="1017" spans="13:13" ht="24" customHeight="1" x14ac:dyDescent="0.25">
      <c r="M1017" s="211"/>
    </row>
    <row r="1018" spans="13:13" ht="24" customHeight="1" x14ac:dyDescent="0.25">
      <c r="M1018" s="211"/>
    </row>
    <row r="1019" spans="13:13" ht="24" customHeight="1" x14ac:dyDescent="0.25">
      <c r="M1019" s="211"/>
    </row>
    <row r="1020" spans="13:13" ht="24" customHeight="1" x14ac:dyDescent="0.25">
      <c r="M1020" s="211"/>
    </row>
    <row r="1021" spans="13:13" ht="24" customHeight="1" x14ac:dyDescent="0.25">
      <c r="M1021" s="211"/>
    </row>
    <row r="1022" spans="13:13" ht="24" customHeight="1" x14ac:dyDescent="0.25">
      <c r="M1022" s="211"/>
    </row>
    <row r="1023" spans="13:13" ht="24" customHeight="1" x14ac:dyDescent="0.25">
      <c r="M1023" s="211"/>
    </row>
    <row r="1024" spans="13:13" ht="24" customHeight="1" x14ac:dyDescent="0.25">
      <c r="M1024" s="211"/>
    </row>
    <row r="1025" spans="13:13" ht="24" customHeight="1" x14ac:dyDescent="0.25">
      <c r="M1025" s="211"/>
    </row>
    <row r="1026" spans="13:13" ht="24" customHeight="1" x14ac:dyDescent="0.25">
      <c r="M1026" s="211"/>
    </row>
    <row r="1027" spans="13:13" ht="24" customHeight="1" x14ac:dyDescent="0.25">
      <c r="M1027" s="211"/>
    </row>
    <row r="1028" spans="13:13" ht="24" customHeight="1" x14ac:dyDescent="0.25">
      <c r="M1028" s="211"/>
    </row>
    <row r="1029" spans="13:13" ht="24" customHeight="1" x14ac:dyDescent="0.25">
      <c r="M1029" s="211"/>
    </row>
    <row r="1030" spans="13:13" ht="24" customHeight="1" x14ac:dyDescent="0.25">
      <c r="M1030" s="211"/>
    </row>
    <row r="1031" spans="13:13" ht="24" customHeight="1" x14ac:dyDescent="0.25">
      <c r="M1031" s="211"/>
    </row>
    <row r="1032" spans="13:13" ht="24" customHeight="1" x14ac:dyDescent="0.25">
      <c r="M1032" s="211"/>
    </row>
    <row r="1033" spans="13:13" ht="24" customHeight="1" x14ac:dyDescent="0.25">
      <c r="M1033" s="211"/>
    </row>
    <row r="1034" spans="13:13" ht="24" customHeight="1" x14ac:dyDescent="0.25">
      <c r="M1034" s="211"/>
    </row>
    <row r="1035" spans="13:13" ht="24" customHeight="1" x14ac:dyDescent="0.25">
      <c r="M1035" s="211"/>
    </row>
    <row r="1036" spans="13:13" ht="24" customHeight="1" x14ac:dyDescent="0.25">
      <c r="M1036" s="211"/>
    </row>
    <row r="1037" spans="13:13" ht="24" customHeight="1" x14ac:dyDescent="0.25">
      <c r="M1037" s="211"/>
    </row>
    <row r="1038" spans="13:13" ht="24" customHeight="1" x14ac:dyDescent="0.25">
      <c r="M1038" s="211"/>
    </row>
    <row r="1039" spans="13:13" ht="24" customHeight="1" x14ac:dyDescent="0.25">
      <c r="M1039" s="211"/>
    </row>
    <row r="1040" spans="13:13" ht="24" customHeight="1" x14ac:dyDescent="0.25">
      <c r="M1040" s="211"/>
    </row>
    <row r="1041" spans="13:13" ht="24" customHeight="1" x14ac:dyDescent="0.25">
      <c r="M1041" s="211"/>
    </row>
    <row r="1042" spans="13:13" ht="24" customHeight="1" x14ac:dyDescent="0.25">
      <c r="M1042" s="211"/>
    </row>
    <row r="1043" spans="13:13" ht="24" customHeight="1" x14ac:dyDescent="0.25">
      <c r="M1043" s="211"/>
    </row>
    <row r="1044" spans="13:13" ht="24" customHeight="1" x14ac:dyDescent="0.25">
      <c r="M1044" s="211"/>
    </row>
    <row r="1045" spans="13:13" ht="24" customHeight="1" x14ac:dyDescent="0.25">
      <c r="M1045" s="211"/>
    </row>
    <row r="1046" spans="13:13" ht="24" customHeight="1" x14ac:dyDescent="0.25">
      <c r="M1046" s="211"/>
    </row>
    <row r="1047" spans="13:13" ht="24" customHeight="1" x14ac:dyDescent="0.25">
      <c r="M1047" s="211"/>
    </row>
    <row r="1048" spans="13:13" ht="24" customHeight="1" x14ac:dyDescent="0.25">
      <c r="M1048" s="211"/>
    </row>
    <row r="1049" spans="13:13" ht="24" customHeight="1" x14ac:dyDescent="0.25">
      <c r="M1049" s="211"/>
    </row>
    <row r="1050" spans="13:13" ht="24" customHeight="1" x14ac:dyDescent="0.25">
      <c r="M1050" s="211"/>
    </row>
    <row r="1051" spans="13:13" ht="24" customHeight="1" x14ac:dyDescent="0.25">
      <c r="M1051" s="211"/>
    </row>
    <row r="1052" spans="13:13" ht="24" customHeight="1" x14ac:dyDescent="0.25">
      <c r="M1052" s="211"/>
    </row>
    <row r="1053" spans="13:13" ht="24" customHeight="1" x14ac:dyDescent="0.25">
      <c r="M1053" s="211"/>
    </row>
    <row r="1054" spans="13:13" ht="24" customHeight="1" x14ac:dyDescent="0.25">
      <c r="M1054" s="211"/>
    </row>
    <row r="1055" spans="13:13" ht="24" customHeight="1" x14ac:dyDescent="0.25">
      <c r="M1055" s="211"/>
    </row>
    <row r="1056" spans="13:13" ht="24" customHeight="1" x14ac:dyDescent="0.25">
      <c r="M1056" s="211"/>
    </row>
    <row r="1057" spans="13:13" ht="24" customHeight="1" x14ac:dyDescent="0.25">
      <c r="M1057" s="211"/>
    </row>
    <row r="1058" spans="13:13" ht="24" customHeight="1" x14ac:dyDescent="0.25">
      <c r="M1058" s="211"/>
    </row>
    <row r="1059" spans="13:13" ht="24" customHeight="1" x14ac:dyDescent="0.25">
      <c r="M1059" s="211"/>
    </row>
    <row r="1060" spans="13:13" ht="24" customHeight="1" x14ac:dyDescent="0.25">
      <c r="M1060" s="211"/>
    </row>
    <row r="1061" spans="13:13" ht="24" customHeight="1" x14ac:dyDescent="0.25">
      <c r="M1061" s="211"/>
    </row>
    <row r="1062" spans="13:13" ht="24" customHeight="1" x14ac:dyDescent="0.25">
      <c r="M1062" s="211"/>
    </row>
    <row r="1063" spans="13:13" ht="24" customHeight="1" x14ac:dyDescent="0.25">
      <c r="M1063" s="211"/>
    </row>
    <row r="1064" spans="13:13" ht="24" customHeight="1" x14ac:dyDescent="0.25">
      <c r="M1064" s="211"/>
    </row>
    <row r="1065" spans="13:13" ht="24" customHeight="1" x14ac:dyDescent="0.25">
      <c r="M1065" s="211"/>
    </row>
    <row r="1066" spans="13:13" ht="24" customHeight="1" x14ac:dyDescent="0.25">
      <c r="M1066" s="211"/>
    </row>
    <row r="1067" spans="13:13" ht="24" customHeight="1" x14ac:dyDescent="0.25">
      <c r="M1067" s="211"/>
    </row>
    <row r="1068" spans="13:13" ht="24" customHeight="1" x14ac:dyDescent="0.25">
      <c r="M1068" s="211"/>
    </row>
    <row r="1069" spans="13:13" ht="24" customHeight="1" x14ac:dyDescent="0.25">
      <c r="M1069" s="211"/>
    </row>
    <row r="1070" spans="13:13" ht="24" customHeight="1" x14ac:dyDescent="0.25">
      <c r="M1070" s="211"/>
    </row>
    <row r="1071" spans="13:13" ht="24" customHeight="1" x14ac:dyDescent="0.25">
      <c r="M1071" s="211"/>
    </row>
    <row r="1072" spans="13:13" ht="24" customHeight="1" x14ac:dyDescent="0.25">
      <c r="M1072" s="211"/>
    </row>
    <row r="1073" spans="13:13" ht="24" customHeight="1" x14ac:dyDescent="0.25">
      <c r="M1073" s="211"/>
    </row>
    <row r="1074" spans="13:13" ht="24" customHeight="1" x14ac:dyDescent="0.25">
      <c r="M1074" s="211"/>
    </row>
    <row r="1075" spans="13:13" ht="24" customHeight="1" x14ac:dyDescent="0.25">
      <c r="M1075" s="211"/>
    </row>
    <row r="1076" spans="13:13" ht="24" customHeight="1" x14ac:dyDescent="0.25">
      <c r="M1076" s="211"/>
    </row>
    <row r="1077" spans="13:13" ht="24" customHeight="1" x14ac:dyDescent="0.25">
      <c r="M1077" s="211"/>
    </row>
    <row r="1078" spans="13:13" ht="24" customHeight="1" x14ac:dyDescent="0.25">
      <c r="M1078" s="211"/>
    </row>
    <row r="1079" spans="13:13" ht="24" customHeight="1" x14ac:dyDescent="0.25">
      <c r="M1079" s="211"/>
    </row>
    <row r="1080" spans="13:13" ht="24" customHeight="1" x14ac:dyDescent="0.25">
      <c r="M1080" s="211"/>
    </row>
    <row r="1081" spans="13:13" ht="24" customHeight="1" x14ac:dyDescent="0.25">
      <c r="M1081" s="211"/>
    </row>
    <row r="1082" spans="13:13" ht="24" customHeight="1" x14ac:dyDescent="0.25">
      <c r="M1082" s="211"/>
    </row>
    <row r="1083" spans="13:13" ht="24" customHeight="1" x14ac:dyDescent="0.25">
      <c r="M1083" s="211"/>
    </row>
    <row r="1084" spans="13:13" ht="24" customHeight="1" x14ac:dyDescent="0.25">
      <c r="M1084" s="211"/>
    </row>
    <row r="1085" spans="13:13" ht="24" customHeight="1" x14ac:dyDescent="0.25">
      <c r="M1085" s="211"/>
    </row>
    <row r="1086" spans="13:13" ht="24" customHeight="1" x14ac:dyDescent="0.25">
      <c r="M1086" s="211"/>
    </row>
    <row r="1087" spans="13:13" ht="24" customHeight="1" x14ac:dyDescent="0.25">
      <c r="M1087" s="211"/>
    </row>
    <row r="1088" spans="13:13" ht="24" customHeight="1" x14ac:dyDescent="0.25">
      <c r="M1088" s="211"/>
    </row>
    <row r="1089" spans="13:13" ht="24" customHeight="1" x14ac:dyDescent="0.25">
      <c r="M1089" s="211"/>
    </row>
    <row r="1090" spans="13:13" ht="24" customHeight="1" x14ac:dyDescent="0.25">
      <c r="M1090" s="211"/>
    </row>
    <row r="1091" spans="13:13" ht="24" customHeight="1" x14ac:dyDescent="0.25">
      <c r="M1091" s="211"/>
    </row>
    <row r="1092" spans="13:13" ht="24" customHeight="1" x14ac:dyDescent="0.25">
      <c r="M1092" s="211"/>
    </row>
    <row r="1093" spans="13:13" ht="24" customHeight="1" x14ac:dyDescent="0.25">
      <c r="M1093" s="211"/>
    </row>
    <row r="1094" spans="13:13" ht="24" customHeight="1" x14ac:dyDescent="0.25">
      <c r="M1094" s="211"/>
    </row>
    <row r="1095" spans="13:13" ht="24" customHeight="1" x14ac:dyDescent="0.25">
      <c r="M1095" s="211"/>
    </row>
    <row r="1096" spans="13:13" ht="24" customHeight="1" x14ac:dyDescent="0.25">
      <c r="M1096" s="211"/>
    </row>
    <row r="1097" spans="13:13" ht="24" customHeight="1" x14ac:dyDescent="0.25">
      <c r="M1097" s="211"/>
    </row>
    <row r="1098" spans="13:13" ht="24" customHeight="1" x14ac:dyDescent="0.25">
      <c r="M1098" s="211"/>
    </row>
    <row r="1099" spans="13:13" ht="24" customHeight="1" x14ac:dyDescent="0.25">
      <c r="M1099" s="211"/>
    </row>
    <row r="1100" spans="13:13" ht="24" customHeight="1" x14ac:dyDescent="0.25">
      <c r="M1100" s="211"/>
    </row>
    <row r="1101" spans="13:13" ht="24" customHeight="1" x14ac:dyDescent="0.25">
      <c r="M1101" s="211"/>
    </row>
    <row r="1102" spans="13:13" ht="24" customHeight="1" x14ac:dyDescent="0.25">
      <c r="M1102" s="211"/>
    </row>
    <row r="1103" spans="13:13" ht="24" customHeight="1" x14ac:dyDescent="0.25">
      <c r="M1103" s="211"/>
    </row>
    <row r="1104" spans="13:13" ht="24" customHeight="1" x14ac:dyDescent="0.25">
      <c r="M1104" s="211"/>
    </row>
    <row r="1105" spans="13:13" ht="24" customHeight="1" x14ac:dyDescent="0.25">
      <c r="M1105" s="211"/>
    </row>
    <row r="1106" spans="13:13" ht="24" customHeight="1" x14ac:dyDescent="0.25">
      <c r="M1106" s="211"/>
    </row>
    <row r="1107" spans="13:13" ht="24" customHeight="1" x14ac:dyDescent="0.25">
      <c r="M1107" s="211"/>
    </row>
    <row r="1108" spans="13:13" ht="24" customHeight="1" x14ac:dyDescent="0.25">
      <c r="M1108" s="211"/>
    </row>
    <row r="1109" spans="13:13" ht="24" customHeight="1" x14ac:dyDescent="0.25">
      <c r="M1109" s="211"/>
    </row>
    <row r="1110" spans="13:13" ht="24" customHeight="1" x14ac:dyDescent="0.25">
      <c r="M1110" s="211"/>
    </row>
    <row r="1111" spans="13:13" ht="24" customHeight="1" x14ac:dyDescent="0.25">
      <c r="M1111" s="211"/>
    </row>
    <row r="1112" spans="13:13" ht="24" customHeight="1" x14ac:dyDescent="0.25">
      <c r="M1112" s="211"/>
    </row>
    <row r="1113" spans="13:13" ht="24" customHeight="1" x14ac:dyDescent="0.25">
      <c r="M1113" s="211"/>
    </row>
    <row r="1114" spans="13:13" ht="24" customHeight="1" x14ac:dyDescent="0.25">
      <c r="M1114" s="211"/>
    </row>
    <row r="1115" spans="13:13" ht="24" customHeight="1" x14ac:dyDescent="0.25">
      <c r="M1115" s="211"/>
    </row>
    <row r="1116" spans="13:13" ht="24" customHeight="1" x14ac:dyDescent="0.25">
      <c r="M1116" s="211"/>
    </row>
    <row r="1117" spans="13:13" ht="24" customHeight="1" x14ac:dyDescent="0.25">
      <c r="M1117" s="211"/>
    </row>
    <row r="1118" spans="13:13" ht="24" customHeight="1" x14ac:dyDescent="0.25">
      <c r="M1118" s="211"/>
    </row>
    <row r="1119" spans="13:13" ht="24" customHeight="1" x14ac:dyDescent="0.25">
      <c r="M1119" s="211"/>
    </row>
    <row r="1120" spans="13:13" ht="24" customHeight="1" x14ac:dyDescent="0.25">
      <c r="M1120" s="211"/>
    </row>
    <row r="1121" spans="13:13" x14ac:dyDescent="0.25">
      <c r="M1121" s="211"/>
    </row>
    <row r="1122" spans="13:13" x14ac:dyDescent="0.25">
      <c r="M1122" s="211"/>
    </row>
    <row r="1123" spans="13:13" x14ac:dyDescent="0.25">
      <c r="M1123" s="211"/>
    </row>
    <row r="1124" spans="13:13" x14ac:dyDescent="0.25">
      <c r="M1124" s="211"/>
    </row>
    <row r="1125" spans="13:13" x14ac:dyDescent="0.25">
      <c r="M1125" s="211"/>
    </row>
    <row r="1126" spans="13:13" x14ac:dyDescent="0.25">
      <c r="M1126" s="211"/>
    </row>
    <row r="1127" spans="13:13" x14ac:dyDescent="0.25">
      <c r="M1127" s="211"/>
    </row>
    <row r="1128" spans="13:13" x14ac:dyDescent="0.25">
      <c r="M1128" s="211"/>
    </row>
    <row r="1129" spans="13:13" x14ac:dyDescent="0.25">
      <c r="M1129" s="211"/>
    </row>
    <row r="1130" spans="13:13" x14ac:dyDescent="0.25">
      <c r="M1130" s="211"/>
    </row>
    <row r="1131" spans="13:13" x14ac:dyDescent="0.25">
      <c r="M1131" s="211"/>
    </row>
    <row r="1132" spans="13:13" x14ac:dyDescent="0.25">
      <c r="M1132" s="211"/>
    </row>
    <row r="1133" spans="13:13" x14ac:dyDescent="0.25">
      <c r="M1133" s="211"/>
    </row>
    <row r="1134" spans="13:13" x14ac:dyDescent="0.25">
      <c r="M1134" s="211"/>
    </row>
    <row r="1135" spans="13:13" x14ac:dyDescent="0.25">
      <c r="M1135" s="211"/>
    </row>
    <row r="1136" spans="13:13" x14ac:dyDescent="0.25">
      <c r="M1136" s="211"/>
    </row>
    <row r="1137" spans="13:13" x14ac:dyDescent="0.25">
      <c r="M1137" s="211"/>
    </row>
    <row r="1138" spans="13:13" x14ac:dyDescent="0.25">
      <c r="M1138" s="211"/>
    </row>
    <row r="1139" spans="13:13" x14ac:dyDescent="0.25">
      <c r="M1139" s="211"/>
    </row>
    <row r="1140" spans="13:13" x14ac:dyDescent="0.25">
      <c r="M1140" s="211"/>
    </row>
    <row r="1141" spans="13:13" x14ac:dyDescent="0.25">
      <c r="M1141" s="211"/>
    </row>
    <row r="1142" spans="13:13" x14ac:dyDescent="0.25">
      <c r="M1142" s="211"/>
    </row>
    <row r="1143" spans="13:13" x14ac:dyDescent="0.25">
      <c r="M1143" s="211"/>
    </row>
    <row r="1144" spans="13:13" x14ac:dyDescent="0.25">
      <c r="M1144" s="211"/>
    </row>
    <row r="1145" spans="13:13" x14ac:dyDescent="0.25">
      <c r="M1145" s="211"/>
    </row>
    <row r="1146" spans="13:13" x14ac:dyDescent="0.25">
      <c r="M1146" s="211"/>
    </row>
    <row r="1147" spans="13:13" x14ac:dyDescent="0.25">
      <c r="M1147" s="211"/>
    </row>
    <row r="1148" spans="13:13" x14ac:dyDescent="0.25">
      <c r="M1148" s="211"/>
    </row>
    <row r="1149" spans="13:13" x14ac:dyDescent="0.25">
      <c r="M1149" s="211"/>
    </row>
    <row r="1150" spans="13:13" x14ac:dyDescent="0.25">
      <c r="M1150" s="211"/>
    </row>
    <row r="1151" spans="13:13" x14ac:dyDescent="0.25">
      <c r="M1151" s="211"/>
    </row>
    <row r="1152" spans="13:13" x14ac:dyDescent="0.25">
      <c r="M1152" s="211"/>
    </row>
    <row r="1153" spans="13:13" x14ac:dyDescent="0.25">
      <c r="M1153" s="211"/>
    </row>
    <row r="1154" spans="13:13" x14ac:dyDescent="0.25">
      <c r="M1154" s="211"/>
    </row>
    <row r="1155" spans="13:13" x14ac:dyDescent="0.25">
      <c r="M1155" s="211"/>
    </row>
    <row r="1156" spans="13:13" x14ac:dyDescent="0.25">
      <c r="M1156" s="211"/>
    </row>
    <row r="1157" spans="13:13" x14ac:dyDescent="0.25">
      <c r="M1157" s="211"/>
    </row>
    <row r="1158" spans="13:13" x14ac:dyDescent="0.25">
      <c r="M1158" s="211"/>
    </row>
    <row r="1159" spans="13:13" x14ac:dyDescent="0.25">
      <c r="M1159" s="211"/>
    </row>
    <row r="1160" spans="13:13" x14ac:dyDescent="0.25">
      <c r="M1160" s="211"/>
    </row>
    <row r="1161" spans="13:13" x14ac:dyDescent="0.25">
      <c r="M1161" s="211"/>
    </row>
    <row r="1162" spans="13:13" x14ac:dyDescent="0.25">
      <c r="M1162" s="211"/>
    </row>
    <row r="1163" spans="13:13" x14ac:dyDescent="0.25">
      <c r="M1163" s="211"/>
    </row>
    <row r="1164" spans="13:13" x14ac:dyDescent="0.25">
      <c r="M1164" s="211"/>
    </row>
    <row r="1165" spans="13:13" x14ac:dyDescent="0.25">
      <c r="M1165" s="211"/>
    </row>
    <row r="1166" spans="13:13" x14ac:dyDescent="0.25">
      <c r="M1166" s="211"/>
    </row>
    <row r="1167" spans="13:13" x14ac:dyDescent="0.25">
      <c r="M1167" s="211"/>
    </row>
    <row r="1168" spans="13:13" x14ac:dyDescent="0.25">
      <c r="M1168" s="211"/>
    </row>
    <row r="1169" spans="13:13" x14ac:dyDescent="0.25">
      <c r="M1169" s="211"/>
    </row>
    <row r="1170" spans="13:13" x14ac:dyDescent="0.25">
      <c r="M1170" s="211"/>
    </row>
    <row r="1171" spans="13:13" x14ac:dyDescent="0.25">
      <c r="M1171" s="211"/>
    </row>
    <row r="1172" spans="13:13" x14ac:dyDescent="0.25">
      <c r="M1172" s="211"/>
    </row>
    <row r="1173" spans="13:13" x14ac:dyDescent="0.25">
      <c r="M1173" s="211"/>
    </row>
    <row r="1174" spans="13:13" x14ac:dyDescent="0.25">
      <c r="M1174" s="211"/>
    </row>
    <row r="1175" spans="13:13" x14ac:dyDescent="0.25">
      <c r="M1175" s="211"/>
    </row>
    <row r="1176" spans="13:13" x14ac:dyDescent="0.25">
      <c r="M1176" s="211"/>
    </row>
    <row r="1177" spans="13:13" x14ac:dyDescent="0.25">
      <c r="M1177" s="211"/>
    </row>
    <row r="1178" spans="13:13" x14ac:dyDescent="0.25">
      <c r="M1178" s="211"/>
    </row>
    <row r="1179" spans="13:13" x14ac:dyDescent="0.25">
      <c r="M1179" s="211"/>
    </row>
    <row r="1180" spans="13:13" x14ac:dyDescent="0.25">
      <c r="M1180" s="211"/>
    </row>
    <row r="1181" spans="13:13" x14ac:dyDescent="0.25">
      <c r="M1181" s="211"/>
    </row>
    <row r="1182" spans="13:13" x14ac:dyDescent="0.25">
      <c r="M1182" s="211"/>
    </row>
    <row r="1183" spans="13:13" x14ac:dyDescent="0.25">
      <c r="M1183" s="211"/>
    </row>
    <row r="1184" spans="13:13" x14ac:dyDescent="0.25">
      <c r="M1184" s="211"/>
    </row>
    <row r="1185" spans="13:13" x14ac:dyDescent="0.25">
      <c r="M1185" s="211"/>
    </row>
    <row r="1186" spans="13:13" x14ac:dyDescent="0.25">
      <c r="M1186" s="211"/>
    </row>
    <row r="1187" spans="13:13" x14ac:dyDescent="0.25">
      <c r="M1187" s="211"/>
    </row>
    <row r="1188" spans="13:13" x14ac:dyDescent="0.25">
      <c r="M1188" s="211"/>
    </row>
    <row r="1189" spans="13:13" x14ac:dyDescent="0.25">
      <c r="M1189" s="211"/>
    </row>
    <row r="1190" spans="13:13" x14ac:dyDescent="0.25">
      <c r="M1190" s="211"/>
    </row>
    <row r="1191" spans="13:13" x14ac:dyDescent="0.25">
      <c r="M1191" s="211"/>
    </row>
    <row r="1192" spans="13:13" x14ac:dyDescent="0.25">
      <c r="M1192" s="211"/>
    </row>
    <row r="1193" spans="13:13" x14ac:dyDescent="0.25">
      <c r="M1193" s="211"/>
    </row>
    <row r="1194" spans="13:13" x14ac:dyDescent="0.25">
      <c r="M1194" s="211"/>
    </row>
    <row r="1195" spans="13:13" x14ac:dyDescent="0.25">
      <c r="M1195" s="211"/>
    </row>
    <row r="1196" spans="13:13" x14ac:dyDescent="0.25">
      <c r="M1196" s="211"/>
    </row>
    <row r="1197" spans="13:13" x14ac:dyDescent="0.25">
      <c r="M1197" s="211"/>
    </row>
    <row r="1198" spans="13:13" x14ac:dyDescent="0.25">
      <c r="M1198" s="211"/>
    </row>
    <row r="1199" spans="13:13" x14ac:dyDescent="0.25">
      <c r="M1199" s="211"/>
    </row>
    <row r="1200" spans="13:13" x14ac:dyDescent="0.25">
      <c r="M1200" s="211"/>
    </row>
    <row r="1201" spans="13:13" x14ac:dyDescent="0.25">
      <c r="M1201" s="211"/>
    </row>
    <row r="1202" spans="13:13" x14ac:dyDescent="0.25">
      <c r="M1202" s="211"/>
    </row>
    <row r="1203" spans="13:13" x14ac:dyDescent="0.25">
      <c r="M1203" s="211"/>
    </row>
    <row r="1204" spans="13:13" x14ac:dyDescent="0.25">
      <c r="M1204" s="211"/>
    </row>
    <row r="1205" spans="13:13" x14ac:dyDescent="0.25">
      <c r="M1205" s="211"/>
    </row>
    <row r="1206" spans="13:13" x14ac:dyDescent="0.25">
      <c r="M1206" s="211"/>
    </row>
    <row r="1207" spans="13:13" x14ac:dyDescent="0.25">
      <c r="M1207" s="211"/>
    </row>
    <row r="1208" spans="13:13" x14ac:dyDescent="0.25">
      <c r="M1208" s="211"/>
    </row>
    <row r="1209" spans="13:13" x14ac:dyDescent="0.25">
      <c r="M1209" s="211"/>
    </row>
    <row r="1210" spans="13:13" x14ac:dyDescent="0.25">
      <c r="M1210" s="211"/>
    </row>
    <row r="1211" spans="13:13" x14ac:dyDescent="0.25">
      <c r="M1211" s="211"/>
    </row>
    <row r="1212" spans="13:13" x14ac:dyDescent="0.25">
      <c r="M1212" s="211"/>
    </row>
    <row r="1213" spans="13:13" x14ac:dyDescent="0.25">
      <c r="M1213" s="211"/>
    </row>
    <row r="1214" spans="13:13" x14ac:dyDescent="0.25">
      <c r="M1214" s="211"/>
    </row>
    <row r="1215" spans="13:13" x14ac:dyDescent="0.25">
      <c r="M1215" s="211"/>
    </row>
    <row r="1216" spans="13:13" x14ac:dyDescent="0.25">
      <c r="M1216" s="211"/>
    </row>
    <row r="1217" spans="13:13" x14ac:dyDescent="0.25">
      <c r="M1217" s="211"/>
    </row>
    <row r="1218" spans="13:13" x14ac:dyDescent="0.25">
      <c r="M1218" s="211"/>
    </row>
    <row r="1219" spans="13:13" x14ac:dyDescent="0.25">
      <c r="M1219" s="211"/>
    </row>
    <row r="1220" spans="13:13" x14ac:dyDescent="0.25">
      <c r="M1220" s="211"/>
    </row>
    <row r="1221" spans="13:13" x14ac:dyDescent="0.25">
      <c r="M1221" s="211"/>
    </row>
    <row r="1222" spans="13:13" x14ac:dyDescent="0.25">
      <c r="M1222" s="211"/>
    </row>
    <row r="1223" spans="13:13" x14ac:dyDescent="0.25">
      <c r="M1223" s="211"/>
    </row>
    <row r="1224" spans="13:13" x14ac:dyDescent="0.25">
      <c r="M1224" s="211"/>
    </row>
    <row r="1225" spans="13:13" x14ac:dyDescent="0.25">
      <c r="M1225" s="211"/>
    </row>
    <row r="1226" spans="13:13" x14ac:dyDescent="0.25">
      <c r="M1226" s="211"/>
    </row>
    <row r="1227" spans="13:13" x14ac:dyDescent="0.25">
      <c r="M1227" s="211"/>
    </row>
    <row r="1228" spans="13:13" x14ac:dyDescent="0.25">
      <c r="M1228" s="211"/>
    </row>
    <row r="1229" spans="13:13" x14ac:dyDescent="0.25">
      <c r="M1229" s="211"/>
    </row>
    <row r="1230" spans="13:13" x14ac:dyDescent="0.25">
      <c r="M1230" s="211"/>
    </row>
    <row r="1231" spans="13:13" x14ac:dyDescent="0.25">
      <c r="M1231" s="211"/>
    </row>
    <row r="1232" spans="13:13" x14ac:dyDescent="0.25">
      <c r="M1232" s="211"/>
    </row>
    <row r="1233" spans="13:13" x14ac:dyDescent="0.25">
      <c r="M1233" s="211"/>
    </row>
    <row r="1234" spans="13:13" x14ac:dyDescent="0.25">
      <c r="M1234" s="211"/>
    </row>
    <row r="1235" spans="13:13" x14ac:dyDescent="0.25">
      <c r="M1235" s="211"/>
    </row>
    <row r="1236" spans="13:13" x14ac:dyDescent="0.25">
      <c r="M1236" s="211"/>
    </row>
    <row r="1237" spans="13:13" x14ac:dyDescent="0.25">
      <c r="M1237" s="211"/>
    </row>
    <row r="1238" spans="13:13" x14ac:dyDescent="0.25">
      <c r="M1238" s="211"/>
    </row>
    <row r="1239" spans="13:13" x14ac:dyDescent="0.25">
      <c r="M1239" s="211"/>
    </row>
    <row r="1240" spans="13:13" x14ac:dyDescent="0.25">
      <c r="M1240" s="211"/>
    </row>
    <row r="1241" spans="13:13" x14ac:dyDescent="0.25">
      <c r="M1241" s="211"/>
    </row>
    <row r="1242" spans="13:13" x14ac:dyDescent="0.25">
      <c r="M1242" s="211"/>
    </row>
    <row r="1243" spans="13:13" x14ac:dyDescent="0.25">
      <c r="M1243" s="211"/>
    </row>
    <row r="1244" spans="13:13" x14ac:dyDescent="0.25">
      <c r="M1244" s="211"/>
    </row>
    <row r="1245" spans="13:13" x14ac:dyDescent="0.25">
      <c r="M1245" s="211"/>
    </row>
    <row r="1246" spans="13:13" x14ac:dyDescent="0.25">
      <c r="M1246" s="211"/>
    </row>
    <row r="1247" spans="13:13" x14ac:dyDescent="0.25">
      <c r="M1247" s="211"/>
    </row>
    <row r="1248" spans="13:13" x14ac:dyDescent="0.25">
      <c r="M1248" s="211"/>
    </row>
    <row r="1249" spans="13:13" x14ac:dyDescent="0.25">
      <c r="M1249" s="211"/>
    </row>
    <row r="1250" spans="13:13" x14ac:dyDescent="0.25">
      <c r="M1250" s="211"/>
    </row>
    <row r="1251" spans="13:13" x14ac:dyDescent="0.25">
      <c r="M1251" s="211"/>
    </row>
    <row r="1252" spans="13:13" x14ac:dyDescent="0.25">
      <c r="M1252" s="211"/>
    </row>
    <row r="1253" spans="13:13" x14ac:dyDescent="0.25">
      <c r="M1253" s="211"/>
    </row>
    <row r="1254" spans="13:13" x14ac:dyDescent="0.25">
      <c r="M1254" s="211"/>
    </row>
    <row r="1255" spans="13:13" x14ac:dyDescent="0.25">
      <c r="M1255" s="211"/>
    </row>
    <row r="1256" spans="13:13" x14ac:dyDescent="0.25">
      <c r="M1256" s="211"/>
    </row>
    <row r="1257" spans="13:13" x14ac:dyDescent="0.25">
      <c r="M1257" s="211"/>
    </row>
    <row r="1258" spans="13:13" x14ac:dyDescent="0.25">
      <c r="M1258" s="211"/>
    </row>
    <row r="1259" spans="13:13" x14ac:dyDescent="0.25">
      <c r="M1259" s="211"/>
    </row>
    <row r="1260" spans="13:13" x14ac:dyDescent="0.25">
      <c r="M1260" s="211"/>
    </row>
    <row r="1261" spans="13:13" x14ac:dyDescent="0.25">
      <c r="M1261" s="211"/>
    </row>
    <row r="1262" spans="13:13" x14ac:dyDescent="0.25">
      <c r="M1262" s="211"/>
    </row>
    <row r="1263" spans="13:13" x14ac:dyDescent="0.25">
      <c r="M1263" s="211"/>
    </row>
    <row r="1264" spans="13:13" x14ac:dyDescent="0.25">
      <c r="M1264" s="211"/>
    </row>
    <row r="1265" spans="13:13" x14ac:dyDescent="0.25">
      <c r="M1265" s="211"/>
    </row>
    <row r="1266" spans="13:13" x14ac:dyDescent="0.25">
      <c r="M1266" s="211"/>
    </row>
    <row r="1267" spans="13:13" x14ac:dyDescent="0.25">
      <c r="M1267" s="211"/>
    </row>
    <row r="1268" spans="13:13" x14ac:dyDescent="0.25">
      <c r="M1268" s="211"/>
    </row>
    <row r="1269" spans="13:13" x14ac:dyDescent="0.25">
      <c r="M1269" s="211"/>
    </row>
    <row r="1270" spans="13:13" x14ac:dyDescent="0.25">
      <c r="M1270" s="211"/>
    </row>
    <row r="1271" spans="13:13" x14ac:dyDescent="0.25">
      <c r="M1271" s="211"/>
    </row>
    <row r="1272" spans="13:13" x14ac:dyDescent="0.25">
      <c r="M1272" s="211"/>
    </row>
    <row r="1273" spans="13:13" x14ac:dyDescent="0.25">
      <c r="M1273" s="211"/>
    </row>
    <row r="1274" spans="13:13" x14ac:dyDescent="0.25">
      <c r="M1274" s="211"/>
    </row>
    <row r="1275" spans="13:13" x14ac:dyDescent="0.25">
      <c r="M1275" s="211"/>
    </row>
    <row r="1276" spans="13:13" x14ac:dyDescent="0.25">
      <c r="M1276" s="211"/>
    </row>
    <row r="1277" spans="13:13" x14ac:dyDescent="0.25">
      <c r="M1277" s="211"/>
    </row>
    <row r="1278" spans="13:13" x14ac:dyDescent="0.25">
      <c r="M1278" s="211"/>
    </row>
    <row r="1279" spans="13:13" x14ac:dyDescent="0.25">
      <c r="M1279" s="211"/>
    </row>
    <row r="1280" spans="13:13" x14ac:dyDescent="0.25">
      <c r="M1280" s="211"/>
    </row>
    <row r="1281" spans="13:13" x14ac:dyDescent="0.25">
      <c r="M1281" s="211"/>
    </row>
    <row r="1282" spans="13:13" x14ac:dyDescent="0.25">
      <c r="M1282" s="211"/>
    </row>
    <row r="1283" spans="13:13" x14ac:dyDescent="0.25">
      <c r="M1283" s="211"/>
    </row>
    <row r="1284" spans="13:13" x14ac:dyDescent="0.25">
      <c r="M1284" s="211"/>
    </row>
    <row r="1285" spans="13:13" x14ac:dyDescent="0.25">
      <c r="M1285" s="211"/>
    </row>
    <row r="1286" spans="13:13" x14ac:dyDescent="0.25">
      <c r="M1286" s="211"/>
    </row>
    <row r="1287" spans="13:13" x14ac:dyDescent="0.25">
      <c r="M1287" s="211"/>
    </row>
    <row r="1288" spans="13:13" x14ac:dyDescent="0.25">
      <c r="M1288" s="211"/>
    </row>
    <row r="1289" spans="13:13" x14ac:dyDescent="0.25">
      <c r="M1289" s="211"/>
    </row>
    <row r="1290" spans="13:13" x14ac:dyDescent="0.25">
      <c r="M1290" s="211"/>
    </row>
    <row r="1291" spans="13:13" x14ac:dyDescent="0.25">
      <c r="M1291" s="211"/>
    </row>
    <row r="1292" spans="13:13" x14ac:dyDescent="0.25">
      <c r="M1292" s="211"/>
    </row>
    <row r="1293" spans="13:13" x14ac:dyDescent="0.25">
      <c r="M1293" s="211"/>
    </row>
    <row r="1294" spans="13:13" x14ac:dyDescent="0.25">
      <c r="M1294" s="211"/>
    </row>
    <row r="1295" spans="13:13" x14ac:dyDescent="0.25">
      <c r="M1295" s="211"/>
    </row>
    <row r="1296" spans="13:13" x14ac:dyDescent="0.25">
      <c r="M1296" s="211"/>
    </row>
    <row r="1297" spans="13:13" x14ac:dyDescent="0.25">
      <c r="M1297" s="211"/>
    </row>
    <row r="1298" spans="13:13" x14ac:dyDescent="0.25">
      <c r="M1298" s="211"/>
    </row>
    <row r="1299" spans="13:13" x14ac:dyDescent="0.25">
      <c r="M1299" s="211"/>
    </row>
    <row r="1300" spans="13:13" x14ac:dyDescent="0.25">
      <c r="M1300" s="211"/>
    </row>
    <row r="1301" spans="13:13" x14ac:dyDescent="0.25">
      <c r="M1301" s="211"/>
    </row>
    <row r="1302" spans="13:13" x14ac:dyDescent="0.25">
      <c r="M1302" s="211"/>
    </row>
    <row r="1303" spans="13:13" x14ac:dyDescent="0.25">
      <c r="M1303" s="211"/>
    </row>
    <row r="1304" spans="13:13" x14ac:dyDescent="0.25">
      <c r="M1304" s="211"/>
    </row>
    <row r="1305" spans="13:13" x14ac:dyDescent="0.25">
      <c r="M1305" s="211"/>
    </row>
    <row r="1306" spans="13:13" x14ac:dyDescent="0.25">
      <c r="M1306" s="211"/>
    </row>
    <row r="1307" spans="13:13" x14ac:dyDescent="0.25">
      <c r="M1307" s="211"/>
    </row>
    <row r="1308" spans="13:13" x14ac:dyDescent="0.25">
      <c r="M1308" s="211"/>
    </row>
    <row r="1309" spans="13:13" x14ac:dyDescent="0.25">
      <c r="M1309" s="211"/>
    </row>
    <row r="1310" spans="13:13" x14ac:dyDescent="0.25">
      <c r="M1310" s="211"/>
    </row>
    <row r="1311" spans="13:13" x14ac:dyDescent="0.25">
      <c r="M1311" s="211"/>
    </row>
    <row r="1312" spans="13:13" x14ac:dyDescent="0.25">
      <c r="M1312" s="211"/>
    </row>
    <row r="1313" spans="13:13" x14ac:dyDescent="0.25">
      <c r="M1313" s="211"/>
    </row>
    <row r="1314" spans="13:13" x14ac:dyDescent="0.25">
      <c r="M1314" s="211"/>
    </row>
    <row r="1315" spans="13:13" x14ac:dyDescent="0.25">
      <c r="M1315" s="211"/>
    </row>
    <row r="1316" spans="13:13" x14ac:dyDescent="0.25">
      <c r="M1316" s="211"/>
    </row>
    <row r="1317" spans="13:13" x14ac:dyDescent="0.25">
      <c r="M1317" s="211"/>
    </row>
    <row r="1318" spans="13:13" x14ac:dyDescent="0.25">
      <c r="M1318" s="211"/>
    </row>
    <row r="1319" spans="13:13" x14ac:dyDescent="0.25">
      <c r="M1319" s="211"/>
    </row>
    <row r="1320" spans="13:13" x14ac:dyDescent="0.25">
      <c r="M1320" s="211"/>
    </row>
    <row r="1321" spans="13:13" x14ac:dyDescent="0.25">
      <c r="M1321" s="211"/>
    </row>
    <row r="1322" spans="13:13" x14ac:dyDescent="0.25">
      <c r="M1322" s="211"/>
    </row>
    <row r="1323" spans="13:13" x14ac:dyDescent="0.25">
      <c r="M1323" s="211"/>
    </row>
    <row r="1324" spans="13:13" x14ac:dyDescent="0.25">
      <c r="M1324" s="211"/>
    </row>
    <row r="1325" spans="13:13" x14ac:dyDescent="0.25">
      <c r="M1325" s="211"/>
    </row>
    <row r="1326" spans="13:13" x14ac:dyDescent="0.25">
      <c r="M1326" s="211"/>
    </row>
    <row r="1327" spans="13:13" x14ac:dyDescent="0.25">
      <c r="M1327" s="211"/>
    </row>
    <row r="1328" spans="13:13" x14ac:dyDescent="0.25">
      <c r="M1328" s="211"/>
    </row>
    <row r="1329" spans="13:13" x14ac:dyDescent="0.25">
      <c r="M1329" s="211"/>
    </row>
    <row r="1330" spans="13:13" x14ac:dyDescent="0.25">
      <c r="M1330" s="211"/>
    </row>
    <row r="1331" spans="13:13" x14ac:dyDescent="0.25">
      <c r="M1331" s="211"/>
    </row>
    <row r="1332" spans="13:13" x14ac:dyDescent="0.25">
      <c r="M1332" s="211"/>
    </row>
    <row r="1333" spans="13:13" x14ac:dyDescent="0.25">
      <c r="M1333" s="211"/>
    </row>
    <row r="1334" spans="13:13" x14ac:dyDescent="0.25">
      <c r="M1334" s="211"/>
    </row>
    <row r="1335" spans="13:13" x14ac:dyDescent="0.25">
      <c r="M1335" s="211"/>
    </row>
    <row r="1336" spans="13:13" x14ac:dyDescent="0.25">
      <c r="M1336" s="211"/>
    </row>
    <row r="1337" spans="13:13" x14ac:dyDescent="0.25">
      <c r="M1337" s="211"/>
    </row>
    <row r="1338" spans="13:13" x14ac:dyDescent="0.25">
      <c r="M1338" s="211"/>
    </row>
    <row r="1339" spans="13:13" x14ac:dyDescent="0.25">
      <c r="M1339" s="211"/>
    </row>
    <row r="1340" spans="13:13" x14ac:dyDescent="0.25">
      <c r="M1340" s="211"/>
    </row>
    <row r="1341" spans="13:13" x14ac:dyDescent="0.25">
      <c r="M1341" s="211"/>
    </row>
    <row r="1342" spans="13:13" x14ac:dyDescent="0.25">
      <c r="M1342" s="211"/>
    </row>
    <row r="1343" spans="13:13" x14ac:dyDescent="0.25">
      <c r="M1343" s="211"/>
    </row>
    <row r="1344" spans="13:13" x14ac:dyDescent="0.25">
      <c r="M1344" s="211"/>
    </row>
    <row r="1345" spans="13:13" x14ac:dyDescent="0.25">
      <c r="M1345" s="211"/>
    </row>
    <row r="1346" spans="13:13" x14ac:dyDescent="0.25">
      <c r="M1346" s="211"/>
    </row>
    <row r="1347" spans="13:13" x14ac:dyDescent="0.25">
      <c r="M1347" s="211"/>
    </row>
    <row r="1348" spans="13:13" x14ac:dyDescent="0.25">
      <c r="M1348" s="211"/>
    </row>
    <row r="1349" spans="13:13" x14ac:dyDescent="0.25">
      <c r="M1349" s="211"/>
    </row>
    <row r="1350" spans="13:13" x14ac:dyDescent="0.25">
      <c r="M1350" s="211"/>
    </row>
    <row r="1351" spans="13:13" x14ac:dyDescent="0.25">
      <c r="M1351" s="211"/>
    </row>
    <row r="1352" spans="13:13" x14ac:dyDescent="0.25">
      <c r="M1352" s="211"/>
    </row>
    <row r="1353" spans="13:13" x14ac:dyDescent="0.25">
      <c r="M1353" s="211"/>
    </row>
    <row r="1354" spans="13:13" x14ac:dyDescent="0.25">
      <c r="M1354" s="211"/>
    </row>
    <row r="1355" spans="13:13" x14ac:dyDescent="0.25">
      <c r="M1355" s="211"/>
    </row>
    <row r="1356" spans="13:13" x14ac:dyDescent="0.25">
      <c r="M1356" s="211"/>
    </row>
    <row r="1357" spans="13:13" x14ac:dyDescent="0.25">
      <c r="M1357" s="211"/>
    </row>
    <row r="1358" spans="13:13" x14ac:dyDescent="0.25">
      <c r="M1358" s="211"/>
    </row>
    <row r="1359" spans="13:13" x14ac:dyDescent="0.25">
      <c r="M1359" s="211"/>
    </row>
    <row r="1360" spans="13:13" x14ac:dyDescent="0.25">
      <c r="M1360" s="211"/>
    </row>
    <row r="1361" spans="13:13" x14ac:dyDescent="0.25">
      <c r="M1361" s="211"/>
    </row>
    <row r="1362" spans="13:13" x14ac:dyDescent="0.25">
      <c r="M1362" s="211"/>
    </row>
    <row r="1363" spans="13:13" x14ac:dyDescent="0.25">
      <c r="M1363" s="211"/>
    </row>
    <row r="1364" spans="13:13" x14ac:dyDescent="0.25">
      <c r="M1364" s="211"/>
    </row>
    <row r="1365" spans="13:13" x14ac:dyDescent="0.25">
      <c r="M1365" s="211"/>
    </row>
    <row r="1366" spans="13:13" x14ac:dyDescent="0.25">
      <c r="M1366" s="211"/>
    </row>
    <row r="1367" spans="13:13" x14ac:dyDescent="0.25">
      <c r="M1367" s="211"/>
    </row>
    <row r="1368" spans="13:13" x14ac:dyDescent="0.25">
      <c r="M1368" s="211"/>
    </row>
    <row r="1369" spans="13:13" x14ac:dyDescent="0.25">
      <c r="M1369" s="211"/>
    </row>
    <row r="1370" spans="13:13" x14ac:dyDescent="0.25">
      <c r="M1370" s="211"/>
    </row>
    <row r="1371" spans="13:13" x14ac:dyDescent="0.25">
      <c r="M1371" s="211"/>
    </row>
    <row r="1372" spans="13:13" x14ac:dyDescent="0.25">
      <c r="M1372" s="211"/>
    </row>
    <row r="1373" spans="13:13" x14ac:dyDescent="0.25">
      <c r="M1373" s="211"/>
    </row>
    <row r="1374" spans="13:13" x14ac:dyDescent="0.25">
      <c r="M1374" s="211"/>
    </row>
    <row r="1375" spans="13:13" x14ac:dyDescent="0.25">
      <c r="M1375" s="211"/>
    </row>
    <row r="1376" spans="13:13" x14ac:dyDescent="0.25">
      <c r="M1376" s="211"/>
    </row>
    <row r="1377" spans="13:13" x14ac:dyDescent="0.25">
      <c r="M1377" s="211"/>
    </row>
    <row r="1378" spans="13:13" x14ac:dyDescent="0.25">
      <c r="M1378" s="211"/>
    </row>
    <row r="1379" spans="13:13" x14ac:dyDescent="0.25">
      <c r="M1379" s="211"/>
    </row>
    <row r="1380" spans="13:13" x14ac:dyDescent="0.25">
      <c r="M1380" s="211"/>
    </row>
    <row r="1381" spans="13:13" x14ac:dyDescent="0.25">
      <c r="M1381" s="211"/>
    </row>
    <row r="1382" spans="13:13" x14ac:dyDescent="0.25">
      <c r="M1382" s="211"/>
    </row>
    <row r="1383" spans="13:13" x14ac:dyDescent="0.25">
      <c r="M1383" s="211"/>
    </row>
    <row r="1384" spans="13:13" x14ac:dyDescent="0.25">
      <c r="M1384" s="211"/>
    </row>
    <row r="1385" spans="13:13" x14ac:dyDescent="0.25">
      <c r="M1385" s="211"/>
    </row>
    <row r="1386" spans="13:13" x14ac:dyDescent="0.25">
      <c r="M1386" s="211"/>
    </row>
    <row r="1387" spans="13:13" x14ac:dyDescent="0.25">
      <c r="M1387" s="211"/>
    </row>
    <row r="1388" spans="13:13" x14ac:dyDescent="0.25">
      <c r="M1388" s="211"/>
    </row>
    <row r="1389" spans="13:13" x14ac:dyDescent="0.25">
      <c r="M1389" s="211"/>
    </row>
    <row r="1390" spans="13:13" x14ac:dyDescent="0.25">
      <c r="M1390" s="211"/>
    </row>
    <row r="1391" spans="13:13" x14ac:dyDescent="0.25">
      <c r="M1391" s="211"/>
    </row>
    <row r="1392" spans="13:13" x14ac:dyDescent="0.25">
      <c r="M1392" s="211"/>
    </row>
    <row r="1393" spans="13:13" x14ac:dyDescent="0.25">
      <c r="M1393" s="211"/>
    </row>
    <row r="1394" spans="13:13" x14ac:dyDescent="0.25">
      <c r="M1394" s="211"/>
    </row>
    <row r="1395" spans="13:13" x14ac:dyDescent="0.25">
      <c r="M1395" s="211"/>
    </row>
    <row r="1396" spans="13:13" x14ac:dyDescent="0.25">
      <c r="M1396" s="211"/>
    </row>
    <row r="1397" spans="13:13" x14ac:dyDescent="0.25">
      <c r="M1397" s="211"/>
    </row>
    <row r="1398" spans="13:13" x14ac:dyDescent="0.25">
      <c r="M1398" s="211"/>
    </row>
    <row r="1399" spans="13:13" x14ac:dyDescent="0.25">
      <c r="M1399" s="211"/>
    </row>
    <row r="1400" spans="13:13" x14ac:dyDescent="0.25">
      <c r="M1400" s="211"/>
    </row>
    <row r="1401" spans="13:13" x14ac:dyDescent="0.25">
      <c r="M1401" s="211"/>
    </row>
    <row r="1402" spans="13:13" x14ac:dyDescent="0.25">
      <c r="M1402" s="211"/>
    </row>
    <row r="1403" spans="13:13" x14ac:dyDescent="0.25">
      <c r="M1403" s="211"/>
    </row>
    <row r="1404" spans="13:13" x14ac:dyDescent="0.25">
      <c r="M1404" s="211"/>
    </row>
    <row r="1405" spans="13:13" x14ac:dyDescent="0.25">
      <c r="M1405" s="211"/>
    </row>
    <row r="1406" spans="13:13" x14ac:dyDescent="0.25">
      <c r="M1406" s="211"/>
    </row>
    <row r="1407" spans="13:13" x14ac:dyDescent="0.25">
      <c r="M1407" s="211"/>
    </row>
    <row r="1408" spans="13:13" x14ac:dyDescent="0.25">
      <c r="M1408" s="211"/>
    </row>
    <row r="1409" spans="13:13" x14ac:dyDescent="0.25">
      <c r="M1409" s="211"/>
    </row>
    <row r="1410" spans="13:13" x14ac:dyDescent="0.25">
      <c r="M1410" s="211"/>
    </row>
    <row r="1411" spans="13:13" x14ac:dyDescent="0.25">
      <c r="M1411" s="211"/>
    </row>
    <row r="1412" spans="13:13" x14ac:dyDescent="0.25">
      <c r="M1412" s="211"/>
    </row>
    <row r="1413" spans="13:13" x14ac:dyDescent="0.25">
      <c r="M1413" s="211"/>
    </row>
    <row r="1414" spans="13:13" x14ac:dyDescent="0.25">
      <c r="M1414" s="211"/>
    </row>
    <row r="1415" spans="13:13" x14ac:dyDescent="0.25">
      <c r="M1415" s="211"/>
    </row>
    <row r="1416" spans="13:13" x14ac:dyDescent="0.25">
      <c r="M1416" s="211"/>
    </row>
    <row r="1417" spans="13:13" x14ac:dyDescent="0.25">
      <c r="M1417" s="211"/>
    </row>
    <row r="1418" spans="13:13" x14ac:dyDescent="0.25">
      <c r="M1418" s="211"/>
    </row>
    <row r="1419" spans="13:13" x14ac:dyDescent="0.25">
      <c r="M1419" s="211"/>
    </row>
    <row r="1420" spans="13:13" x14ac:dyDescent="0.25">
      <c r="M1420" s="211"/>
    </row>
    <row r="1421" spans="13:13" x14ac:dyDescent="0.25">
      <c r="M1421" s="211"/>
    </row>
    <row r="1422" spans="13:13" x14ac:dyDescent="0.25">
      <c r="M1422" s="211"/>
    </row>
    <row r="1423" spans="13:13" x14ac:dyDescent="0.25">
      <c r="M1423" s="211"/>
    </row>
    <row r="1424" spans="13:13" x14ac:dyDescent="0.25">
      <c r="M1424" s="211"/>
    </row>
    <row r="1425" spans="13:13" x14ac:dyDescent="0.25">
      <c r="M1425" s="211"/>
    </row>
    <row r="1426" spans="13:13" x14ac:dyDescent="0.25">
      <c r="M1426" s="211"/>
    </row>
    <row r="1427" spans="13:13" x14ac:dyDescent="0.25">
      <c r="M1427" s="211"/>
    </row>
    <row r="1428" spans="13:13" x14ac:dyDescent="0.25">
      <c r="M1428" s="211"/>
    </row>
    <row r="1429" spans="13:13" x14ac:dyDescent="0.25">
      <c r="M1429" s="211"/>
    </row>
    <row r="1430" spans="13:13" x14ac:dyDescent="0.25">
      <c r="M1430" s="211"/>
    </row>
    <row r="1431" spans="13:13" x14ac:dyDescent="0.25">
      <c r="M1431" s="211"/>
    </row>
    <row r="1432" spans="13:13" x14ac:dyDescent="0.25">
      <c r="M1432" s="211"/>
    </row>
    <row r="1433" spans="13:13" x14ac:dyDescent="0.25">
      <c r="M1433" s="211"/>
    </row>
    <row r="1434" spans="13:13" x14ac:dyDescent="0.25">
      <c r="M1434" s="211"/>
    </row>
    <row r="1435" spans="13:13" x14ac:dyDescent="0.25">
      <c r="M1435" s="211"/>
    </row>
    <row r="1436" spans="13:13" x14ac:dyDescent="0.25">
      <c r="M1436" s="211"/>
    </row>
    <row r="1437" spans="13:13" x14ac:dyDescent="0.25">
      <c r="M1437" s="211"/>
    </row>
    <row r="1438" spans="13:13" x14ac:dyDescent="0.25">
      <c r="M1438" s="211"/>
    </row>
    <row r="1439" spans="13:13" x14ac:dyDescent="0.25">
      <c r="M1439" s="211"/>
    </row>
    <row r="1440" spans="13:13" x14ac:dyDescent="0.25">
      <c r="M1440" s="211"/>
    </row>
    <row r="1441" spans="13:13" x14ac:dyDescent="0.25">
      <c r="M1441" s="211"/>
    </row>
    <row r="1442" spans="13:13" x14ac:dyDescent="0.25">
      <c r="M1442" s="211"/>
    </row>
    <row r="1443" spans="13:13" x14ac:dyDescent="0.25">
      <c r="M1443" s="211"/>
    </row>
    <row r="1444" spans="13:13" x14ac:dyDescent="0.25">
      <c r="M1444" s="211"/>
    </row>
    <row r="1445" spans="13:13" x14ac:dyDescent="0.25">
      <c r="M1445" s="211"/>
    </row>
    <row r="1446" spans="13:13" x14ac:dyDescent="0.25">
      <c r="M1446" s="211"/>
    </row>
    <row r="1447" spans="13:13" x14ac:dyDescent="0.25">
      <c r="M1447" s="211"/>
    </row>
    <row r="1448" spans="13:13" x14ac:dyDescent="0.25">
      <c r="M1448" s="211"/>
    </row>
    <row r="1449" spans="13:13" x14ac:dyDescent="0.25">
      <c r="M1449" s="211"/>
    </row>
    <row r="1450" spans="13:13" x14ac:dyDescent="0.25">
      <c r="M1450" s="211"/>
    </row>
    <row r="1451" spans="13:13" x14ac:dyDescent="0.25">
      <c r="M1451" s="211"/>
    </row>
    <row r="1452" spans="13:13" x14ac:dyDescent="0.25">
      <c r="M1452" s="211"/>
    </row>
    <row r="1453" spans="13:13" x14ac:dyDescent="0.25">
      <c r="M1453" s="211"/>
    </row>
    <row r="1454" spans="13:13" x14ac:dyDescent="0.25">
      <c r="M1454" s="211"/>
    </row>
    <row r="1455" spans="13:13" x14ac:dyDescent="0.25">
      <c r="M1455" s="211"/>
    </row>
    <row r="1456" spans="13:13" x14ac:dyDescent="0.25">
      <c r="M1456" s="211"/>
    </row>
    <row r="1457" spans="13:13" x14ac:dyDescent="0.25">
      <c r="M1457" s="211"/>
    </row>
    <row r="1458" spans="13:13" x14ac:dyDescent="0.25">
      <c r="M1458" s="211"/>
    </row>
    <row r="1459" spans="13:13" x14ac:dyDescent="0.25">
      <c r="M1459" s="211"/>
    </row>
    <row r="1460" spans="13:13" x14ac:dyDescent="0.25">
      <c r="M1460" s="211"/>
    </row>
    <row r="1461" spans="13:13" x14ac:dyDescent="0.25">
      <c r="M1461" s="211"/>
    </row>
    <row r="1462" spans="13:13" x14ac:dyDescent="0.25">
      <c r="M1462" s="211"/>
    </row>
    <row r="1463" spans="13:13" x14ac:dyDescent="0.25">
      <c r="M1463" s="211"/>
    </row>
    <row r="1464" spans="13:13" x14ac:dyDescent="0.25">
      <c r="M1464" s="211"/>
    </row>
    <row r="1465" spans="13:13" x14ac:dyDescent="0.25">
      <c r="M1465" s="211"/>
    </row>
    <row r="1466" spans="13:13" x14ac:dyDescent="0.25">
      <c r="M1466" s="211"/>
    </row>
    <row r="1467" spans="13:13" x14ac:dyDescent="0.25">
      <c r="M1467" s="211"/>
    </row>
    <row r="1468" spans="13:13" x14ac:dyDescent="0.25">
      <c r="M1468" s="211"/>
    </row>
    <row r="1469" spans="13:13" x14ac:dyDescent="0.25">
      <c r="M1469" s="211"/>
    </row>
    <row r="1470" spans="13:13" x14ac:dyDescent="0.25">
      <c r="M1470" s="211"/>
    </row>
    <row r="1471" spans="13:13" x14ac:dyDescent="0.25">
      <c r="M1471" s="211"/>
    </row>
    <row r="1472" spans="13:13" x14ac:dyDescent="0.25">
      <c r="M1472" s="211"/>
    </row>
    <row r="1473" spans="13:13" x14ac:dyDescent="0.25">
      <c r="M1473" s="211"/>
    </row>
    <row r="1474" spans="13:13" x14ac:dyDescent="0.25">
      <c r="M1474" s="211"/>
    </row>
    <row r="1475" spans="13:13" x14ac:dyDescent="0.25">
      <c r="M1475" s="211"/>
    </row>
    <row r="1476" spans="13:13" x14ac:dyDescent="0.25">
      <c r="M1476" s="211"/>
    </row>
    <row r="1477" spans="13:13" x14ac:dyDescent="0.25">
      <c r="M1477" s="211"/>
    </row>
    <row r="1478" spans="13:13" x14ac:dyDescent="0.25">
      <c r="M1478" s="211"/>
    </row>
    <row r="1479" spans="13:13" x14ac:dyDescent="0.25">
      <c r="M1479" s="211"/>
    </row>
    <row r="1480" spans="13:13" x14ac:dyDescent="0.25">
      <c r="M1480" s="211"/>
    </row>
    <row r="1481" spans="13:13" x14ac:dyDescent="0.25">
      <c r="M1481" s="211"/>
    </row>
    <row r="1482" spans="13:13" x14ac:dyDescent="0.25">
      <c r="M1482" s="211"/>
    </row>
    <row r="1483" spans="13:13" x14ac:dyDescent="0.25">
      <c r="M1483" s="211"/>
    </row>
    <row r="1484" spans="13:13" x14ac:dyDescent="0.25">
      <c r="M1484" s="211"/>
    </row>
    <row r="1485" spans="13:13" x14ac:dyDescent="0.25">
      <c r="M1485" s="211"/>
    </row>
    <row r="1486" spans="13:13" x14ac:dyDescent="0.25">
      <c r="M1486" s="211"/>
    </row>
    <row r="1487" spans="13:13" x14ac:dyDescent="0.25">
      <c r="M1487" s="211"/>
    </row>
    <row r="1488" spans="13:13" x14ac:dyDescent="0.25">
      <c r="M1488" s="211"/>
    </row>
    <row r="1489" spans="13:13" x14ac:dyDescent="0.25">
      <c r="M1489" s="211"/>
    </row>
    <row r="1490" spans="13:13" x14ac:dyDescent="0.25">
      <c r="M1490" s="211"/>
    </row>
    <row r="1491" spans="13:13" x14ac:dyDescent="0.25">
      <c r="M1491" s="211"/>
    </row>
    <row r="1492" spans="13:13" x14ac:dyDescent="0.25">
      <c r="M1492" s="211"/>
    </row>
    <row r="1493" spans="13:13" x14ac:dyDescent="0.25">
      <c r="M1493" s="211"/>
    </row>
    <row r="1494" spans="13:13" x14ac:dyDescent="0.25">
      <c r="M1494" s="211"/>
    </row>
    <row r="1495" spans="13:13" x14ac:dyDescent="0.25">
      <c r="M1495" s="211"/>
    </row>
    <row r="1496" spans="13:13" x14ac:dyDescent="0.25">
      <c r="M1496" s="211"/>
    </row>
    <row r="1497" spans="13:13" x14ac:dyDescent="0.25">
      <c r="M1497" s="211"/>
    </row>
    <row r="1498" spans="13:13" x14ac:dyDescent="0.25">
      <c r="M1498" s="211"/>
    </row>
    <row r="1499" spans="13:13" x14ac:dyDescent="0.25">
      <c r="M1499" s="211"/>
    </row>
    <row r="1500" spans="13:13" x14ac:dyDescent="0.25">
      <c r="M1500" s="211"/>
    </row>
    <row r="1501" spans="13:13" x14ac:dyDescent="0.25">
      <c r="M1501" s="211"/>
    </row>
    <row r="1502" spans="13:13" x14ac:dyDescent="0.25">
      <c r="M1502" s="211"/>
    </row>
    <row r="1503" spans="13:13" x14ac:dyDescent="0.25">
      <c r="M1503" s="211"/>
    </row>
    <row r="1504" spans="13:13" x14ac:dyDescent="0.25">
      <c r="M1504" s="211"/>
    </row>
    <row r="1505" spans="13:13" x14ac:dyDescent="0.25">
      <c r="M1505" s="211"/>
    </row>
    <row r="1506" spans="13:13" x14ac:dyDescent="0.25">
      <c r="M1506" s="211"/>
    </row>
    <row r="1507" spans="13:13" x14ac:dyDescent="0.25">
      <c r="M1507" s="211"/>
    </row>
    <row r="1508" spans="13:13" x14ac:dyDescent="0.25">
      <c r="M1508" s="211"/>
    </row>
    <row r="1509" spans="13:13" x14ac:dyDescent="0.25">
      <c r="M1509" s="211"/>
    </row>
    <row r="1510" spans="13:13" x14ac:dyDescent="0.25">
      <c r="M1510" s="211"/>
    </row>
    <row r="1511" spans="13:13" x14ac:dyDescent="0.25">
      <c r="M1511" s="211"/>
    </row>
    <row r="1512" spans="13:13" x14ac:dyDescent="0.25">
      <c r="M1512" s="211"/>
    </row>
    <row r="1513" spans="13:13" x14ac:dyDescent="0.25">
      <c r="M1513" s="211"/>
    </row>
    <row r="1514" spans="13:13" x14ac:dyDescent="0.25">
      <c r="M1514" s="211"/>
    </row>
    <row r="1515" spans="13:13" x14ac:dyDescent="0.25">
      <c r="M1515" s="211"/>
    </row>
    <row r="1516" spans="13:13" x14ac:dyDescent="0.25">
      <c r="M1516" s="211"/>
    </row>
    <row r="1517" spans="13:13" x14ac:dyDescent="0.25">
      <c r="M1517" s="211"/>
    </row>
    <row r="1518" spans="13:13" x14ac:dyDescent="0.25">
      <c r="M1518" s="211"/>
    </row>
    <row r="1519" spans="13:13" x14ac:dyDescent="0.25">
      <c r="M1519" s="211"/>
    </row>
    <row r="1520" spans="13:13" x14ac:dyDescent="0.25">
      <c r="M1520" s="211"/>
    </row>
    <row r="1521" spans="13:13" x14ac:dyDescent="0.25">
      <c r="M1521" s="211"/>
    </row>
    <row r="1522" spans="13:13" x14ac:dyDescent="0.25">
      <c r="M1522" s="211"/>
    </row>
    <row r="1523" spans="13:13" x14ac:dyDescent="0.25">
      <c r="M1523" s="211"/>
    </row>
    <row r="1524" spans="13:13" x14ac:dyDescent="0.25">
      <c r="M1524" s="211"/>
    </row>
    <row r="1525" spans="13:13" x14ac:dyDescent="0.25">
      <c r="M1525" s="211"/>
    </row>
    <row r="1526" spans="13:13" x14ac:dyDescent="0.25">
      <c r="M1526" s="211"/>
    </row>
    <row r="1527" spans="13:13" x14ac:dyDescent="0.25">
      <c r="M1527" s="211"/>
    </row>
    <row r="1528" spans="13:13" x14ac:dyDescent="0.25">
      <c r="M1528" s="211"/>
    </row>
    <row r="1529" spans="13:13" x14ac:dyDescent="0.25">
      <c r="M1529" s="211"/>
    </row>
    <row r="1530" spans="13:13" x14ac:dyDescent="0.25">
      <c r="M1530" s="211"/>
    </row>
    <row r="1531" spans="13:13" x14ac:dyDescent="0.25">
      <c r="M1531" s="211"/>
    </row>
    <row r="1532" spans="13:13" x14ac:dyDescent="0.25">
      <c r="M1532" s="211"/>
    </row>
    <row r="1533" spans="13:13" x14ac:dyDescent="0.25">
      <c r="M1533" s="211"/>
    </row>
    <row r="1534" spans="13:13" x14ac:dyDescent="0.25">
      <c r="M1534" s="211"/>
    </row>
    <row r="1535" spans="13:13" x14ac:dyDescent="0.25">
      <c r="M1535" s="211"/>
    </row>
    <row r="1536" spans="13:13" x14ac:dyDescent="0.25">
      <c r="M1536" s="211"/>
    </row>
    <row r="1537" spans="13:13" x14ac:dyDescent="0.25">
      <c r="M1537" s="211"/>
    </row>
    <row r="1538" spans="13:13" x14ac:dyDescent="0.25">
      <c r="M1538" s="211"/>
    </row>
    <row r="1539" spans="13:13" x14ac:dyDescent="0.25">
      <c r="M1539" s="211"/>
    </row>
    <row r="1540" spans="13:13" x14ac:dyDescent="0.25">
      <c r="M1540" s="211"/>
    </row>
    <row r="1541" spans="13:13" x14ac:dyDescent="0.25">
      <c r="M1541" s="211"/>
    </row>
    <row r="1542" spans="13:13" x14ac:dyDescent="0.25">
      <c r="M1542" s="211"/>
    </row>
    <row r="1543" spans="13:13" x14ac:dyDescent="0.25">
      <c r="M1543" s="211"/>
    </row>
    <row r="1544" spans="13:13" x14ac:dyDescent="0.25">
      <c r="M1544" s="211"/>
    </row>
    <row r="1545" spans="13:13" x14ac:dyDescent="0.25">
      <c r="M1545" s="211"/>
    </row>
    <row r="1546" spans="13:13" x14ac:dyDescent="0.25">
      <c r="M1546" s="211"/>
    </row>
    <row r="1547" spans="13:13" x14ac:dyDescent="0.25">
      <c r="M1547" s="211"/>
    </row>
    <row r="1548" spans="13:13" x14ac:dyDescent="0.25">
      <c r="M1548" s="211"/>
    </row>
    <row r="1549" spans="13:13" x14ac:dyDescent="0.25">
      <c r="M1549" s="211"/>
    </row>
    <row r="1550" spans="13:13" x14ac:dyDescent="0.25">
      <c r="M1550" s="211"/>
    </row>
    <row r="1551" spans="13:13" x14ac:dyDescent="0.25">
      <c r="M1551" s="211"/>
    </row>
    <row r="1552" spans="13:13" x14ac:dyDescent="0.25">
      <c r="M1552" s="211"/>
    </row>
    <row r="1553" spans="13:13" x14ac:dyDescent="0.25">
      <c r="M1553" s="211"/>
    </row>
    <row r="1554" spans="13:13" x14ac:dyDescent="0.25">
      <c r="M1554" s="211"/>
    </row>
    <row r="1555" spans="13:13" x14ac:dyDescent="0.25">
      <c r="M1555" s="211"/>
    </row>
    <row r="1556" spans="13:13" x14ac:dyDescent="0.25">
      <c r="M1556" s="211"/>
    </row>
    <row r="1557" spans="13:13" x14ac:dyDescent="0.25">
      <c r="M1557" s="211"/>
    </row>
    <row r="1558" spans="13:13" x14ac:dyDescent="0.25">
      <c r="M1558" s="211"/>
    </row>
    <row r="1559" spans="13:13" x14ac:dyDescent="0.25">
      <c r="M1559" s="211"/>
    </row>
    <row r="1560" spans="13:13" x14ac:dyDescent="0.25">
      <c r="M1560" s="211"/>
    </row>
    <row r="1561" spans="13:13" x14ac:dyDescent="0.25">
      <c r="M1561" s="211"/>
    </row>
    <row r="1562" spans="13:13" x14ac:dyDescent="0.25">
      <c r="M1562" s="211"/>
    </row>
    <row r="1563" spans="13:13" x14ac:dyDescent="0.25">
      <c r="M1563" s="211"/>
    </row>
    <row r="1564" spans="13:13" x14ac:dyDescent="0.25">
      <c r="M1564" s="211"/>
    </row>
    <row r="1565" spans="13:13" x14ac:dyDescent="0.25">
      <c r="M1565" s="211"/>
    </row>
    <row r="1566" spans="13:13" x14ac:dyDescent="0.25">
      <c r="M1566" s="211"/>
    </row>
    <row r="1567" spans="13:13" x14ac:dyDescent="0.25">
      <c r="M1567" s="211"/>
    </row>
    <row r="1568" spans="13:13" x14ac:dyDescent="0.25">
      <c r="M1568" s="211"/>
    </row>
    <row r="1569" spans="13:13" x14ac:dyDescent="0.25">
      <c r="M1569" s="211"/>
    </row>
    <row r="1570" spans="13:13" x14ac:dyDescent="0.25">
      <c r="M1570" s="211"/>
    </row>
    <row r="1571" spans="13:13" x14ac:dyDescent="0.25">
      <c r="M1571" s="211"/>
    </row>
    <row r="1572" spans="13:13" x14ac:dyDescent="0.25">
      <c r="M1572" s="211"/>
    </row>
    <row r="1573" spans="13:13" x14ac:dyDescent="0.25">
      <c r="M1573" s="211"/>
    </row>
    <row r="1574" spans="13:13" x14ac:dyDescent="0.25">
      <c r="M1574" s="211"/>
    </row>
    <row r="1575" spans="13:13" x14ac:dyDescent="0.25">
      <c r="M1575" s="211"/>
    </row>
    <row r="1576" spans="13:13" x14ac:dyDescent="0.25">
      <c r="M1576" s="211"/>
    </row>
    <row r="1577" spans="13:13" x14ac:dyDescent="0.25">
      <c r="M1577" s="211"/>
    </row>
    <row r="1578" spans="13:13" x14ac:dyDescent="0.25">
      <c r="M1578" s="211"/>
    </row>
    <row r="1579" spans="13:13" x14ac:dyDescent="0.25">
      <c r="M1579" s="211"/>
    </row>
    <row r="1580" spans="13:13" x14ac:dyDescent="0.25">
      <c r="M1580" s="211"/>
    </row>
    <row r="1581" spans="13:13" x14ac:dyDescent="0.25">
      <c r="M1581" s="211"/>
    </row>
    <row r="1582" spans="13:13" x14ac:dyDescent="0.25">
      <c r="M1582" s="211"/>
    </row>
    <row r="1583" spans="13:13" x14ac:dyDescent="0.25">
      <c r="M1583" s="211"/>
    </row>
    <row r="1584" spans="13:13" x14ac:dyDescent="0.25">
      <c r="M1584" s="211"/>
    </row>
    <row r="1585" spans="13:13" x14ac:dyDescent="0.25">
      <c r="M1585" s="211"/>
    </row>
    <row r="1586" spans="13:13" x14ac:dyDescent="0.25">
      <c r="M1586" s="211"/>
    </row>
    <row r="1587" spans="13:13" x14ac:dyDescent="0.25">
      <c r="M1587" s="211"/>
    </row>
    <row r="1588" spans="13:13" x14ac:dyDescent="0.25">
      <c r="M1588" s="211"/>
    </row>
    <row r="1589" spans="13:13" x14ac:dyDescent="0.25">
      <c r="M1589" s="211"/>
    </row>
    <row r="1590" spans="13:13" x14ac:dyDescent="0.25">
      <c r="M1590" s="211"/>
    </row>
    <row r="1591" spans="13:13" x14ac:dyDescent="0.25">
      <c r="M1591" s="211"/>
    </row>
    <row r="1592" spans="13:13" x14ac:dyDescent="0.25">
      <c r="M1592" s="211"/>
    </row>
    <row r="1593" spans="13:13" x14ac:dyDescent="0.25">
      <c r="M1593" s="211"/>
    </row>
    <row r="1594" spans="13:13" x14ac:dyDescent="0.25">
      <c r="M1594" s="211"/>
    </row>
    <row r="1595" spans="13:13" x14ac:dyDescent="0.25">
      <c r="M1595" s="211"/>
    </row>
    <row r="1596" spans="13:13" x14ac:dyDescent="0.25">
      <c r="M1596" s="211"/>
    </row>
    <row r="1597" spans="13:13" x14ac:dyDescent="0.25">
      <c r="M1597" s="211"/>
    </row>
    <row r="1598" spans="13:13" x14ac:dyDescent="0.25">
      <c r="M1598" s="211"/>
    </row>
    <row r="1599" spans="13:13" x14ac:dyDescent="0.25">
      <c r="M1599" s="211"/>
    </row>
    <row r="1600" spans="13:13" x14ac:dyDescent="0.25">
      <c r="M1600" s="211"/>
    </row>
    <row r="1601" spans="13:13" x14ac:dyDescent="0.25">
      <c r="M1601" s="211"/>
    </row>
    <row r="1602" spans="13:13" x14ac:dyDescent="0.25">
      <c r="M1602" s="211"/>
    </row>
    <row r="1603" spans="13:13" x14ac:dyDescent="0.25">
      <c r="M1603" s="211"/>
    </row>
    <row r="1604" spans="13:13" x14ac:dyDescent="0.25">
      <c r="M1604" s="211"/>
    </row>
    <row r="1605" spans="13:13" x14ac:dyDescent="0.25">
      <c r="M1605" s="211"/>
    </row>
    <row r="1606" spans="13:13" x14ac:dyDescent="0.25">
      <c r="M1606" s="211"/>
    </row>
    <row r="1607" spans="13:13" x14ac:dyDescent="0.25">
      <c r="M1607" s="211"/>
    </row>
    <row r="1608" spans="13:13" x14ac:dyDescent="0.25">
      <c r="M1608" s="211"/>
    </row>
    <row r="1609" spans="13:13" x14ac:dyDescent="0.25">
      <c r="M1609" s="211"/>
    </row>
    <row r="1610" spans="13:13" x14ac:dyDescent="0.25">
      <c r="M1610" s="211"/>
    </row>
    <row r="1611" spans="13:13" x14ac:dyDescent="0.25">
      <c r="M1611" s="211"/>
    </row>
    <row r="1612" spans="13:13" x14ac:dyDescent="0.25">
      <c r="M1612" s="211"/>
    </row>
    <row r="1613" spans="13:13" x14ac:dyDescent="0.25">
      <c r="M1613" s="211"/>
    </row>
    <row r="1614" spans="13:13" x14ac:dyDescent="0.25">
      <c r="M1614" s="211"/>
    </row>
    <row r="1615" spans="13:13" x14ac:dyDescent="0.25">
      <c r="M1615" s="211"/>
    </row>
    <row r="1616" spans="13:13" x14ac:dyDescent="0.25">
      <c r="M1616" s="211"/>
    </row>
    <row r="1617" spans="13:13" x14ac:dyDescent="0.25">
      <c r="M1617" s="211"/>
    </row>
    <row r="1618" spans="13:13" x14ac:dyDescent="0.25">
      <c r="M1618" s="211"/>
    </row>
    <row r="1619" spans="13:13" x14ac:dyDescent="0.25">
      <c r="M1619" s="211"/>
    </row>
    <row r="1620" spans="13:13" x14ac:dyDescent="0.25">
      <c r="M1620" s="211"/>
    </row>
    <row r="1621" spans="13:13" x14ac:dyDescent="0.25">
      <c r="M1621" s="211"/>
    </row>
    <row r="1622" spans="13:13" x14ac:dyDescent="0.25">
      <c r="M1622" s="211"/>
    </row>
    <row r="1623" spans="13:13" x14ac:dyDescent="0.25">
      <c r="M1623" s="211"/>
    </row>
    <row r="1624" spans="13:13" x14ac:dyDescent="0.25">
      <c r="M1624" s="211"/>
    </row>
    <row r="1625" spans="13:13" x14ac:dyDescent="0.25">
      <c r="M1625" s="211"/>
    </row>
    <row r="1626" spans="13:13" x14ac:dyDescent="0.25">
      <c r="M1626" s="211"/>
    </row>
    <row r="1627" spans="13:13" x14ac:dyDescent="0.25">
      <c r="M1627" s="211"/>
    </row>
    <row r="1628" spans="13:13" x14ac:dyDescent="0.25">
      <c r="M1628" s="211"/>
    </row>
    <row r="1629" spans="13:13" x14ac:dyDescent="0.25">
      <c r="M1629" s="211"/>
    </row>
    <row r="1630" spans="13:13" x14ac:dyDescent="0.25">
      <c r="M1630" s="211"/>
    </row>
    <row r="1631" spans="13:13" x14ac:dyDescent="0.25">
      <c r="M1631" s="211"/>
    </row>
    <row r="1632" spans="13:13" x14ac:dyDescent="0.25">
      <c r="M1632" s="211"/>
    </row>
    <row r="1633" spans="13:13" x14ac:dyDescent="0.25">
      <c r="M1633" s="211"/>
    </row>
    <row r="1634" spans="13:13" x14ac:dyDescent="0.25">
      <c r="M1634" s="211"/>
    </row>
    <row r="1635" spans="13:13" x14ac:dyDescent="0.25">
      <c r="M1635" s="211"/>
    </row>
    <row r="1636" spans="13:13" x14ac:dyDescent="0.25">
      <c r="M1636" s="211"/>
    </row>
    <row r="1637" spans="13:13" x14ac:dyDescent="0.25">
      <c r="M1637" s="211"/>
    </row>
    <row r="1638" spans="13:13" x14ac:dyDescent="0.25">
      <c r="M1638" s="211"/>
    </row>
    <row r="1639" spans="13:13" x14ac:dyDescent="0.25">
      <c r="M1639" s="211"/>
    </row>
    <row r="1640" spans="13:13" x14ac:dyDescent="0.25">
      <c r="M1640" s="211"/>
    </row>
    <row r="1641" spans="13:13" x14ac:dyDescent="0.25">
      <c r="M1641" s="211"/>
    </row>
    <row r="1642" spans="13:13" x14ac:dyDescent="0.25">
      <c r="M1642" s="211"/>
    </row>
    <row r="1643" spans="13:13" x14ac:dyDescent="0.25">
      <c r="M1643" s="211"/>
    </row>
    <row r="1644" spans="13:13" x14ac:dyDescent="0.25">
      <c r="M1644" s="211"/>
    </row>
    <row r="1645" spans="13:13" x14ac:dyDescent="0.25">
      <c r="M1645" s="211"/>
    </row>
    <row r="1646" spans="13:13" x14ac:dyDescent="0.25">
      <c r="M1646" s="211"/>
    </row>
    <row r="1647" spans="13:13" x14ac:dyDescent="0.25">
      <c r="M1647" s="211"/>
    </row>
    <row r="1648" spans="13:13" x14ac:dyDescent="0.25">
      <c r="M1648" s="211"/>
    </row>
    <row r="1649" spans="13:13" x14ac:dyDescent="0.25">
      <c r="M1649" s="211"/>
    </row>
    <row r="1650" spans="13:13" x14ac:dyDescent="0.25">
      <c r="M1650" s="211"/>
    </row>
    <row r="1651" spans="13:13" x14ac:dyDescent="0.25">
      <c r="M1651" s="211"/>
    </row>
    <row r="1652" spans="13:13" x14ac:dyDescent="0.25">
      <c r="M1652" s="211"/>
    </row>
    <row r="1653" spans="13:13" x14ac:dyDescent="0.25">
      <c r="M1653" s="211"/>
    </row>
    <row r="1654" spans="13:13" x14ac:dyDescent="0.25">
      <c r="M1654" s="211"/>
    </row>
    <row r="1655" spans="13:13" x14ac:dyDescent="0.25">
      <c r="M1655" s="211"/>
    </row>
    <row r="1656" spans="13:13" x14ac:dyDescent="0.25">
      <c r="M1656" s="211"/>
    </row>
    <row r="1657" spans="13:13" x14ac:dyDescent="0.25">
      <c r="M1657" s="211"/>
    </row>
    <row r="1658" spans="13:13" x14ac:dyDescent="0.25">
      <c r="M1658" s="211"/>
    </row>
    <row r="1659" spans="13:13" x14ac:dyDescent="0.25">
      <c r="M1659" s="211"/>
    </row>
    <row r="1660" spans="13:13" x14ac:dyDescent="0.25">
      <c r="M1660" s="211"/>
    </row>
    <row r="1661" spans="13:13" x14ac:dyDescent="0.25">
      <c r="M1661" s="211"/>
    </row>
    <row r="1662" spans="13:13" x14ac:dyDescent="0.25">
      <c r="M1662" s="211"/>
    </row>
    <row r="1663" spans="13:13" x14ac:dyDescent="0.25">
      <c r="M1663" s="211"/>
    </row>
    <row r="1664" spans="13:13" x14ac:dyDescent="0.25">
      <c r="M1664" s="211"/>
    </row>
    <row r="1665" spans="13:13" x14ac:dyDescent="0.25">
      <c r="M1665" s="211"/>
    </row>
    <row r="1666" spans="13:13" x14ac:dyDescent="0.25">
      <c r="M1666" s="211"/>
    </row>
    <row r="1667" spans="13:13" x14ac:dyDescent="0.25">
      <c r="M1667" s="211"/>
    </row>
    <row r="1668" spans="13:13" x14ac:dyDescent="0.25">
      <c r="M1668" s="211"/>
    </row>
    <row r="1669" spans="13:13" x14ac:dyDescent="0.25">
      <c r="M1669" s="211"/>
    </row>
    <row r="1670" spans="13:13" x14ac:dyDescent="0.25">
      <c r="M1670" s="211"/>
    </row>
    <row r="1671" spans="13:13" x14ac:dyDescent="0.25">
      <c r="M1671" s="211"/>
    </row>
    <row r="1672" spans="13:13" x14ac:dyDescent="0.25">
      <c r="M1672" s="211"/>
    </row>
    <row r="1673" spans="13:13" x14ac:dyDescent="0.25">
      <c r="M1673" s="211"/>
    </row>
    <row r="1674" spans="13:13" x14ac:dyDescent="0.25">
      <c r="M1674" s="211"/>
    </row>
    <row r="1675" spans="13:13" x14ac:dyDescent="0.25">
      <c r="M1675" s="211"/>
    </row>
    <row r="1676" spans="13:13" x14ac:dyDescent="0.25">
      <c r="M1676" s="211"/>
    </row>
    <row r="1677" spans="13:13" x14ac:dyDescent="0.25">
      <c r="M1677" s="211"/>
    </row>
    <row r="1678" spans="13:13" x14ac:dyDescent="0.25">
      <c r="M1678" s="211"/>
    </row>
    <row r="1679" spans="13:13" x14ac:dyDescent="0.25">
      <c r="M1679" s="211"/>
    </row>
    <row r="1680" spans="13:13" x14ac:dyDescent="0.25">
      <c r="M1680" s="211"/>
    </row>
    <row r="1681" spans="13:13" x14ac:dyDescent="0.25">
      <c r="M1681" s="211"/>
    </row>
    <row r="1682" spans="13:13" x14ac:dyDescent="0.25">
      <c r="M1682" s="211"/>
    </row>
    <row r="1683" spans="13:13" x14ac:dyDescent="0.25">
      <c r="M1683" s="211"/>
    </row>
    <row r="1684" spans="13:13" x14ac:dyDescent="0.25">
      <c r="M1684" s="211"/>
    </row>
    <row r="1685" spans="13:13" x14ac:dyDescent="0.25">
      <c r="M1685" s="211"/>
    </row>
    <row r="1686" spans="13:13" x14ac:dyDescent="0.25">
      <c r="M1686" s="211"/>
    </row>
    <row r="1687" spans="13:13" x14ac:dyDescent="0.25">
      <c r="M1687" s="211"/>
    </row>
    <row r="1688" spans="13:13" x14ac:dyDescent="0.25">
      <c r="M1688" s="211"/>
    </row>
    <row r="1689" spans="13:13" x14ac:dyDescent="0.25">
      <c r="M1689" s="211"/>
    </row>
    <row r="1690" spans="13:13" x14ac:dyDescent="0.25">
      <c r="M1690" s="211"/>
    </row>
    <row r="1691" spans="13:13" x14ac:dyDescent="0.25">
      <c r="M1691" s="211"/>
    </row>
    <row r="1692" spans="13:13" x14ac:dyDescent="0.25">
      <c r="M1692" s="211"/>
    </row>
    <row r="1693" spans="13:13" x14ac:dyDescent="0.25">
      <c r="M1693" s="211"/>
    </row>
    <row r="1694" spans="13:13" x14ac:dyDescent="0.25">
      <c r="M1694" s="211"/>
    </row>
    <row r="1695" spans="13:13" x14ac:dyDescent="0.25">
      <c r="M1695" s="211"/>
    </row>
    <row r="1696" spans="13:13" x14ac:dyDescent="0.25">
      <c r="M1696" s="211"/>
    </row>
    <row r="1697" spans="13:13" x14ac:dyDescent="0.25">
      <c r="M1697" s="211"/>
    </row>
    <row r="1698" spans="13:13" x14ac:dyDescent="0.25">
      <c r="M1698" s="211"/>
    </row>
    <row r="1699" spans="13:13" x14ac:dyDescent="0.25">
      <c r="M1699" s="211"/>
    </row>
    <row r="1700" spans="13:13" x14ac:dyDescent="0.25">
      <c r="M1700" s="211"/>
    </row>
    <row r="1701" spans="13:13" x14ac:dyDescent="0.25">
      <c r="M1701" s="211"/>
    </row>
    <row r="1702" spans="13:13" x14ac:dyDescent="0.25">
      <c r="M1702" s="211"/>
    </row>
    <row r="1703" spans="13:13" x14ac:dyDescent="0.25">
      <c r="M1703" s="211"/>
    </row>
    <row r="1704" spans="13:13" x14ac:dyDescent="0.25">
      <c r="M1704" s="211"/>
    </row>
    <row r="1705" spans="13:13" x14ac:dyDescent="0.25">
      <c r="M1705" s="211"/>
    </row>
    <row r="1706" spans="13:13" x14ac:dyDescent="0.25">
      <c r="M1706" s="211"/>
    </row>
    <row r="1707" spans="13:13" x14ac:dyDescent="0.25">
      <c r="M1707" s="211"/>
    </row>
    <row r="1708" spans="13:13" x14ac:dyDescent="0.25">
      <c r="M1708" s="211"/>
    </row>
    <row r="1709" spans="13:13" x14ac:dyDescent="0.25">
      <c r="M1709" s="211"/>
    </row>
    <row r="1710" spans="13:13" x14ac:dyDescent="0.25">
      <c r="M1710" s="211"/>
    </row>
    <row r="1711" spans="13:13" x14ac:dyDescent="0.25">
      <c r="M1711" s="211"/>
    </row>
    <row r="1712" spans="13:13" x14ac:dyDescent="0.25">
      <c r="M1712" s="211"/>
    </row>
    <row r="1713" spans="13:13" x14ac:dyDescent="0.25">
      <c r="M1713" s="211"/>
    </row>
    <row r="1714" spans="13:13" x14ac:dyDescent="0.25">
      <c r="M1714" s="211"/>
    </row>
    <row r="1715" spans="13:13" x14ac:dyDescent="0.25">
      <c r="M1715" s="211"/>
    </row>
    <row r="1716" spans="13:13" x14ac:dyDescent="0.25">
      <c r="M1716" s="211"/>
    </row>
    <row r="1717" spans="13:13" x14ac:dyDescent="0.25">
      <c r="M1717" s="211"/>
    </row>
    <row r="1718" spans="13:13" x14ac:dyDescent="0.25">
      <c r="M1718" s="211"/>
    </row>
    <row r="1719" spans="13:13" x14ac:dyDescent="0.25">
      <c r="M1719" s="211"/>
    </row>
    <row r="1720" spans="13:13" x14ac:dyDescent="0.25">
      <c r="M1720" s="211"/>
    </row>
    <row r="1721" spans="13:13" x14ac:dyDescent="0.25">
      <c r="M1721" s="211"/>
    </row>
    <row r="1722" spans="13:13" x14ac:dyDescent="0.25">
      <c r="M1722" s="211"/>
    </row>
    <row r="1723" spans="13:13" x14ac:dyDescent="0.25">
      <c r="M1723" s="211"/>
    </row>
    <row r="1724" spans="13:13" x14ac:dyDescent="0.25">
      <c r="M1724" s="211"/>
    </row>
    <row r="1725" spans="13:13" x14ac:dyDescent="0.25">
      <c r="M1725" s="211"/>
    </row>
    <row r="1726" spans="13:13" x14ac:dyDescent="0.25">
      <c r="M1726" s="211"/>
    </row>
    <row r="1727" spans="13:13" x14ac:dyDescent="0.25">
      <c r="M1727" s="211"/>
    </row>
    <row r="1728" spans="13:13" x14ac:dyDescent="0.25">
      <c r="M1728" s="211"/>
    </row>
    <row r="1729" spans="13:13" x14ac:dyDescent="0.25">
      <c r="M1729" s="211"/>
    </row>
    <row r="1730" spans="13:13" x14ac:dyDescent="0.25">
      <c r="M1730" s="211"/>
    </row>
    <row r="1731" spans="13:13" x14ac:dyDescent="0.25">
      <c r="M1731" s="211"/>
    </row>
    <row r="1732" spans="13:13" x14ac:dyDescent="0.25">
      <c r="M1732" s="211"/>
    </row>
    <row r="1733" spans="13:13" x14ac:dyDescent="0.25">
      <c r="M1733" s="211"/>
    </row>
    <row r="1734" spans="13:13" x14ac:dyDescent="0.25">
      <c r="M1734" s="211"/>
    </row>
    <row r="1735" spans="13:13" x14ac:dyDescent="0.25">
      <c r="M1735" s="211"/>
    </row>
    <row r="1736" spans="13:13" x14ac:dyDescent="0.25">
      <c r="M1736" s="211"/>
    </row>
    <row r="1737" spans="13:13" x14ac:dyDescent="0.25">
      <c r="M1737" s="211"/>
    </row>
    <row r="1738" spans="13:13" x14ac:dyDescent="0.25">
      <c r="M1738" s="211"/>
    </row>
    <row r="1739" spans="13:13" x14ac:dyDescent="0.25">
      <c r="M1739" s="211"/>
    </row>
    <row r="1740" spans="13:13" x14ac:dyDescent="0.25">
      <c r="M1740" s="211"/>
    </row>
    <row r="1741" spans="13:13" x14ac:dyDescent="0.25">
      <c r="M1741" s="211"/>
    </row>
    <row r="1742" spans="13:13" x14ac:dyDescent="0.25">
      <c r="M1742" s="211"/>
    </row>
    <row r="1743" spans="13:13" x14ac:dyDescent="0.25">
      <c r="M1743" s="211"/>
    </row>
    <row r="1744" spans="13:13" x14ac:dyDescent="0.25">
      <c r="M1744" s="211"/>
    </row>
    <row r="1745" spans="13:13" x14ac:dyDescent="0.25">
      <c r="M1745" s="211"/>
    </row>
    <row r="1746" spans="13:13" x14ac:dyDescent="0.25">
      <c r="M1746" s="211"/>
    </row>
    <row r="1747" spans="13:13" x14ac:dyDescent="0.25">
      <c r="M1747" s="211"/>
    </row>
    <row r="1748" spans="13:13" x14ac:dyDescent="0.25">
      <c r="M1748" s="211"/>
    </row>
    <row r="1749" spans="13:13" x14ac:dyDescent="0.25">
      <c r="M1749" s="211"/>
    </row>
    <row r="1750" spans="13:13" x14ac:dyDescent="0.25">
      <c r="M1750" s="211"/>
    </row>
    <row r="1751" spans="13:13" x14ac:dyDescent="0.25">
      <c r="M1751" s="211"/>
    </row>
    <row r="1752" spans="13:13" x14ac:dyDescent="0.25">
      <c r="M1752" s="211"/>
    </row>
    <row r="1753" spans="13:13" x14ac:dyDescent="0.25">
      <c r="M1753" s="211"/>
    </row>
    <row r="1754" spans="13:13" x14ac:dyDescent="0.25">
      <c r="M1754" s="211"/>
    </row>
    <row r="1755" spans="13:13" x14ac:dyDescent="0.25">
      <c r="M1755" s="211"/>
    </row>
    <row r="1756" spans="13:13" x14ac:dyDescent="0.25">
      <c r="M1756" s="211"/>
    </row>
    <row r="1757" spans="13:13" x14ac:dyDescent="0.25">
      <c r="M1757" s="211"/>
    </row>
    <row r="1758" spans="13:13" x14ac:dyDescent="0.25">
      <c r="M1758" s="211"/>
    </row>
    <row r="1759" spans="13:13" x14ac:dyDescent="0.25">
      <c r="M1759" s="211"/>
    </row>
    <row r="1760" spans="13:13" x14ac:dyDescent="0.25">
      <c r="M1760" s="211"/>
    </row>
    <row r="1761" spans="13:13" x14ac:dyDescent="0.25">
      <c r="M1761" s="211"/>
    </row>
    <row r="1762" spans="13:13" x14ac:dyDescent="0.25">
      <c r="M1762" s="211"/>
    </row>
    <row r="1763" spans="13:13" x14ac:dyDescent="0.25">
      <c r="M1763" s="211"/>
    </row>
    <row r="1764" spans="13:13" x14ac:dyDescent="0.25">
      <c r="M1764" s="211"/>
    </row>
    <row r="1765" spans="13:13" x14ac:dyDescent="0.25">
      <c r="M1765" s="211"/>
    </row>
    <row r="1766" spans="13:13" x14ac:dyDescent="0.25">
      <c r="M1766" s="211"/>
    </row>
    <row r="1767" spans="13:13" x14ac:dyDescent="0.25">
      <c r="M1767" s="211"/>
    </row>
    <row r="1768" spans="13:13" x14ac:dyDescent="0.25">
      <c r="M1768" s="211"/>
    </row>
    <row r="1769" spans="13:13" x14ac:dyDescent="0.25">
      <c r="M1769" s="211"/>
    </row>
    <row r="1770" spans="13:13" x14ac:dyDescent="0.25">
      <c r="M1770" s="211"/>
    </row>
    <row r="1771" spans="13:13" x14ac:dyDescent="0.25">
      <c r="M1771" s="211"/>
    </row>
    <row r="1772" spans="13:13" x14ac:dyDescent="0.25">
      <c r="M1772" s="211"/>
    </row>
    <row r="1773" spans="13:13" x14ac:dyDescent="0.25">
      <c r="M1773" s="211"/>
    </row>
    <row r="1774" spans="13:13" x14ac:dyDescent="0.25">
      <c r="M1774" s="211"/>
    </row>
    <row r="1775" spans="13:13" x14ac:dyDescent="0.25">
      <c r="M1775" s="211"/>
    </row>
    <row r="1776" spans="13:13" x14ac:dyDescent="0.25">
      <c r="M1776" s="211"/>
    </row>
    <row r="1777" spans="13:13" x14ac:dyDescent="0.25">
      <c r="M1777" s="211"/>
    </row>
    <row r="1778" spans="13:13" x14ac:dyDescent="0.25">
      <c r="M1778" s="211"/>
    </row>
    <row r="1779" spans="13:13" x14ac:dyDescent="0.25">
      <c r="M1779" s="211"/>
    </row>
    <row r="1780" spans="13:13" x14ac:dyDescent="0.25">
      <c r="M1780" s="211"/>
    </row>
    <row r="1781" spans="13:13" x14ac:dyDescent="0.25">
      <c r="M1781" s="211"/>
    </row>
    <row r="1782" spans="13:13" x14ac:dyDescent="0.25">
      <c r="M1782" s="211"/>
    </row>
    <row r="1783" spans="13:13" x14ac:dyDescent="0.25">
      <c r="M1783" s="211"/>
    </row>
    <row r="1784" spans="13:13" x14ac:dyDescent="0.25">
      <c r="M1784" s="211"/>
    </row>
    <row r="1785" spans="13:13" x14ac:dyDescent="0.25">
      <c r="M1785" s="211"/>
    </row>
    <row r="1786" spans="13:13" x14ac:dyDescent="0.25">
      <c r="M1786" s="211"/>
    </row>
    <row r="1787" spans="13:13" x14ac:dyDescent="0.25">
      <c r="M1787" s="211"/>
    </row>
    <row r="1788" spans="13:13" x14ac:dyDescent="0.25">
      <c r="M1788" s="211"/>
    </row>
    <row r="1789" spans="13:13" x14ac:dyDescent="0.25">
      <c r="M1789" s="211"/>
    </row>
    <row r="1790" spans="13:13" x14ac:dyDescent="0.25">
      <c r="M1790" s="211"/>
    </row>
    <row r="1791" spans="13:13" x14ac:dyDescent="0.25">
      <c r="M1791" s="211"/>
    </row>
    <row r="1792" spans="13:13" x14ac:dyDescent="0.25">
      <c r="M1792" s="211"/>
    </row>
    <row r="1793" spans="13:13" x14ac:dyDescent="0.25">
      <c r="M1793" s="211"/>
    </row>
    <row r="1794" spans="13:13" x14ac:dyDescent="0.25">
      <c r="M1794" s="211"/>
    </row>
    <row r="1795" spans="13:13" x14ac:dyDescent="0.25">
      <c r="M1795" s="211"/>
    </row>
    <row r="1796" spans="13:13" x14ac:dyDescent="0.25">
      <c r="M1796" s="211"/>
    </row>
    <row r="1797" spans="13:13" x14ac:dyDescent="0.25">
      <c r="M1797" s="211"/>
    </row>
    <row r="1798" spans="13:13" x14ac:dyDescent="0.25">
      <c r="M1798" s="211"/>
    </row>
    <row r="1799" spans="13:13" x14ac:dyDescent="0.25">
      <c r="M1799" s="211"/>
    </row>
    <row r="1800" spans="13:13" x14ac:dyDescent="0.25">
      <c r="M1800" s="211"/>
    </row>
    <row r="1801" spans="13:13" x14ac:dyDescent="0.25">
      <c r="M1801" s="211"/>
    </row>
    <row r="1802" spans="13:13" x14ac:dyDescent="0.25">
      <c r="M1802" s="211"/>
    </row>
    <row r="1803" spans="13:13" x14ac:dyDescent="0.25">
      <c r="M1803" s="211"/>
    </row>
    <row r="1804" spans="13:13" x14ac:dyDescent="0.25">
      <c r="M1804" s="211"/>
    </row>
    <row r="1805" spans="13:13" x14ac:dyDescent="0.25">
      <c r="M1805" s="211"/>
    </row>
    <row r="1806" spans="13:13" x14ac:dyDescent="0.25">
      <c r="M1806" s="211"/>
    </row>
    <row r="1807" spans="13:13" x14ac:dyDescent="0.25">
      <c r="M1807" s="211"/>
    </row>
    <row r="1808" spans="13:13" x14ac:dyDescent="0.25">
      <c r="M1808" s="211"/>
    </row>
    <row r="1809" spans="13:13" x14ac:dyDescent="0.25">
      <c r="M1809" s="211"/>
    </row>
    <row r="1810" spans="13:13" x14ac:dyDescent="0.25">
      <c r="M1810" s="211"/>
    </row>
    <row r="1811" spans="13:13" x14ac:dyDescent="0.25">
      <c r="M1811" s="211"/>
    </row>
    <row r="1812" spans="13:13" x14ac:dyDescent="0.25">
      <c r="M1812" s="211"/>
    </row>
    <row r="1813" spans="13:13" x14ac:dyDescent="0.25">
      <c r="M1813" s="211"/>
    </row>
    <row r="1814" spans="13:13" x14ac:dyDescent="0.25">
      <c r="M1814" s="211"/>
    </row>
    <row r="1815" spans="13:13" x14ac:dyDescent="0.25">
      <c r="M1815" s="211"/>
    </row>
    <row r="1816" spans="13:13" x14ac:dyDescent="0.25">
      <c r="M1816" s="211"/>
    </row>
    <row r="1817" spans="13:13" x14ac:dyDescent="0.25">
      <c r="M1817" s="211"/>
    </row>
    <row r="1818" spans="13:13" x14ac:dyDescent="0.25">
      <c r="M1818" s="211"/>
    </row>
    <row r="1819" spans="13:13" x14ac:dyDescent="0.25">
      <c r="M1819" s="211"/>
    </row>
    <row r="1820" spans="13:13" x14ac:dyDescent="0.25">
      <c r="M1820" s="211"/>
    </row>
    <row r="1821" spans="13:13" x14ac:dyDescent="0.25">
      <c r="M1821" s="211"/>
    </row>
    <row r="1822" spans="13:13" x14ac:dyDescent="0.25">
      <c r="M1822" s="211"/>
    </row>
    <row r="1823" spans="13:13" x14ac:dyDescent="0.25">
      <c r="M1823" s="211"/>
    </row>
    <row r="1824" spans="13:13" x14ac:dyDescent="0.25">
      <c r="M1824" s="211"/>
    </row>
    <row r="1825" spans="13:13" x14ac:dyDescent="0.25">
      <c r="M1825" s="211"/>
    </row>
    <row r="1826" spans="13:13" x14ac:dyDescent="0.25">
      <c r="M1826" s="211"/>
    </row>
    <row r="1827" spans="13:13" x14ac:dyDescent="0.25">
      <c r="M1827" s="211"/>
    </row>
    <row r="1828" spans="13:13" x14ac:dyDescent="0.25">
      <c r="M1828" s="211"/>
    </row>
    <row r="1829" spans="13:13" x14ac:dyDescent="0.25">
      <c r="M1829" s="211"/>
    </row>
    <row r="1830" spans="13:13" x14ac:dyDescent="0.25">
      <c r="M1830" s="211"/>
    </row>
    <row r="1831" spans="13:13" x14ac:dyDescent="0.25">
      <c r="M1831" s="211"/>
    </row>
    <row r="1832" spans="13:13" x14ac:dyDescent="0.25">
      <c r="M1832" s="211"/>
    </row>
    <row r="1833" spans="13:13" x14ac:dyDescent="0.25">
      <c r="M1833" s="211"/>
    </row>
    <row r="1834" spans="13:13" x14ac:dyDescent="0.25">
      <c r="M1834" s="211"/>
    </row>
    <row r="1835" spans="13:13" x14ac:dyDescent="0.25">
      <c r="M1835" s="211"/>
    </row>
    <row r="1836" spans="13:13" x14ac:dyDescent="0.25">
      <c r="M1836" s="211"/>
    </row>
    <row r="1837" spans="13:13" x14ac:dyDescent="0.25">
      <c r="M1837" s="211"/>
    </row>
    <row r="1838" spans="13:13" x14ac:dyDescent="0.25">
      <c r="M1838" s="211"/>
    </row>
    <row r="1839" spans="13:13" x14ac:dyDescent="0.25">
      <c r="M1839" s="211"/>
    </row>
    <row r="1840" spans="13:13" x14ac:dyDescent="0.25">
      <c r="M1840" s="211"/>
    </row>
    <row r="1841" spans="13:13" x14ac:dyDescent="0.25">
      <c r="M1841" s="211"/>
    </row>
    <row r="1842" spans="13:13" x14ac:dyDescent="0.25">
      <c r="M1842" s="211"/>
    </row>
    <row r="1843" spans="13:13" x14ac:dyDescent="0.25">
      <c r="M1843" s="211"/>
    </row>
    <row r="1844" spans="13:13" x14ac:dyDescent="0.25">
      <c r="M1844" s="211"/>
    </row>
    <row r="1845" spans="13:13" x14ac:dyDescent="0.25">
      <c r="M1845" s="211"/>
    </row>
    <row r="1846" spans="13:13" x14ac:dyDescent="0.25">
      <c r="M1846" s="211"/>
    </row>
    <row r="1847" spans="13:13" x14ac:dyDescent="0.25">
      <c r="M1847" s="211"/>
    </row>
    <row r="1848" spans="13:13" x14ac:dyDescent="0.25">
      <c r="M1848" s="211"/>
    </row>
    <row r="1849" spans="13:13" x14ac:dyDescent="0.25">
      <c r="M1849" s="211"/>
    </row>
    <row r="1850" spans="13:13" x14ac:dyDescent="0.25">
      <c r="M1850" s="211"/>
    </row>
    <row r="1851" spans="13:13" x14ac:dyDescent="0.25">
      <c r="M1851" s="211"/>
    </row>
    <row r="1852" spans="13:13" x14ac:dyDescent="0.25">
      <c r="M1852" s="211"/>
    </row>
    <row r="1853" spans="13:13" x14ac:dyDescent="0.25">
      <c r="M1853" s="211"/>
    </row>
    <row r="1854" spans="13:13" x14ac:dyDescent="0.25">
      <c r="M1854" s="211"/>
    </row>
    <row r="1855" spans="13:13" x14ac:dyDescent="0.25">
      <c r="M1855" s="211"/>
    </row>
    <row r="1856" spans="13:13" x14ac:dyDescent="0.25">
      <c r="M1856" s="211"/>
    </row>
    <row r="1857" spans="13:13" x14ac:dyDescent="0.25">
      <c r="M1857" s="211"/>
    </row>
    <row r="1858" spans="13:13" x14ac:dyDescent="0.25">
      <c r="M1858" s="211"/>
    </row>
    <row r="1859" spans="13:13" x14ac:dyDescent="0.25">
      <c r="M1859" s="211"/>
    </row>
    <row r="1860" spans="13:13" x14ac:dyDescent="0.25">
      <c r="M1860" s="211"/>
    </row>
    <row r="1861" spans="13:13" x14ac:dyDescent="0.25">
      <c r="M1861" s="211"/>
    </row>
    <row r="1862" spans="13:13" x14ac:dyDescent="0.25">
      <c r="M1862" s="211"/>
    </row>
    <row r="1863" spans="13:13" x14ac:dyDescent="0.25">
      <c r="M1863" s="211"/>
    </row>
    <row r="1864" spans="13:13" x14ac:dyDescent="0.25">
      <c r="M1864" s="211"/>
    </row>
    <row r="1865" spans="13:13" x14ac:dyDescent="0.25">
      <c r="M1865" s="211"/>
    </row>
    <row r="1866" spans="13:13" x14ac:dyDescent="0.25">
      <c r="M1866" s="211"/>
    </row>
    <row r="1867" spans="13:13" x14ac:dyDescent="0.25">
      <c r="M1867" s="211"/>
    </row>
    <row r="1868" spans="13:13" x14ac:dyDescent="0.25">
      <c r="M1868" s="211"/>
    </row>
    <row r="1869" spans="13:13" x14ac:dyDescent="0.25">
      <c r="M1869" s="211"/>
    </row>
    <row r="1870" spans="13:13" x14ac:dyDescent="0.25">
      <c r="M1870" s="211"/>
    </row>
    <row r="1871" spans="13:13" x14ac:dyDescent="0.25">
      <c r="M1871" s="211"/>
    </row>
    <row r="1872" spans="13:13" x14ac:dyDescent="0.25">
      <c r="M1872" s="211"/>
    </row>
    <row r="1873" spans="13:13" x14ac:dyDescent="0.25">
      <c r="M1873" s="211"/>
    </row>
    <row r="1874" spans="13:13" x14ac:dyDescent="0.25">
      <c r="M1874" s="211"/>
    </row>
    <row r="1875" spans="13:13" x14ac:dyDescent="0.25">
      <c r="M1875" s="211"/>
    </row>
    <row r="1876" spans="13:13" x14ac:dyDescent="0.25">
      <c r="M1876" s="211"/>
    </row>
    <row r="1877" spans="13:13" x14ac:dyDescent="0.25">
      <c r="M1877" s="211"/>
    </row>
    <row r="1878" spans="13:13" x14ac:dyDescent="0.25">
      <c r="M1878" s="211"/>
    </row>
    <row r="1879" spans="13:13" x14ac:dyDescent="0.25">
      <c r="M1879" s="211"/>
    </row>
    <row r="1880" spans="13:13" x14ac:dyDescent="0.25">
      <c r="M1880" s="211"/>
    </row>
    <row r="1881" spans="13:13" x14ac:dyDescent="0.25">
      <c r="M1881" s="211"/>
    </row>
    <row r="1882" spans="13:13" x14ac:dyDescent="0.25">
      <c r="M1882" s="211"/>
    </row>
    <row r="1883" spans="13:13" x14ac:dyDescent="0.25">
      <c r="M1883" s="211"/>
    </row>
    <row r="1884" spans="13:13" x14ac:dyDescent="0.25">
      <c r="M1884" s="211"/>
    </row>
    <row r="1885" spans="13:13" x14ac:dyDescent="0.25">
      <c r="M1885" s="211"/>
    </row>
    <row r="1886" spans="13:13" x14ac:dyDescent="0.25">
      <c r="M1886" s="211"/>
    </row>
    <row r="1887" spans="13:13" x14ac:dyDescent="0.25">
      <c r="M1887" s="211"/>
    </row>
    <row r="1888" spans="13:13" x14ac:dyDescent="0.25">
      <c r="M1888" s="211"/>
    </row>
    <row r="1889" spans="13:13" x14ac:dyDescent="0.25">
      <c r="M1889" s="211"/>
    </row>
    <row r="1890" spans="13:13" x14ac:dyDescent="0.25">
      <c r="M1890" s="211"/>
    </row>
    <row r="1891" spans="13:13" x14ac:dyDescent="0.25">
      <c r="M1891" s="211"/>
    </row>
    <row r="1892" spans="13:13" x14ac:dyDescent="0.25">
      <c r="M1892" s="211"/>
    </row>
    <row r="1893" spans="13:13" x14ac:dyDescent="0.25">
      <c r="M1893" s="211"/>
    </row>
    <row r="1894" spans="13:13" x14ac:dyDescent="0.25">
      <c r="M1894" s="211"/>
    </row>
    <row r="1895" spans="13:13" x14ac:dyDescent="0.25">
      <c r="M1895" s="211"/>
    </row>
    <row r="1896" spans="13:13" x14ac:dyDescent="0.25">
      <c r="M1896" s="211"/>
    </row>
    <row r="1897" spans="13:13" x14ac:dyDescent="0.25">
      <c r="M1897" s="211"/>
    </row>
    <row r="1898" spans="13:13" x14ac:dyDescent="0.25">
      <c r="M1898" s="211"/>
    </row>
    <row r="1899" spans="13:13" x14ac:dyDescent="0.25">
      <c r="M1899" s="211"/>
    </row>
    <row r="1900" spans="13:13" x14ac:dyDescent="0.25">
      <c r="M1900" s="211"/>
    </row>
    <row r="1901" spans="13:13" x14ac:dyDescent="0.25">
      <c r="M1901" s="211"/>
    </row>
    <row r="1902" spans="13:13" x14ac:dyDescent="0.25">
      <c r="M1902" s="211"/>
    </row>
    <row r="1903" spans="13:13" x14ac:dyDescent="0.25">
      <c r="M1903" s="211"/>
    </row>
    <row r="1904" spans="13:13" x14ac:dyDescent="0.25">
      <c r="M1904" s="211"/>
    </row>
    <row r="1905" spans="13:13" x14ac:dyDescent="0.25">
      <c r="M1905" s="211"/>
    </row>
    <row r="1906" spans="13:13" x14ac:dyDescent="0.25">
      <c r="M1906" s="211"/>
    </row>
    <row r="1907" spans="13:13" x14ac:dyDescent="0.25">
      <c r="M1907" s="211"/>
    </row>
    <row r="1908" spans="13:13" x14ac:dyDescent="0.25">
      <c r="M1908" s="211"/>
    </row>
    <row r="1909" spans="13:13" x14ac:dyDescent="0.25">
      <c r="M1909" s="211"/>
    </row>
    <row r="1910" spans="13:13" x14ac:dyDescent="0.25">
      <c r="M1910" s="211"/>
    </row>
    <row r="1911" spans="13:13" x14ac:dyDescent="0.25">
      <c r="M1911" s="211"/>
    </row>
    <row r="1912" spans="13:13" x14ac:dyDescent="0.25">
      <c r="M1912" s="211"/>
    </row>
    <row r="1913" spans="13:13" x14ac:dyDescent="0.25">
      <c r="M1913" s="211"/>
    </row>
    <row r="1914" spans="13:13" x14ac:dyDescent="0.25">
      <c r="M1914" s="211"/>
    </row>
    <row r="1915" spans="13:13" x14ac:dyDescent="0.25">
      <c r="M1915" s="211"/>
    </row>
    <row r="1916" spans="13:13" x14ac:dyDescent="0.25">
      <c r="M1916" s="211"/>
    </row>
    <row r="1917" spans="13:13" x14ac:dyDescent="0.25">
      <c r="M1917" s="211"/>
    </row>
    <row r="1918" spans="13:13" x14ac:dyDescent="0.25">
      <c r="M1918" s="211"/>
    </row>
    <row r="1919" spans="13:13" x14ac:dyDescent="0.25">
      <c r="M1919" s="211"/>
    </row>
    <row r="1920" spans="13:13" x14ac:dyDescent="0.25">
      <c r="M1920" s="211"/>
    </row>
    <row r="1921" spans="13:13" x14ac:dyDescent="0.25">
      <c r="M1921" s="211"/>
    </row>
    <row r="1922" spans="13:13" x14ac:dyDescent="0.25">
      <c r="M1922" s="211"/>
    </row>
    <row r="1923" spans="13:13" x14ac:dyDescent="0.25">
      <c r="M1923" s="211"/>
    </row>
    <row r="1924" spans="13:13" x14ac:dyDescent="0.25">
      <c r="M1924" s="211"/>
    </row>
    <row r="1925" spans="13:13" x14ac:dyDescent="0.25">
      <c r="M1925" s="211"/>
    </row>
    <row r="1926" spans="13:13" x14ac:dyDescent="0.25">
      <c r="M1926" s="211"/>
    </row>
    <row r="1927" spans="13:13" x14ac:dyDescent="0.25">
      <c r="M1927" s="211"/>
    </row>
    <row r="1928" spans="13:13" x14ac:dyDescent="0.25">
      <c r="M1928" s="211"/>
    </row>
    <row r="1929" spans="13:13" x14ac:dyDescent="0.25">
      <c r="M1929" s="211"/>
    </row>
    <row r="1930" spans="13:13" x14ac:dyDescent="0.25">
      <c r="M1930" s="211"/>
    </row>
    <row r="1931" spans="13:13" x14ac:dyDescent="0.25">
      <c r="M1931" s="211"/>
    </row>
    <row r="1932" spans="13:13" x14ac:dyDescent="0.25">
      <c r="M1932" s="211"/>
    </row>
    <row r="1933" spans="13:13" x14ac:dyDescent="0.25">
      <c r="M1933" s="211"/>
    </row>
    <row r="1934" spans="13:13" x14ac:dyDescent="0.25">
      <c r="M1934" s="211"/>
    </row>
    <row r="1935" spans="13:13" x14ac:dyDescent="0.25">
      <c r="M1935" s="211"/>
    </row>
    <row r="1936" spans="13:13" x14ac:dyDescent="0.25">
      <c r="M1936" s="211"/>
    </row>
    <row r="1937" spans="13:13" x14ac:dyDescent="0.25">
      <c r="M1937" s="211"/>
    </row>
    <row r="1938" spans="13:13" x14ac:dyDescent="0.25">
      <c r="M1938" s="211"/>
    </row>
    <row r="1939" spans="13:13" x14ac:dyDescent="0.25">
      <c r="M1939" s="211"/>
    </row>
    <row r="1940" spans="13:13" x14ac:dyDescent="0.25">
      <c r="M1940" s="211"/>
    </row>
    <row r="1941" spans="13:13" x14ac:dyDescent="0.25">
      <c r="M1941" s="211"/>
    </row>
    <row r="1942" spans="13:13" x14ac:dyDescent="0.25">
      <c r="M1942" s="211"/>
    </row>
    <row r="1943" spans="13:13" x14ac:dyDescent="0.25">
      <c r="M1943" s="211"/>
    </row>
    <row r="1944" spans="13:13" x14ac:dyDescent="0.25">
      <c r="M1944" s="211"/>
    </row>
    <row r="1945" spans="13:13" x14ac:dyDescent="0.25">
      <c r="M1945" s="211"/>
    </row>
    <row r="1946" spans="13:13" x14ac:dyDescent="0.25">
      <c r="M1946" s="211"/>
    </row>
    <row r="1947" spans="13:13" x14ac:dyDescent="0.25">
      <c r="M1947" s="211"/>
    </row>
    <row r="1948" spans="13:13" x14ac:dyDescent="0.25">
      <c r="M1948" s="211"/>
    </row>
    <row r="1949" spans="13:13" x14ac:dyDescent="0.25">
      <c r="M1949" s="211"/>
    </row>
    <row r="1950" spans="13:13" x14ac:dyDescent="0.25">
      <c r="M1950" s="211"/>
    </row>
    <row r="1951" spans="13:13" x14ac:dyDescent="0.25">
      <c r="M1951" s="211"/>
    </row>
    <row r="1952" spans="13:13" x14ac:dyDescent="0.25">
      <c r="M1952" s="211"/>
    </row>
    <row r="1953" spans="13:13" x14ac:dyDescent="0.25">
      <c r="M1953" s="211"/>
    </row>
    <row r="1954" spans="13:13" x14ac:dyDescent="0.25">
      <c r="M1954" s="211"/>
    </row>
    <row r="1955" spans="13:13" x14ac:dyDescent="0.25">
      <c r="M1955" s="211"/>
    </row>
    <row r="1956" spans="13:13" x14ac:dyDescent="0.25">
      <c r="M1956" s="211"/>
    </row>
    <row r="1957" spans="13:13" x14ac:dyDescent="0.25">
      <c r="M1957" s="211"/>
    </row>
    <row r="1958" spans="13:13" x14ac:dyDescent="0.25">
      <c r="M1958" s="211"/>
    </row>
    <row r="1959" spans="13:13" x14ac:dyDescent="0.25">
      <c r="M1959" s="211"/>
    </row>
    <row r="1960" spans="13:13" x14ac:dyDescent="0.25">
      <c r="M1960" s="211"/>
    </row>
    <row r="1961" spans="13:13" x14ac:dyDescent="0.25">
      <c r="M1961" s="211"/>
    </row>
    <row r="1962" spans="13:13" x14ac:dyDescent="0.25">
      <c r="M1962" s="211"/>
    </row>
    <row r="1963" spans="13:13" x14ac:dyDescent="0.25">
      <c r="M1963" s="211"/>
    </row>
    <row r="1964" spans="13:13" x14ac:dyDescent="0.25">
      <c r="M1964" s="211"/>
    </row>
    <row r="1965" spans="13:13" x14ac:dyDescent="0.25">
      <c r="M1965" s="211"/>
    </row>
    <row r="1966" spans="13:13" x14ac:dyDescent="0.25">
      <c r="M1966" s="211"/>
    </row>
    <row r="1967" spans="13:13" x14ac:dyDescent="0.25">
      <c r="M1967" s="211"/>
    </row>
    <row r="1968" spans="13:13" x14ac:dyDescent="0.25">
      <c r="M1968" s="211"/>
    </row>
    <row r="1969" spans="13:13" x14ac:dyDescent="0.25">
      <c r="M1969" s="211"/>
    </row>
    <row r="1970" spans="13:13" x14ac:dyDescent="0.25">
      <c r="M1970" s="211"/>
    </row>
    <row r="1971" spans="13:13" x14ac:dyDescent="0.25">
      <c r="M1971" s="211"/>
    </row>
    <row r="1972" spans="13:13" x14ac:dyDescent="0.25">
      <c r="M1972" s="211"/>
    </row>
    <row r="1973" spans="13:13" x14ac:dyDescent="0.25">
      <c r="M1973" s="211"/>
    </row>
    <row r="1974" spans="13:13" x14ac:dyDescent="0.25">
      <c r="M1974" s="211"/>
    </row>
    <row r="1975" spans="13:13" x14ac:dyDescent="0.25">
      <c r="M1975" s="211"/>
    </row>
    <row r="1976" spans="13:13" x14ac:dyDescent="0.25">
      <c r="M1976" s="211"/>
    </row>
    <row r="1977" spans="13:13" x14ac:dyDescent="0.25">
      <c r="M1977" s="211"/>
    </row>
    <row r="1978" spans="13:13" x14ac:dyDescent="0.25">
      <c r="M1978" s="211"/>
    </row>
    <row r="1979" spans="13:13" x14ac:dyDescent="0.25">
      <c r="M1979" s="211"/>
    </row>
    <row r="1980" spans="13:13" x14ac:dyDescent="0.25">
      <c r="M1980" s="211"/>
    </row>
    <row r="1981" spans="13:13" x14ac:dyDescent="0.25">
      <c r="M1981" s="211"/>
    </row>
    <row r="1982" spans="13:13" x14ac:dyDescent="0.25">
      <c r="M1982" s="211"/>
    </row>
    <row r="1983" spans="13:13" x14ac:dyDescent="0.25">
      <c r="M1983" s="211"/>
    </row>
    <row r="1984" spans="13:13" x14ac:dyDescent="0.25">
      <c r="M1984" s="211"/>
    </row>
    <row r="1985" spans="13:13" x14ac:dyDescent="0.25">
      <c r="M1985" s="211"/>
    </row>
    <row r="1986" spans="13:13" x14ac:dyDescent="0.25">
      <c r="M1986" s="211"/>
    </row>
    <row r="1987" spans="13:13" x14ac:dyDescent="0.25">
      <c r="M1987" s="211"/>
    </row>
    <row r="1988" spans="13:13" x14ac:dyDescent="0.25">
      <c r="M1988" s="211"/>
    </row>
    <row r="1989" spans="13:13" x14ac:dyDescent="0.25">
      <c r="M1989" s="211"/>
    </row>
    <row r="1990" spans="13:13" x14ac:dyDescent="0.25">
      <c r="M1990" s="211"/>
    </row>
    <row r="1991" spans="13:13" x14ac:dyDescent="0.25">
      <c r="M1991" s="211"/>
    </row>
    <row r="1992" spans="13:13" x14ac:dyDescent="0.25">
      <c r="M1992" s="211"/>
    </row>
    <row r="1993" spans="13:13" x14ac:dyDescent="0.25">
      <c r="M1993" s="211"/>
    </row>
    <row r="1994" spans="13:13" x14ac:dyDescent="0.25">
      <c r="M1994" s="211"/>
    </row>
    <row r="1995" spans="13:13" x14ac:dyDescent="0.25">
      <c r="M1995" s="211"/>
    </row>
    <row r="1996" spans="13:13" x14ac:dyDescent="0.25">
      <c r="M1996" s="211"/>
    </row>
    <row r="1997" spans="13:13" x14ac:dyDescent="0.25">
      <c r="M1997" s="211"/>
    </row>
    <row r="1998" spans="13:13" x14ac:dyDescent="0.25">
      <c r="M1998" s="211"/>
    </row>
    <row r="1999" spans="13:13" x14ac:dyDescent="0.25">
      <c r="M1999" s="211"/>
    </row>
    <row r="2000" spans="13:13" x14ac:dyDescent="0.25">
      <c r="M2000" s="211"/>
    </row>
    <row r="2001" spans="13:13" x14ac:dyDescent="0.25">
      <c r="M2001" s="211"/>
    </row>
    <row r="2002" spans="13:13" x14ac:dyDescent="0.25">
      <c r="M2002" s="211"/>
    </row>
    <row r="2003" spans="13:13" x14ac:dyDescent="0.25">
      <c r="M2003" s="211"/>
    </row>
    <row r="2004" spans="13:13" x14ac:dyDescent="0.25">
      <c r="M2004" s="211"/>
    </row>
    <row r="2005" spans="13:13" x14ac:dyDescent="0.25">
      <c r="M2005" s="211"/>
    </row>
    <row r="2006" spans="13:13" x14ac:dyDescent="0.25">
      <c r="M2006" s="211"/>
    </row>
    <row r="2007" spans="13:13" x14ac:dyDescent="0.25">
      <c r="M2007" s="211"/>
    </row>
    <row r="2008" spans="13:13" x14ac:dyDescent="0.25">
      <c r="M2008" s="211"/>
    </row>
    <row r="2009" spans="13:13" x14ac:dyDescent="0.25">
      <c r="M2009" s="211"/>
    </row>
    <row r="2010" spans="13:13" x14ac:dyDescent="0.25">
      <c r="M2010" s="211"/>
    </row>
    <row r="2011" spans="13:13" x14ac:dyDescent="0.25">
      <c r="M2011" s="211"/>
    </row>
    <row r="2012" spans="13:13" x14ac:dyDescent="0.25">
      <c r="M2012" s="211"/>
    </row>
    <row r="2013" spans="13:13" x14ac:dyDescent="0.25">
      <c r="M2013" s="211"/>
    </row>
    <row r="2014" spans="13:13" x14ac:dyDescent="0.25">
      <c r="M2014" s="211"/>
    </row>
    <row r="2015" spans="13:13" x14ac:dyDescent="0.25">
      <c r="M2015" s="211"/>
    </row>
    <row r="2016" spans="13:13" x14ac:dyDescent="0.25">
      <c r="M2016" s="211"/>
    </row>
    <row r="2017" spans="13:13" x14ac:dyDescent="0.25">
      <c r="M2017" s="211"/>
    </row>
    <row r="2018" spans="13:13" x14ac:dyDescent="0.25">
      <c r="M2018" s="211"/>
    </row>
    <row r="2019" spans="13:13" x14ac:dyDescent="0.25">
      <c r="M2019" s="211"/>
    </row>
    <row r="2020" spans="13:13" x14ac:dyDescent="0.25">
      <c r="M2020" s="211"/>
    </row>
    <row r="2021" spans="13:13" x14ac:dyDescent="0.25">
      <c r="M2021" s="211"/>
    </row>
    <row r="2022" spans="13:13" x14ac:dyDescent="0.25">
      <c r="M2022" s="211"/>
    </row>
    <row r="2023" spans="13:13" x14ac:dyDescent="0.25">
      <c r="M2023" s="211"/>
    </row>
    <row r="2024" spans="13:13" x14ac:dyDescent="0.25">
      <c r="M2024" s="211"/>
    </row>
    <row r="2025" spans="13:13" x14ac:dyDescent="0.25">
      <c r="M2025" s="211"/>
    </row>
    <row r="2026" spans="13:13" x14ac:dyDescent="0.25">
      <c r="M2026" s="211"/>
    </row>
    <row r="2027" spans="13:13" x14ac:dyDescent="0.25">
      <c r="M2027" s="211"/>
    </row>
    <row r="2028" spans="13:13" x14ac:dyDescent="0.25">
      <c r="M2028" s="211"/>
    </row>
    <row r="2029" spans="13:13" x14ac:dyDescent="0.25">
      <c r="M2029" s="211"/>
    </row>
    <row r="2030" spans="13:13" x14ac:dyDescent="0.25">
      <c r="M2030" s="211"/>
    </row>
    <row r="2031" spans="13:13" x14ac:dyDescent="0.25">
      <c r="M2031" s="211"/>
    </row>
    <row r="2032" spans="13:13" x14ac:dyDescent="0.25">
      <c r="M2032" s="211"/>
    </row>
    <row r="2033" spans="13:13" x14ac:dyDescent="0.25">
      <c r="M2033" s="211"/>
    </row>
    <row r="2034" spans="13:13" x14ac:dyDescent="0.25">
      <c r="M2034" s="211"/>
    </row>
    <row r="2035" spans="13:13" x14ac:dyDescent="0.25">
      <c r="M2035" s="211"/>
    </row>
    <row r="2036" spans="13:13" x14ac:dyDescent="0.25">
      <c r="M2036" s="211"/>
    </row>
    <row r="2037" spans="13:13" x14ac:dyDescent="0.25">
      <c r="M2037" s="211"/>
    </row>
    <row r="2038" spans="13:13" x14ac:dyDescent="0.25">
      <c r="M2038" s="211"/>
    </row>
    <row r="2039" spans="13:13" x14ac:dyDescent="0.25">
      <c r="M2039" s="211"/>
    </row>
    <row r="2040" spans="13:13" x14ac:dyDescent="0.25">
      <c r="M2040" s="211"/>
    </row>
    <row r="2041" spans="13:13" x14ac:dyDescent="0.25">
      <c r="M2041" s="211"/>
    </row>
    <row r="2042" spans="13:13" x14ac:dyDescent="0.25">
      <c r="M2042" s="211"/>
    </row>
    <row r="2043" spans="13:13" x14ac:dyDescent="0.25">
      <c r="M2043" s="211"/>
    </row>
    <row r="2044" spans="13:13" x14ac:dyDescent="0.25">
      <c r="M2044" s="211"/>
    </row>
    <row r="2045" spans="13:13" x14ac:dyDescent="0.25">
      <c r="M2045" s="211"/>
    </row>
    <row r="2046" spans="13:13" x14ac:dyDescent="0.25">
      <c r="M2046" s="211"/>
    </row>
    <row r="2047" spans="13:13" x14ac:dyDescent="0.25">
      <c r="M2047" s="211"/>
    </row>
    <row r="2048" spans="13:13" x14ac:dyDescent="0.25">
      <c r="M2048" s="211"/>
    </row>
    <row r="2049" spans="13:13" x14ac:dyDescent="0.25">
      <c r="M2049" s="211"/>
    </row>
    <row r="2050" spans="13:13" x14ac:dyDescent="0.25">
      <c r="M2050" s="211"/>
    </row>
    <row r="2051" spans="13:13" x14ac:dyDescent="0.25">
      <c r="M2051" s="211"/>
    </row>
    <row r="2052" spans="13:13" x14ac:dyDescent="0.25">
      <c r="M2052" s="211"/>
    </row>
    <row r="2053" spans="13:13" x14ac:dyDescent="0.25">
      <c r="M2053" s="211"/>
    </row>
    <row r="2054" spans="13:13" x14ac:dyDescent="0.25">
      <c r="M2054" s="211"/>
    </row>
    <row r="2055" spans="13:13" x14ac:dyDescent="0.25">
      <c r="M2055" s="211"/>
    </row>
    <row r="2056" spans="13:13" x14ac:dyDescent="0.25">
      <c r="M2056" s="211"/>
    </row>
    <row r="2057" spans="13:13" x14ac:dyDescent="0.25">
      <c r="M2057" s="211"/>
    </row>
    <row r="2058" spans="13:13" x14ac:dyDescent="0.25">
      <c r="M2058" s="211"/>
    </row>
    <row r="2059" spans="13:13" x14ac:dyDescent="0.25">
      <c r="M2059" s="211"/>
    </row>
    <row r="2060" spans="13:13" x14ac:dyDescent="0.25">
      <c r="M2060" s="211"/>
    </row>
    <row r="2061" spans="13:13" x14ac:dyDescent="0.25">
      <c r="M2061" s="211"/>
    </row>
    <row r="2062" spans="13:13" x14ac:dyDescent="0.25">
      <c r="M2062" s="211"/>
    </row>
    <row r="2063" spans="13:13" x14ac:dyDescent="0.25">
      <c r="M2063" s="211"/>
    </row>
    <row r="2064" spans="13:13" x14ac:dyDescent="0.25">
      <c r="M2064" s="211"/>
    </row>
    <row r="2065" spans="13:13" x14ac:dyDescent="0.25">
      <c r="M2065" s="211"/>
    </row>
    <row r="2066" spans="13:13" x14ac:dyDescent="0.25">
      <c r="M2066" s="211"/>
    </row>
    <row r="2067" spans="13:13" x14ac:dyDescent="0.25">
      <c r="M2067" s="211"/>
    </row>
    <row r="2068" spans="13:13" x14ac:dyDescent="0.25">
      <c r="M2068" s="211"/>
    </row>
    <row r="2069" spans="13:13" x14ac:dyDescent="0.25">
      <c r="M2069" s="211"/>
    </row>
    <row r="2070" spans="13:13" x14ac:dyDescent="0.25">
      <c r="M2070" s="211"/>
    </row>
    <row r="2071" spans="13:13" x14ac:dyDescent="0.25">
      <c r="M2071" s="211"/>
    </row>
    <row r="2072" spans="13:13" x14ac:dyDescent="0.25">
      <c r="M2072" s="211"/>
    </row>
    <row r="2073" spans="13:13" x14ac:dyDescent="0.25">
      <c r="M2073" s="211"/>
    </row>
    <row r="2074" spans="13:13" x14ac:dyDescent="0.25">
      <c r="M2074" s="211"/>
    </row>
    <row r="2075" spans="13:13" x14ac:dyDescent="0.25">
      <c r="M2075" s="211"/>
    </row>
    <row r="2076" spans="13:13" x14ac:dyDescent="0.25">
      <c r="M2076" s="211"/>
    </row>
    <row r="2077" spans="13:13" x14ac:dyDescent="0.25">
      <c r="M2077" s="211"/>
    </row>
    <row r="2078" spans="13:13" x14ac:dyDescent="0.25">
      <c r="M2078" s="211"/>
    </row>
    <row r="2079" spans="13:13" x14ac:dyDescent="0.25">
      <c r="M2079" s="211"/>
    </row>
    <row r="2080" spans="13:13" x14ac:dyDescent="0.25">
      <c r="M2080" s="211"/>
    </row>
    <row r="2081" spans="13:13" x14ac:dyDescent="0.25">
      <c r="M2081" s="211"/>
    </row>
    <row r="2082" spans="13:13" x14ac:dyDescent="0.25">
      <c r="M2082" s="211"/>
    </row>
    <row r="2083" spans="13:13" x14ac:dyDescent="0.25">
      <c r="M2083" s="211"/>
    </row>
    <row r="2084" spans="13:13" x14ac:dyDescent="0.25">
      <c r="M2084" s="211"/>
    </row>
    <row r="2085" spans="13:13" x14ac:dyDescent="0.25">
      <c r="M2085" s="211"/>
    </row>
    <row r="2086" spans="13:13" x14ac:dyDescent="0.25">
      <c r="M2086" s="211"/>
    </row>
    <row r="2087" spans="13:13" x14ac:dyDescent="0.25">
      <c r="M2087" s="211"/>
    </row>
    <row r="2088" spans="13:13" x14ac:dyDescent="0.25">
      <c r="M2088" s="211"/>
    </row>
    <row r="2089" spans="13:13" x14ac:dyDescent="0.25">
      <c r="M2089" s="211"/>
    </row>
    <row r="2090" spans="13:13" x14ac:dyDescent="0.25">
      <c r="M2090" s="211"/>
    </row>
    <row r="2091" spans="13:13" x14ac:dyDescent="0.25">
      <c r="M2091" s="211"/>
    </row>
    <row r="2092" spans="13:13" x14ac:dyDescent="0.25">
      <c r="M2092" s="211"/>
    </row>
    <row r="2093" spans="13:13" x14ac:dyDescent="0.25">
      <c r="M2093" s="211"/>
    </row>
    <row r="2094" spans="13:13" x14ac:dyDescent="0.25">
      <c r="M2094" s="211"/>
    </row>
    <row r="2095" spans="13:13" x14ac:dyDescent="0.25">
      <c r="M2095" s="211"/>
    </row>
    <row r="2096" spans="13:13" x14ac:dyDescent="0.25">
      <c r="M2096" s="211"/>
    </row>
    <row r="2097" spans="13:13" x14ac:dyDescent="0.25">
      <c r="M2097" s="211"/>
    </row>
    <row r="2098" spans="13:13" x14ac:dyDescent="0.25">
      <c r="M2098" s="211"/>
    </row>
    <row r="2099" spans="13:13" x14ac:dyDescent="0.25">
      <c r="M2099" s="211"/>
    </row>
    <row r="2100" spans="13:13" x14ac:dyDescent="0.25">
      <c r="M2100" s="211"/>
    </row>
    <row r="2101" spans="13:13" x14ac:dyDescent="0.25">
      <c r="M2101" s="211"/>
    </row>
    <row r="2102" spans="13:13" x14ac:dyDescent="0.25">
      <c r="M2102" s="211"/>
    </row>
    <row r="2103" spans="13:13" x14ac:dyDescent="0.25">
      <c r="M2103" s="211"/>
    </row>
    <row r="2104" spans="13:13" x14ac:dyDescent="0.25">
      <c r="M2104" s="211"/>
    </row>
    <row r="2105" spans="13:13" x14ac:dyDescent="0.25">
      <c r="M2105" s="211"/>
    </row>
    <row r="2106" spans="13:13" x14ac:dyDescent="0.25">
      <c r="M2106" s="211"/>
    </row>
    <row r="2107" spans="13:13" x14ac:dyDescent="0.25">
      <c r="M2107" s="211"/>
    </row>
    <row r="2108" spans="13:13" x14ac:dyDescent="0.25">
      <c r="M2108" s="211"/>
    </row>
    <row r="2109" spans="13:13" x14ac:dyDescent="0.25">
      <c r="M2109" s="211"/>
    </row>
    <row r="2110" spans="13:13" x14ac:dyDescent="0.25">
      <c r="M2110" s="211"/>
    </row>
    <row r="2111" spans="13:13" x14ac:dyDescent="0.25">
      <c r="M2111" s="211"/>
    </row>
    <row r="2112" spans="13:13" x14ac:dyDescent="0.25">
      <c r="M2112" s="211"/>
    </row>
    <row r="2113" spans="13:13" x14ac:dyDescent="0.25">
      <c r="M2113" s="211"/>
    </row>
    <row r="2114" spans="13:13" x14ac:dyDescent="0.25">
      <c r="M2114" s="211"/>
    </row>
    <row r="2115" spans="13:13" x14ac:dyDescent="0.25">
      <c r="M2115" s="211"/>
    </row>
    <row r="2116" spans="13:13" x14ac:dyDescent="0.25">
      <c r="M2116" s="211"/>
    </row>
    <row r="2117" spans="13:13" x14ac:dyDescent="0.25">
      <c r="M2117" s="211"/>
    </row>
    <row r="2118" spans="13:13" x14ac:dyDescent="0.25">
      <c r="M2118" s="211"/>
    </row>
    <row r="2119" spans="13:13" x14ac:dyDescent="0.25">
      <c r="M2119" s="211"/>
    </row>
    <row r="2120" spans="13:13" x14ac:dyDescent="0.25">
      <c r="M2120" s="211"/>
    </row>
    <row r="2121" spans="13:13" x14ac:dyDescent="0.25">
      <c r="M2121" s="211"/>
    </row>
    <row r="2122" spans="13:13" x14ac:dyDescent="0.25">
      <c r="M2122" s="211"/>
    </row>
    <row r="2123" spans="13:13" x14ac:dyDescent="0.25">
      <c r="M2123" s="211"/>
    </row>
    <row r="2124" spans="13:13" x14ac:dyDescent="0.25">
      <c r="M2124" s="211"/>
    </row>
    <row r="2125" spans="13:13" x14ac:dyDescent="0.25">
      <c r="M2125" s="211"/>
    </row>
    <row r="2126" spans="13:13" x14ac:dyDescent="0.25">
      <c r="M2126" s="211"/>
    </row>
    <row r="2127" spans="13:13" x14ac:dyDescent="0.25">
      <c r="M2127" s="211"/>
    </row>
    <row r="2128" spans="13:13" x14ac:dyDescent="0.25">
      <c r="M2128" s="211"/>
    </row>
    <row r="2129" spans="13:13" x14ac:dyDescent="0.25">
      <c r="M2129" s="211"/>
    </row>
    <row r="2130" spans="13:13" x14ac:dyDescent="0.25">
      <c r="M2130" s="211"/>
    </row>
    <row r="2131" spans="13:13" x14ac:dyDescent="0.25">
      <c r="M2131" s="211"/>
    </row>
    <row r="2132" spans="13:13" x14ac:dyDescent="0.25">
      <c r="M2132" s="211"/>
    </row>
    <row r="2133" spans="13:13" x14ac:dyDescent="0.25">
      <c r="M2133" s="211"/>
    </row>
    <row r="2134" spans="13:13" x14ac:dyDescent="0.25">
      <c r="M2134" s="211"/>
    </row>
    <row r="2135" spans="13:13" x14ac:dyDescent="0.25">
      <c r="M2135" s="211"/>
    </row>
    <row r="2136" spans="13:13" x14ac:dyDescent="0.25">
      <c r="M2136" s="211"/>
    </row>
    <row r="2137" spans="13:13" x14ac:dyDescent="0.25">
      <c r="M2137" s="211"/>
    </row>
    <row r="2138" spans="13:13" x14ac:dyDescent="0.25">
      <c r="M2138" s="211"/>
    </row>
    <row r="2139" spans="13:13" x14ac:dyDescent="0.25">
      <c r="M2139" s="211"/>
    </row>
    <row r="2140" spans="13:13" x14ac:dyDescent="0.25">
      <c r="M2140" s="211"/>
    </row>
    <row r="2141" spans="13:13" x14ac:dyDescent="0.25">
      <c r="M2141" s="211"/>
    </row>
    <row r="2142" spans="13:13" x14ac:dyDescent="0.25">
      <c r="M2142" s="211"/>
    </row>
    <row r="2143" spans="13:13" x14ac:dyDescent="0.25">
      <c r="M2143" s="211"/>
    </row>
    <row r="2144" spans="13:13" x14ac:dyDescent="0.25">
      <c r="M2144" s="211"/>
    </row>
    <row r="2145" spans="13:13" x14ac:dyDescent="0.25">
      <c r="M2145" s="211"/>
    </row>
    <row r="2146" spans="13:13" x14ac:dyDescent="0.25">
      <c r="M2146" s="211"/>
    </row>
    <row r="2147" spans="13:13" x14ac:dyDescent="0.25">
      <c r="M2147" s="211"/>
    </row>
    <row r="2148" spans="13:13" x14ac:dyDescent="0.25">
      <c r="M2148" s="211"/>
    </row>
    <row r="2149" spans="13:13" x14ac:dyDescent="0.25">
      <c r="M2149" s="211"/>
    </row>
    <row r="2150" spans="13:13" x14ac:dyDescent="0.25">
      <c r="M2150" s="211"/>
    </row>
    <row r="2151" spans="13:13" x14ac:dyDescent="0.25">
      <c r="M2151" s="211"/>
    </row>
    <row r="2152" spans="13:13" x14ac:dyDescent="0.25">
      <c r="M2152" s="211"/>
    </row>
    <row r="2153" spans="13:13" x14ac:dyDescent="0.25">
      <c r="M2153" s="211"/>
    </row>
    <row r="2154" spans="13:13" x14ac:dyDescent="0.25">
      <c r="M2154" s="211"/>
    </row>
    <row r="2155" spans="13:13" x14ac:dyDescent="0.25">
      <c r="M2155" s="211"/>
    </row>
    <row r="2156" spans="13:13" x14ac:dyDescent="0.25">
      <c r="M2156" s="211"/>
    </row>
    <row r="2157" spans="13:13" x14ac:dyDescent="0.25">
      <c r="M2157" s="211"/>
    </row>
    <row r="2158" spans="13:13" x14ac:dyDescent="0.25">
      <c r="M2158" s="211"/>
    </row>
    <row r="2159" spans="13:13" x14ac:dyDescent="0.25">
      <c r="M2159" s="211"/>
    </row>
    <row r="2160" spans="13:13" x14ac:dyDescent="0.25">
      <c r="M2160" s="211"/>
    </row>
    <row r="2161" spans="13:13" x14ac:dyDescent="0.25">
      <c r="M2161" s="211"/>
    </row>
    <row r="2162" spans="13:13" x14ac:dyDescent="0.25">
      <c r="M2162" s="211"/>
    </row>
    <row r="2163" spans="13:13" x14ac:dyDescent="0.25">
      <c r="M2163" s="211"/>
    </row>
    <row r="2164" spans="13:13" x14ac:dyDescent="0.25">
      <c r="M2164" s="211"/>
    </row>
    <row r="2165" spans="13:13" x14ac:dyDescent="0.25">
      <c r="M2165" s="211"/>
    </row>
    <row r="2166" spans="13:13" x14ac:dyDescent="0.25">
      <c r="M2166" s="211"/>
    </row>
    <row r="2167" spans="13:13" x14ac:dyDescent="0.25">
      <c r="M2167" s="211"/>
    </row>
    <row r="2168" spans="13:13" x14ac:dyDescent="0.25">
      <c r="M2168" s="211"/>
    </row>
    <row r="2169" spans="13:13" x14ac:dyDescent="0.25">
      <c r="M2169" s="211"/>
    </row>
    <row r="2170" spans="13:13" x14ac:dyDescent="0.25">
      <c r="M2170" s="211"/>
    </row>
    <row r="2171" spans="13:13" x14ac:dyDescent="0.25">
      <c r="M2171" s="211"/>
    </row>
    <row r="2172" spans="13:13" x14ac:dyDescent="0.25">
      <c r="M2172" s="211"/>
    </row>
    <row r="2173" spans="13:13" x14ac:dyDescent="0.25">
      <c r="M2173" s="211"/>
    </row>
    <row r="2174" spans="13:13" x14ac:dyDescent="0.25">
      <c r="M2174" s="211"/>
    </row>
    <row r="2175" spans="13:13" x14ac:dyDescent="0.25">
      <c r="M2175" s="211"/>
    </row>
    <row r="2176" spans="13:13" x14ac:dyDescent="0.25">
      <c r="M2176" s="211"/>
    </row>
    <row r="2177" spans="13:13" x14ac:dyDescent="0.25">
      <c r="M2177" s="211"/>
    </row>
    <row r="2178" spans="13:13" x14ac:dyDescent="0.25">
      <c r="M2178" s="211"/>
    </row>
    <row r="2179" spans="13:13" x14ac:dyDescent="0.25">
      <c r="M2179" s="211"/>
    </row>
    <row r="2180" spans="13:13" x14ac:dyDescent="0.25">
      <c r="M2180" s="211"/>
    </row>
    <row r="2181" spans="13:13" x14ac:dyDescent="0.25">
      <c r="M2181" s="211"/>
    </row>
    <row r="2182" spans="13:13" x14ac:dyDescent="0.25">
      <c r="M2182" s="211"/>
    </row>
    <row r="2183" spans="13:13" x14ac:dyDescent="0.25">
      <c r="M2183" s="211"/>
    </row>
    <row r="2184" spans="13:13" x14ac:dyDescent="0.25">
      <c r="M2184" s="211"/>
    </row>
    <row r="2185" spans="13:13" x14ac:dyDescent="0.25">
      <c r="M2185" s="211"/>
    </row>
    <row r="2186" spans="13:13" x14ac:dyDescent="0.25">
      <c r="M2186" s="211"/>
    </row>
    <row r="2187" spans="13:13" x14ac:dyDescent="0.25">
      <c r="M2187" s="211"/>
    </row>
    <row r="2188" spans="13:13" x14ac:dyDescent="0.25">
      <c r="M2188" s="211"/>
    </row>
    <row r="2189" spans="13:13" x14ac:dyDescent="0.25">
      <c r="M2189" s="211"/>
    </row>
    <row r="2190" spans="13:13" x14ac:dyDescent="0.25">
      <c r="M2190" s="211"/>
    </row>
    <row r="2191" spans="13:13" x14ac:dyDescent="0.25">
      <c r="M2191" s="211"/>
    </row>
    <row r="2192" spans="13:13" x14ac:dyDescent="0.25">
      <c r="M2192" s="211"/>
    </row>
    <row r="2193" spans="13:13" x14ac:dyDescent="0.25">
      <c r="M2193" s="211"/>
    </row>
    <row r="2194" spans="13:13" x14ac:dyDescent="0.25">
      <c r="M2194" s="211"/>
    </row>
    <row r="2195" spans="13:13" x14ac:dyDescent="0.25">
      <c r="M2195" s="211"/>
    </row>
    <row r="2196" spans="13:13" x14ac:dyDescent="0.25">
      <c r="M2196" s="211"/>
    </row>
    <row r="2197" spans="13:13" x14ac:dyDescent="0.25">
      <c r="M2197" s="211"/>
    </row>
    <row r="2198" spans="13:13" x14ac:dyDescent="0.25">
      <c r="M2198" s="211"/>
    </row>
    <row r="2199" spans="13:13" x14ac:dyDescent="0.25">
      <c r="M2199" s="211"/>
    </row>
    <row r="2200" spans="13:13" x14ac:dyDescent="0.25">
      <c r="M2200" s="211"/>
    </row>
    <row r="2201" spans="13:13" x14ac:dyDescent="0.25">
      <c r="M2201" s="211"/>
    </row>
    <row r="2202" spans="13:13" x14ac:dyDescent="0.25">
      <c r="M2202" s="211"/>
    </row>
    <row r="2203" spans="13:13" x14ac:dyDescent="0.25">
      <c r="M2203" s="211"/>
    </row>
    <row r="2204" spans="13:13" x14ac:dyDescent="0.25">
      <c r="M2204" s="211"/>
    </row>
    <row r="2205" spans="13:13" x14ac:dyDescent="0.25">
      <c r="M2205" s="211"/>
    </row>
    <row r="2206" spans="13:13" x14ac:dyDescent="0.25">
      <c r="M2206" s="211"/>
    </row>
    <row r="2207" spans="13:13" x14ac:dyDescent="0.25">
      <c r="M2207" s="211"/>
    </row>
    <row r="2208" spans="13:13" x14ac:dyDescent="0.25">
      <c r="M2208" s="211"/>
    </row>
    <row r="2209" spans="13:13" x14ac:dyDescent="0.25">
      <c r="M2209" s="211"/>
    </row>
    <row r="2210" spans="13:13" x14ac:dyDescent="0.25">
      <c r="M2210" s="211"/>
    </row>
    <row r="2211" spans="13:13" x14ac:dyDescent="0.25">
      <c r="M2211" s="211"/>
    </row>
    <row r="2212" spans="13:13" x14ac:dyDescent="0.25">
      <c r="M2212" s="211"/>
    </row>
    <row r="2213" spans="13:13" x14ac:dyDescent="0.25">
      <c r="M2213" s="211"/>
    </row>
    <row r="2214" spans="13:13" x14ac:dyDescent="0.25">
      <c r="M2214" s="211"/>
    </row>
    <row r="2215" spans="13:13" x14ac:dyDescent="0.25">
      <c r="M2215" s="211"/>
    </row>
    <row r="2216" spans="13:13" x14ac:dyDescent="0.25">
      <c r="M2216" s="211"/>
    </row>
    <row r="2217" spans="13:13" x14ac:dyDescent="0.25">
      <c r="M2217" s="211"/>
    </row>
    <row r="2218" spans="13:13" x14ac:dyDescent="0.25">
      <c r="M2218" s="211"/>
    </row>
    <row r="2219" spans="13:13" x14ac:dyDescent="0.25">
      <c r="M2219" s="211"/>
    </row>
    <row r="2220" spans="13:13" x14ac:dyDescent="0.25">
      <c r="M2220" s="211"/>
    </row>
    <row r="2221" spans="13:13" x14ac:dyDescent="0.25">
      <c r="M2221" s="211"/>
    </row>
    <row r="2222" spans="13:13" x14ac:dyDescent="0.25">
      <c r="M2222" s="211"/>
    </row>
    <row r="2223" spans="13:13" x14ac:dyDescent="0.25">
      <c r="M2223" s="211"/>
    </row>
    <row r="2224" spans="13:13" x14ac:dyDescent="0.25">
      <c r="M2224" s="211"/>
    </row>
    <row r="2225" spans="13:13" x14ac:dyDescent="0.25">
      <c r="M2225" s="211"/>
    </row>
    <row r="2226" spans="13:13" x14ac:dyDescent="0.25">
      <c r="M2226" s="211"/>
    </row>
    <row r="2227" spans="13:13" x14ac:dyDescent="0.25">
      <c r="M2227" s="211"/>
    </row>
    <row r="2228" spans="13:13" x14ac:dyDescent="0.25">
      <c r="M2228" s="211"/>
    </row>
    <row r="2229" spans="13:13" x14ac:dyDescent="0.25">
      <c r="M2229" s="211"/>
    </row>
    <row r="2230" spans="13:13" x14ac:dyDescent="0.25">
      <c r="M2230" s="211"/>
    </row>
    <row r="2231" spans="13:13" x14ac:dyDescent="0.25">
      <c r="M2231" s="211"/>
    </row>
    <row r="2232" spans="13:13" x14ac:dyDescent="0.25">
      <c r="M2232" s="211"/>
    </row>
    <row r="2233" spans="13:13" x14ac:dyDescent="0.25">
      <c r="M2233" s="211"/>
    </row>
    <row r="2234" spans="13:13" x14ac:dyDescent="0.25">
      <c r="M2234" s="211"/>
    </row>
    <row r="2235" spans="13:13" x14ac:dyDescent="0.25">
      <c r="M2235" s="211"/>
    </row>
    <row r="2236" spans="13:13" x14ac:dyDescent="0.25">
      <c r="M2236" s="211"/>
    </row>
    <row r="2237" spans="13:13" x14ac:dyDescent="0.25">
      <c r="M2237" s="211"/>
    </row>
    <row r="2238" spans="13:13" x14ac:dyDescent="0.25">
      <c r="M2238" s="211"/>
    </row>
    <row r="2239" spans="13:13" x14ac:dyDescent="0.25">
      <c r="M2239" s="211"/>
    </row>
    <row r="2240" spans="13:13" x14ac:dyDescent="0.25">
      <c r="M2240" s="211"/>
    </row>
    <row r="2241" spans="13:13" x14ac:dyDescent="0.25">
      <c r="M2241" s="211"/>
    </row>
    <row r="2242" spans="13:13" x14ac:dyDescent="0.25">
      <c r="M2242" s="211"/>
    </row>
    <row r="2243" spans="13:13" x14ac:dyDescent="0.25">
      <c r="M2243" s="211"/>
    </row>
    <row r="2244" spans="13:13" x14ac:dyDescent="0.25">
      <c r="M2244" s="211"/>
    </row>
    <row r="2245" spans="13:13" x14ac:dyDescent="0.25">
      <c r="M2245" s="211"/>
    </row>
    <row r="2246" spans="13:13" x14ac:dyDescent="0.25">
      <c r="M2246" s="211"/>
    </row>
    <row r="2247" spans="13:13" x14ac:dyDescent="0.25">
      <c r="M2247" s="211"/>
    </row>
    <row r="2248" spans="13:13" x14ac:dyDescent="0.25">
      <c r="M2248" s="211"/>
    </row>
    <row r="2249" spans="13:13" x14ac:dyDescent="0.25">
      <c r="M2249" s="211"/>
    </row>
    <row r="2250" spans="13:13" x14ac:dyDescent="0.25">
      <c r="M2250" s="211"/>
    </row>
    <row r="2251" spans="13:13" x14ac:dyDescent="0.25">
      <c r="M2251" s="211"/>
    </row>
    <row r="2252" spans="13:13" x14ac:dyDescent="0.25">
      <c r="M2252" s="211"/>
    </row>
    <row r="2253" spans="13:13" x14ac:dyDescent="0.25">
      <c r="M2253" s="211"/>
    </row>
    <row r="2254" spans="13:13" x14ac:dyDescent="0.25">
      <c r="M2254" s="211"/>
    </row>
    <row r="2255" spans="13:13" x14ac:dyDescent="0.25">
      <c r="M2255" s="211"/>
    </row>
    <row r="2256" spans="13:13" x14ac:dyDescent="0.25">
      <c r="M2256" s="211"/>
    </row>
    <row r="2257" spans="13:13" x14ac:dyDescent="0.25">
      <c r="M2257" s="211"/>
    </row>
    <row r="2258" spans="13:13" x14ac:dyDescent="0.25">
      <c r="M2258" s="211"/>
    </row>
    <row r="2259" spans="13:13" x14ac:dyDescent="0.25">
      <c r="M2259" s="211"/>
    </row>
    <row r="2260" spans="13:13" x14ac:dyDescent="0.25">
      <c r="M2260" s="211"/>
    </row>
    <row r="2261" spans="13:13" x14ac:dyDescent="0.25">
      <c r="M2261" s="211"/>
    </row>
    <row r="2262" spans="13:13" x14ac:dyDescent="0.25">
      <c r="M2262" s="211"/>
    </row>
    <row r="2263" spans="13:13" x14ac:dyDescent="0.25">
      <c r="M2263" s="211"/>
    </row>
    <row r="2264" spans="13:13" x14ac:dyDescent="0.25">
      <c r="M2264" s="211"/>
    </row>
    <row r="2265" spans="13:13" x14ac:dyDescent="0.25">
      <c r="M2265" s="211"/>
    </row>
    <row r="2266" spans="13:13" x14ac:dyDescent="0.25">
      <c r="M2266" s="211"/>
    </row>
    <row r="2267" spans="13:13" x14ac:dyDescent="0.25">
      <c r="M2267" s="211"/>
    </row>
    <row r="2268" spans="13:13" x14ac:dyDescent="0.25">
      <c r="M2268" s="211"/>
    </row>
    <row r="2269" spans="13:13" x14ac:dyDescent="0.25">
      <c r="M2269" s="211"/>
    </row>
    <row r="2270" spans="13:13" x14ac:dyDescent="0.25">
      <c r="M2270" s="211"/>
    </row>
    <row r="2271" spans="13:13" x14ac:dyDescent="0.25">
      <c r="M2271" s="211"/>
    </row>
    <row r="2272" spans="13:13" x14ac:dyDescent="0.25">
      <c r="M2272" s="211"/>
    </row>
    <row r="2273" spans="13:13" x14ac:dyDescent="0.25">
      <c r="M2273" s="211"/>
    </row>
    <row r="2274" spans="13:13" x14ac:dyDescent="0.25">
      <c r="M2274" s="211"/>
    </row>
    <row r="2275" spans="13:13" x14ac:dyDescent="0.25">
      <c r="M2275" s="211"/>
    </row>
    <row r="2276" spans="13:13" x14ac:dyDescent="0.25">
      <c r="M2276" s="211"/>
    </row>
    <row r="2277" spans="13:13" x14ac:dyDescent="0.25">
      <c r="M2277" s="211"/>
    </row>
    <row r="2278" spans="13:13" x14ac:dyDescent="0.25">
      <c r="M2278" s="211"/>
    </row>
    <row r="2279" spans="13:13" x14ac:dyDescent="0.25">
      <c r="M2279" s="211"/>
    </row>
    <row r="2280" spans="13:13" x14ac:dyDescent="0.25">
      <c r="M2280" s="211"/>
    </row>
    <row r="2281" spans="13:13" x14ac:dyDescent="0.25">
      <c r="M2281" s="211"/>
    </row>
    <row r="2282" spans="13:13" x14ac:dyDescent="0.25">
      <c r="M2282" s="211"/>
    </row>
    <row r="2283" spans="13:13" x14ac:dyDescent="0.25">
      <c r="M2283" s="211"/>
    </row>
    <row r="2284" spans="13:13" x14ac:dyDescent="0.25">
      <c r="M2284" s="211"/>
    </row>
    <row r="2285" spans="13:13" x14ac:dyDescent="0.25">
      <c r="M2285" s="211"/>
    </row>
    <row r="2286" spans="13:13" x14ac:dyDescent="0.25">
      <c r="M2286" s="211"/>
    </row>
    <row r="2287" spans="13:13" x14ac:dyDescent="0.25">
      <c r="M2287" s="211"/>
    </row>
    <row r="2288" spans="13:13" x14ac:dyDescent="0.25">
      <c r="M2288" s="211"/>
    </row>
    <row r="2289" spans="13:13" x14ac:dyDescent="0.25">
      <c r="M2289" s="211"/>
    </row>
    <row r="2290" spans="13:13" x14ac:dyDescent="0.25">
      <c r="M2290" s="211"/>
    </row>
    <row r="2291" spans="13:13" x14ac:dyDescent="0.25">
      <c r="M2291" s="211"/>
    </row>
    <row r="2292" spans="13:13" x14ac:dyDescent="0.25">
      <c r="M2292" s="211"/>
    </row>
    <row r="2293" spans="13:13" x14ac:dyDescent="0.25">
      <c r="M2293" s="211"/>
    </row>
    <row r="2294" spans="13:13" x14ac:dyDescent="0.25">
      <c r="M2294" s="211"/>
    </row>
    <row r="2295" spans="13:13" x14ac:dyDescent="0.25">
      <c r="M2295" s="211"/>
    </row>
    <row r="2296" spans="13:13" x14ac:dyDescent="0.25">
      <c r="M2296" s="211"/>
    </row>
    <row r="2297" spans="13:13" x14ac:dyDescent="0.25">
      <c r="M2297" s="211"/>
    </row>
    <row r="2298" spans="13:13" x14ac:dyDescent="0.25">
      <c r="M2298" s="211"/>
    </row>
    <row r="2299" spans="13:13" x14ac:dyDescent="0.25">
      <c r="M2299" s="211"/>
    </row>
    <row r="2300" spans="13:13" x14ac:dyDescent="0.25">
      <c r="M2300" s="211"/>
    </row>
    <row r="2301" spans="13:13" x14ac:dyDescent="0.25">
      <c r="M2301" s="211"/>
    </row>
    <row r="2302" spans="13:13" x14ac:dyDescent="0.25">
      <c r="M2302" s="211"/>
    </row>
    <row r="2303" spans="13:13" x14ac:dyDescent="0.25">
      <c r="M2303" s="211"/>
    </row>
    <row r="2304" spans="13:13" x14ac:dyDescent="0.25">
      <c r="M2304" s="211"/>
    </row>
    <row r="2305" spans="13:13" x14ac:dyDescent="0.25">
      <c r="M2305" s="211"/>
    </row>
    <row r="2306" spans="13:13" x14ac:dyDescent="0.25">
      <c r="M2306" s="211"/>
    </row>
    <row r="2307" spans="13:13" x14ac:dyDescent="0.25">
      <c r="M2307" s="211"/>
    </row>
    <row r="2308" spans="13:13" x14ac:dyDescent="0.25">
      <c r="M2308" s="211"/>
    </row>
    <row r="2309" spans="13:13" x14ac:dyDescent="0.25">
      <c r="M2309" s="211"/>
    </row>
    <row r="2310" spans="13:13" x14ac:dyDescent="0.25">
      <c r="M2310" s="211"/>
    </row>
    <row r="2311" spans="13:13" x14ac:dyDescent="0.25">
      <c r="M2311" s="211"/>
    </row>
    <row r="2312" spans="13:13" x14ac:dyDescent="0.25">
      <c r="M2312" s="211"/>
    </row>
    <row r="2313" spans="13:13" x14ac:dyDescent="0.25">
      <c r="M2313" s="211"/>
    </row>
    <row r="2314" spans="13:13" x14ac:dyDescent="0.25">
      <c r="M2314" s="211"/>
    </row>
    <row r="2315" spans="13:13" x14ac:dyDescent="0.25">
      <c r="M2315" s="211"/>
    </row>
    <row r="2316" spans="13:13" x14ac:dyDescent="0.25">
      <c r="M2316" s="211"/>
    </row>
    <row r="2317" spans="13:13" x14ac:dyDescent="0.25">
      <c r="M2317" s="211"/>
    </row>
    <row r="2318" spans="13:13" x14ac:dyDescent="0.25">
      <c r="M2318" s="211"/>
    </row>
    <row r="2319" spans="13:13" x14ac:dyDescent="0.25">
      <c r="M2319" s="211"/>
    </row>
    <row r="2320" spans="13:13" x14ac:dyDescent="0.25">
      <c r="M2320" s="211"/>
    </row>
    <row r="2321" spans="13:13" x14ac:dyDescent="0.25">
      <c r="M2321" s="211"/>
    </row>
    <row r="2322" spans="13:13" x14ac:dyDescent="0.25">
      <c r="M2322" s="211"/>
    </row>
    <row r="2323" spans="13:13" x14ac:dyDescent="0.25">
      <c r="M2323" s="211"/>
    </row>
    <row r="2324" spans="13:13" x14ac:dyDescent="0.25">
      <c r="M2324" s="211"/>
    </row>
    <row r="2325" spans="13:13" x14ac:dyDescent="0.25">
      <c r="M2325" s="211"/>
    </row>
    <row r="2326" spans="13:13" x14ac:dyDescent="0.25">
      <c r="M2326" s="211"/>
    </row>
    <row r="2327" spans="13:13" x14ac:dyDescent="0.25">
      <c r="M2327" s="211"/>
    </row>
    <row r="2328" spans="13:13" x14ac:dyDescent="0.25">
      <c r="M2328" s="211"/>
    </row>
    <row r="2329" spans="13:13" x14ac:dyDescent="0.25">
      <c r="M2329" s="211"/>
    </row>
    <row r="2330" spans="13:13" x14ac:dyDescent="0.25">
      <c r="M2330" s="211"/>
    </row>
    <row r="2331" spans="13:13" x14ac:dyDescent="0.25">
      <c r="M2331" s="211"/>
    </row>
    <row r="2332" spans="13:13" x14ac:dyDescent="0.25">
      <c r="M2332" s="211"/>
    </row>
    <row r="2333" spans="13:13" x14ac:dyDescent="0.25">
      <c r="M2333" s="211"/>
    </row>
    <row r="2334" spans="13:13" x14ac:dyDescent="0.25">
      <c r="M2334" s="211"/>
    </row>
    <row r="2335" spans="13:13" x14ac:dyDescent="0.25">
      <c r="M2335" s="211"/>
    </row>
    <row r="2336" spans="13:13" x14ac:dyDescent="0.25">
      <c r="M2336" s="211"/>
    </row>
    <row r="2337" spans="13:13" x14ac:dyDescent="0.25">
      <c r="M2337" s="211"/>
    </row>
    <row r="2338" spans="13:13" x14ac:dyDescent="0.25">
      <c r="M2338" s="211"/>
    </row>
    <row r="2339" spans="13:13" x14ac:dyDescent="0.25">
      <c r="M2339" s="211"/>
    </row>
    <row r="2340" spans="13:13" x14ac:dyDescent="0.25">
      <c r="M2340" s="211"/>
    </row>
    <row r="2341" spans="13:13" x14ac:dyDescent="0.25">
      <c r="M2341" s="211"/>
    </row>
    <row r="2342" spans="13:13" x14ac:dyDescent="0.25">
      <c r="M2342" s="211"/>
    </row>
    <row r="2343" spans="13:13" x14ac:dyDescent="0.25">
      <c r="M2343" s="211"/>
    </row>
    <row r="2344" spans="13:13" x14ac:dyDescent="0.25">
      <c r="M2344" s="211"/>
    </row>
    <row r="2345" spans="13:13" x14ac:dyDescent="0.25">
      <c r="M2345" s="211"/>
    </row>
    <row r="2346" spans="13:13" x14ac:dyDescent="0.25">
      <c r="M2346" s="211"/>
    </row>
    <row r="2347" spans="13:13" x14ac:dyDescent="0.25">
      <c r="M2347" s="211"/>
    </row>
    <row r="2348" spans="13:13" x14ac:dyDescent="0.25">
      <c r="M2348" s="211"/>
    </row>
    <row r="2349" spans="13:13" x14ac:dyDescent="0.25">
      <c r="M2349" s="211"/>
    </row>
    <row r="2350" spans="13:13" x14ac:dyDescent="0.25">
      <c r="M2350" s="211"/>
    </row>
    <row r="2351" spans="13:13" x14ac:dyDescent="0.25">
      <c r="M2351" s="211"/>
    </row>
    <row r="2352" spans="13:13" x14ac:dyDescent="0.25">
      <c r="M2352" s="211"/>
    </row>
    <row r="2353" spans="13:13" x14ac:dyDescent="0.25">
      <c r="M2353" s="211"/>
    </row>
    <row r="2354" spans="13:13" x14ac:dyDescent="0.25">
      <c r="M2354" s="211"/>
    </row>
    <row r="2355" spans="13:13" x14ac:dyDescent="0.25">
      <c r="M2355" s="211"/>
    </row>
    <row r="2356" spans="13:13" x14ac:dyDescent="0.25">
      <c r="M2356" s="211"/>
    </row>
    <row r="2357" spans="13:13" x14ac:dyDescent="0.25">
      <c r="M2357" s="211"/>
    </row>
    <row r="2358" spans="13:13" x14ac:dyDescent="0.25">
      <c r="M2358" s="211"/>
    </row>
    <row r="2359" spans="13:13" x14ac:dyDescent="0.25">
      <c r="M2359" s="211"/>
    </row>
    <row r="2360" spans="13:13" x14ac:dyDescent="0.25">
      <c r="M2360" s="211"/>
    </row>
    <row r="2361" spans="13:13" x14ac:dyDescent="0.25">
      <c r="M2361" s="211"/>
    </row>
    <row r="2362" spans="13:13" x14ac:dyDescent="0.25">
      <c r="M2362" s="211"/>
    </row>
    <row r="2363" spans="13:13" x14ac:dyDescent="0.25">
      <c r="M2363" s="211"/>
    </row>
    <row r="2364" spans="13:13" x14ac:dyDescent="0.25">
      <c r="M2364" s="211"/>
    </row>
    <row r="2365" spans="13:13" x14ac:dyDescent="0.25">
      <c r="M2365" s="211"/>
    </row>
    <row r="2366" spans="13:13" x14ac:dyDescent="0.25">
      <c r="M2366" s="211"/>
    </row>
    <row r="2367" spans="13:13" x14ac:dyDescent="0.25">
      <c r="M2367" s="211"/>
    </row>
    <row r="2368" spans="13:13" x14ac:dyDescent="0.25">
      <c r="M2368" s="211"/>
    </row>
    <row r="2369" spans="13:13" x14ac:dyDescent="0.25">
      <c r="M2369" s="211"/>
    </row>
    <row r="2370" spans="13:13" x14ac:dyDescent="0.25">
      <c r="M2370" s="211"/>
    </row>
    <row r="2371" spans="13:13" x14ac:dyDescent="0.25">
      <c r="M2371" s="211"/>
    </row>
    <row r="2372" spans="13:13" x14ac:dyDescent="0.25">
      <c r="M2372" s="211"/>
    </row>
    <row r="2373" spans="13:13" x14ac:dyDescent="0.25">
      <c r="M2373" s="211"/>
    </row>
    <row r="2374" spans="13:13" x14ac:dyDescent="0.25">
      <c r="M2374" s="211"/>
    </row>
    <row r="2375" spans="13:13" x14ac:dyDescent="0.25">
      <c r="M2375" s="211"/>
    </row>
    <row r="2376" spans="13:13" x14ac:dyDescent="0.25">
      <c r="M2376" s="211"/>
    </row>
    <row r="2377" spans="13:13" x14ac:dyDescent="0.25">
      <c r="M2377" s="211"/>
    </row>
    <row r="2378" spans="13:13" x14ac:dyDescent="0.25">
      <c r="M2378" s="211"/>
    </row>
    <row r="2379" spans="13:13" x14ac:dyDescent="0.25">
      <c r="M2379" s="211"/>
    </row>
    <row r="2380" spans="13:13" x14ac:dyDescent="0.25">
      <c r="M2380" s="211"/>
    </row>
    <row r="2381" spans="13:13" x14ac:dyDescent="0.25">
      <c r="M2381" s="211"/>
    </row>
    <row r="2382" spans="13:13" x14ac:dyDescent="0.25">
      <c r="M2382" s="211"/>
    </row>
    <row r="2383" spans="13:13" x14ac:dyDescent="0.25">
      <c r="M2383" s="211"/>
    </row>
    <row r="2384" spans="13:13" x14ac:dyDescent="0.25">
      <c r="M2384" s="211"/>
    </row>
    <row r="2385" spans="13:13" x14ac:dyDescent="0.25">
      <c r="M2385" s="211"/>
    </row>
    <row r="2386" spans="13:13" x14ac:dyDescent="0.25">
      <c r="M2386" s="211"/>
    </row>
    <row r="2387" spans="13:13" x14ac:dyDescent="0.25">
      <c r="M2387" s="211"/>
    </row>
    <row r="2388" spans="13:13" x14ac:dyDescent="0.25">
      <c r="M2388" s="211"/>
    </row>
    <row r="2389" spans="13:13" x14ac:dyDescent="0.25">
      <c r="M2389" s="211"/>
    </row>
    <row r="2390" spans="13:13" x14ac:dyDescent="0.25">
      <c r="M2390" s="211"/>
    </row>
    <row r="2391" spans="13:13" x14ac:dyDescent="0.25">
      <c r="M2391" s="211"/>
    </row>
    <row r="2392" spans="13:13" x14ac:dyDescent="0.25">
      <c r="M2392" s="211"/>
    </row>
    <row r="2393" spans="13:13" x14ac:dyDescent="0.25">
      <c r="M2393" s="211"/>
    </row>
    <row r="2394" spans="13:13" x14ac:dyDescent="0.25">
      <c r="M2394" s="211"/>
    </row>
    <row r="2395" spans="13:13" x14ac:dyDescent="0.25">
      <c r="M2395" s="211"/>
    </row>
    <row r="2396" spans="13:13" x14ac:dyDescent="0.25">
      <c r="M2396" s="211"/>
    </row>
    <row r="2397" spans="13:13" x14ac:dyDescent="0.25">
      <c r="M2397" s="211"/>
    </row>
    <row r="2398" spans="13:13" x14ac:dyDescent="0.25">
      <c r="M2398" s="211"/>
    </row>
    <row r="2399" spans="13:13" x14ac:dyDescent="0.25">
      <c r="M2399" s="211"/>
    </row>
    <row r="2400" spans="13:13" x14ac:dyDescent="0.25">
      <c r="M2400" s="211"/>
    </row>
    <row r="2401" spans="13:13" x14ac:dyDescent="0.25">
      <c r="M2401" s="211"/>
    </row>
    <row r="2402" spans="13:13" x14ac:dyDescent="0.25">
      <c r="M2402" s="211"/>
    </row>
    <row r="2403" spans="13:13" x14ac:dyDescent="0.25">
      <c r="M2403" s="211"/>
    </row>
    <row r="2404" spans="13:13" x14ac:dyDescent="0.25">
      <c r="M2404" s="211"/>
    </row>
    <row r="2405" spans="13:13" x14ac:dyDescent="0.25">
      <c r="M2405" s="211"/>
    </row>
    <row r="2406" spans="13:13" x14ac:dyDescent="0.25">
      <c r="M2406" s="211"/>
    </row>
    <row r="2407" spans="13:13" x14ac:dyDescent="0.25">
      <c r="M2407" s="211"/>
    </row>
    <row r="2408" spans="13:13" x14ac:dyDescent="0.25">
      <c r="M2408" s="211"/>
    </row>
    <row r="2409" spans="13:13" x14ac:dyDescent="0.25">
      <c r="M2409" s="211"/>
    </row>
    <row r="2410" spans="13:13" x14ac:dyDescent="0.25">
      <c r="M2410" s="211"/>
    </row>
    <row r="2411" spans="13:13" x14ac:dyDescent="0.25">
      <c r="M2411" s="211"/>
    </row>
    <row r="2412" spans="13:13" x14ac:dyDescent="0.25">
      <c r="M2412" s="211"/>
    </row>
    <row r="2413" spans="13:13" x14ac:dyDescent="0.25">
      <c r="M2413" s="211"/>
    </row>
    <row r="2414" spans="13:13" x14ac:dyDescent="0.25">
      <c r="M2414" s="211"/>
    </row>
    <row r="2415" spans="13:13" x14ac:dyDescent="0.25">
      <c r="M2415" s="211"/>
    </row>
    <row r="2416" spans="13:13" x14ac:dyDescent="0.25">
      <c r="M2416" s="211"/>
    </row>
    <row r="2417" spans="13:13" x14ac:dyDescent="0.25">
      <c r="M2417" s="211"/>
    </row>
    <row r="2418" spans="13:13" x14ac:dyDescent="0.25">
      <c r="M2418" s="211"/>
    </row>
    <row r="2419" spans="13:13" x14ac:dyDescent="0.25">
      <c r="M2419" s="211"/>
    </row>
    <row r="2420" spans="13:13" x14ac:dyDescent="0.25">
      <c r="M2420" s="211"/>
    </row>
    <row r="2421" spans="13:13" x14ac:dyDescent="0.25">
      <c r="M2421" s="211"/>
    </row>
    <row r="2422" spans="13:13" x14ac:dyDescent="0.25">
      <c r="M2422" s="211"/>
    </row>
    <row r="2423" spans="13:13" x14ac:dyDescent="0.25">
      <c r="M2423" s="211"/>
    </row>
    <row r="2424" spans="13:13" x14ac:dyDescent="0.25">
      <c r="M2424" s="211"/>
    </row>
    <row r="2425" spans="13:13" x14ac:dyDescent="0.25">
      <c r="M2425" s="211"/>
    </row>
    <row r="2426" spans="13:13" x14ac:dyDescent="0.25">
      <c r="M2426" s="211"/>
    </row>
    <row r="2427" spans="13:13" x14ac:dyDescent="0.25">
      <c r="M2427" s="211"/>
    </row>
    <row r="2428" spans="13:13" x14ac:dyDescent="0.25">
      <c r="M2428" s="211"/>
    </row>
    <row r="2429" spans="13:13" x14ac:dyDescent="0.25">
      <c r="M2429" s="211"/>
    </row>
    <row r="2430" spans="13:13" x14ac:dyDescent="0.25">
      <c r="M2430" s="211"/>
    </row>
    <row r="2431" spans="13:13" x14ac:dyDescent="0.25">
      <c r="M2431" s="211"/>
    </row>
    <row r="2432" spans="13:13" x14ac:dyDescent="0.25">
      <c r="M2432" s="211"/>
    </row>
    <row r="2433" spans="13:13" x14ac:dyDescent="0.25">
      <c r="M2433" s="211"/>
    </row>
    <row r="2434" spans="13:13" x14ac:dyDescent="0.25">
      <c r="M2434" s="211"/>
    </row>
    <row r="2435" spans="13:13" x14ac:dyDescent="0.25">
      <c r="M2435" s="211"/>
    </row>
    <row r="2436" spans="13:13" x14ac:dyDescent="0.25">
      <c r="M2436" s="211"/>
    </row>
    <row r="2437" spans="13:13" x14ac:dyDescent="0.25">
      <c r="M2437" s="211"/>
    </row>
    <row r="2438" spans="13:13" x14ac:dyDescent="0.25">
      <c r="M2438" s="211"/>
    </row>
    <row r="2439" spans="13:13" x14ac:dyDescent="0.25">
      <c r="M2439" s="211"/>
    </row>
    <row r="2440" spans="13:13" x14ac:dyDescent="0.25">
      <c r="M2440" s="211"/>
    </row>
    <row r="2441" spans="13:13" x14ac:dyDescent="0.25">
      <c r="M2441" s="211"/>
    </row>
    <row r="2442" spans="13:13" x14ac:dyDescent="0.25">
      <c r="M2442" s="211"/>
    </row>
    <row r="2443" spans="13:13" x14ac:dyDescent="0.25">
      <c r="M2443" s="211"/>
    </row>
    <row r="2444" spans="13:13" x14ac:dyDescent="0.25">
      <c r="M2444" s="211"/>
    </row>
    <row r="2445" spans="13:13" x14ac:dyDescent="0.25">
      <c r="M2445" s="211"/>
    </row>
    <row r="2446" spans="13:13" x14ac:dyDescent="0.25">
      <c r="M2446" s="211"/>
    </row>
    <row r="2447" spans="13:13" x14ac:dyDescent="0.25">
      <c r="M2447" s="211"/>
    </row>
    <row r="2448" spans="13:13" x14ac:dyDescent="0.25">
      <c r="M2448" s="211"/>
    </row>
    <row r="2449" spans="13:13" x14ac:dyDescent="0.25">
      <c r="M2449" s="211"/>
    </row>
    <row r="2450" spans="13:13" x14ac:dyDescent="0.25">
      <c r="M2450" s="211"/>
    </row>
    <row r="2451" spans="13:13" x14ac:dyDescent="0.25">
      <c r="M2451" s="211"/>
    </row>
    <row r="2452" spans="13:13" x14ac:dyDescent="0.25">
      <c r="M2452" s="211"/>
    </row>
    <row r="2453" spans="13:13" x14ac:dyDescent="0.25">
      <c r="M2453" s="211"/>
    </row>
    <row r="2454" spans="13:13" x14ac:dyDescent="0.25">
      <c r="M2454" s="211"/>
    </row>
    <row r="2455" spans="13:13" x14ac:dyDescent="0.25">
      <c r="M2455" s="211"/>
    </row>
    <row r="2456" spans="13:13" x14ac:dyDescent="0.25">
      <c r="M2456" s="211"/>
    </row>
    <row r="2457" spans="13:13" x14ac:dyDescent="0.25">
      <c r="M2457" s="211"/>
    </row>
    <row r="2458" spans="13:13" x14ac:dyDescent="0.25">
      <c r="M2458" s="211"/>
    </row>
    <row r="2459" spans="13:13" x14ac:dyDescent="0.25">
      <c r="M2459" s="211"/>
    </row>
    <row r="2460" spans="13:13" x14ac:dyDescent="0.25">
      <c r="M2460" s="211"/>
    </row>
    <row r="2461" spans="13:13" x14ac:dyDescent="0.25">
      <c r="M2461" s="211"/>
    </row>
    <row r="2462" spans="13:13" x14ac:dyDescent="0.25">
      <c r="M2462" s="211"/>
    </row>
    <row r="2463" spans="13:13" x14ac:dyDescent="0.25">
      <c r="M2463" s="211"/>
    </row>
    <row r="2464" spans="13:13" x14ac:dyDescent="0.25">
      <c r="M2464" s="211"/>
    </row>
    <row r="2465" spans="13:13" x14ac:dyDescent="0.25">
      <c r="M2465" s="211"/>
    </row>
    <row r="2466" spans="13:13" x14ac:dyDescent="0.25">
      <c r="M2466" s="211"/>
    </row>
    <row r="2467" spans="13:13" x14ac:dyDescent="0.25">
      <c r="M2467" s="211"/>
    </row>
    <row r="2468" spans="13:13" x14ac:dyDescent="0.25">
      <c r="M2468" s="211"/>
    </row>
    <row r="2469" spans="13:13" x14ac:dyDescent="0.25">
      <c r="M2469" s="211"/>
    </row>
    <row r="2470" spans="13:13" x14ac:dyDescent="0.25">
      <c r="M2470" s="211"/>
    </row>
    <row r="2471" spans="13:13" x14ac:dyDescent="0.25">
      <c r="M2471" s="211"/>
    </row>
    <row r="2472" spans="13:13" x14ac:dyDescent="0.25">
      <c r="M2472" s="211"/>
    </row>
    <row r="2473" spans="13:13" x14ac:dyDescent="0.25">
      <c r="M2473" s="211"/>
    </row>
    <row r="2474" spans="13:13" x14ac:dyDescent="0.25">
      <c r="M2474" s="211"/>
    </row>
    <row r="2475" spans="13:13" x14ac:dyDescent="0.25">
      <c r="M2475" s="211"/>
    </row>
    <row r="2476" spans="13:13" x14ac:dyDescent="0.25">
      <c r="M2476" s="211"/>
    </row>
    <row r="2477" spans="13:13" x14ac:dyDescent="0.25">
      <c r="M2477" s="211"/>
    </row>
    <row r="2478" spans="13:13" x14ac:dyDescent="0.25">
      <c r="M2478" s="211"/>
    </row>
    <row r="2479" spans="13:13" x14ac:dyDescent="0.25">
      <c r="M2479" s="211"/>
    </row>
    <row r="2480" spans="13:13" x14ac:dyDescent="0.25">
      <c r="M2480" s="211"/>
    </row>
    <row r="2481" spans="13:13" x14ac:dyDescent="0.25">
      <c r="M2481" s="211"/>
    </row>
    <row r="2482" spans="13:13" x14ac:dyDescent="0.25">
      <c r="M2482" s="211"/>
    </row>
    <row r="2483" spans="13:13" x14ac:dyDescent="0.25">
      <c r="M2483" s="211"/>
    </row>
    <row r="2484" spans="13:13" x14ac:dyDescent="0.25">
      <c r="M2484" s="211"/>
    </row>
    <row r="2485" spans="13:13" x14ac:dyDescent="0.25">
      <c r="M2485" s="211"/>
    </row>
    <row r="2486" spans="13:13" x14ac:dyDescent="0.25">
      <c r="M2486" s="211"/>
    </row>
    <row r="2487" spans="13:13" x14ac:dyDescent="0.25">
      <c r="M2487" s="211"/>
    </row>
    <row r="2488" spans="13:13" x14ac:dyDescent="0.25">
      <c r="M2488" s="211"/>
    </row>
    <row r="2489" spans="13:13" x14ac:dyDescent="0.25">
      <c r="M2489" s="211"/>
    </row>
    <row r="2490" spans="13:13" x14ac:dyDescent="0.25">
      <c r="M2490" s="211"/>
    </row>
    <row r="2491" spans="13:13" x14ac:dyDescent="0.25">
      <c r="M2491" s="211"/>
    </row>
    <row r="2492" spans="13:13" x14ac:dyDescent="0.25">
      <c r="M2492" s="211"/>
    </row>
    <row r="2493" spans="13:13" x14ac:dyDescent="0.25">
      <c r="M2493" s="211"/>
    </row>
    <row r="2494" spans="13:13" x14ac:dyDescent="0.25">
      <c r="M2494" s="211"/>
    </row>
    <row r="2495" spans="13:13" x14ac:dyDescent="0.25">
      <c r="M2495" s="211"/>
    </row>
    <row r="2496" spans="13:13" x14ac:dyDescent="0.25">
      <c r="M2496" s="211"/>
    </row>
    <row r="2497" spans="13:13" x14ac:dyDescent="0.25">
      <c r="M2497" s="211"/>
    </row>
    <row r="2498" spans="13:13" x14ac:dyDescent="0.25">
      <c r="M2498" s="211"/>
    </row>
    <row r="2499" spans="13:13" x14ac:dyDescent="0.25">
      <c r="M2499" s="211"/>
    </row>
    <row r="2500" spans="13:13" x14ac:dyDescent="0.25">
      <c r="M2500" s="211"/>
    </row>
    <row r="2501" spans="13:13" x14ac:dyDescent="0.25">
      <c r="M2501" s="211"/>
    </row>
    <row r="2502" spans="13:13" x14ac:dyDescent="0.25">
      <c r="M2502" s="211"/>
    </row>
    <row r="2503" spans="13:13" x14ac:dyDescent="0.25">
      <c r="M2503" s="211"/>
    </row>
    <row r="2504" spans="13:13" x14ac:dyDescent="0.25">
      <c r="M2504" s="211"/>
    </row>
    <row r="2505" spans="13:13" x14ac:dyDescent="0.25">
      <c r="M2505" s="211"/>
    </row>
    <row r="2506" spans="13:13" x14ac:dyDescent="0.25">
      <c r="M2506" s="211"/>
    </row>
    <row r="2507" spans="13:13" x14ac:dyDescent="0.25">
      <c r="M2507" s="211"/>
    </row>
    <row r="2508" spans="13:13" x14ac:dyDescent="0.25">
      <c r="M2508" s="211"/>
    </row>
    <row r="2509" spans="13:13" x14ac:dyDescent="0.25">
      <c r="M2509" s="211"/>
    </row>
    <row r="2510" spans="13:13" x14ac:dyDescent="0.25">
      <c r="M2510" s="211"/>
    </row>
    <row r="2511" spans="13:13" x14ac:dyDescent="0.25">
      <c r="M2511" s="211"/>
    </row>
    <row r="2512" spans="13:13" x14ac:dyDescent="0.25">
      <c r="M2512" s="211"/>
    </row>
    <row r="2513" spans="13:13" x14ac:dyDescent="0.25">
      <c r="M2513" s="211"/>
    </row>
    <row r="2514" spans="13:13" x14ac:dyDescent="0.25">
      <c r="M2514" s="211"/>
    </row>
    <row r="2515" spans="13:13" x14ac:dyDescent="0.25">
      <c r="M2515" s="211"/>
    </row>
    <row r="2516" spans="13:13" x14ac:dyDescent="0.25">
      <c r="M2516" s="211"/>
    </row>
    <row r="2517" spans="13:13" x14ac:dyDescent="0.25">
      <c r="M2517" s="211"/>
    </row>
    <row r="2518" spans="13:13" x14ac:dyDescent="0.25">
      <c r="M2518" s="211"/>
    </row>
    <row r="2519" spans="13:13" x14ac:dyDescent="0.25">
      <c r="M2519" s="211"/>
    </row>
    <row r="2520" spans="13:13" x14ac:dyDescent="0.25">
      <c r="M2520" s="211"/>
    </row>
    <row r="2521" spans="13:13" x14ac:dyDescent="0.25">
      <c r="M2521" s="211"/>
    </row>
    <row r="2522" spans="13:13" x14ac:dyDescent="0.25">
      <c r="M2522" s="211"/>
    </row>
    <row r="2523" spans="13:13" x14ac:dyDescent="0.25">
      <c r="M2523" s="211"/>
    </row>
    <row r="2524" spans="13:13" x14ac:dyDescent="0.25">
      <c r="M2524" s="211"/>
    </row>
    <row r="2525" spans="13:13" x14ac:dyDescent="0.25">
      <c r="M2525" s="211"/>
    </row>
    <row r="2526" spans="13:13" x14ac:dyDescent="0.25">
      <c r="M2526" s="211"/>
    </row>
    <row r="2527" spans="13:13" x14ac:dyDescent="0.25">
      <c r="M2527" s="211"/>
    </row>
    <row r="2528" spans="13:13" x14ac:dyDescent="0.25">
      <c r="M2528" s="211"/>
    </row>
    <row r="2529" spans="13:13" x14ac:dyDescent="0.25">
      <c r="M2529" s="211"/>
    </row>
    <row r="2530" spans="13:13" x14ac:dyDescent="0.25">
      <c r="M2530" s="211"/>
    </row>
    <row r="2531" spans="13:13" x14ac:dyDescent="0.25">
      <c r="M2531" s="211"/>
    </row>
    <row r="2532" spans="13:13" x14ac:dyDescent="0.25">
      <c r="M2532" s="211"/>
    </row>
    <row r="2533" spans="13:13" x14ac:dyDescent="0.25">
      <c r="M2533" s="211"/>
    </row>
    <row r="2534" spans="13:13" x14ac:dyDescent="0.25">
      <c r="M2534" s="211"/>
    </row>
    <row r="2535" spans="13:13" x14ac:dyDescent="0.25">
      <c r="M2535" s="211"/>
    </row>
    <row r="2536" spans="13:13" x14ac:dyDescent="0.25">
      <c r="M2536" s="211"/>
    </row>
    <row r="2537" spans="13:13" x14ac:dyDescent="0.25">
      <c r="M2537" s="211"/>
    </row>
    <row r="2538" spans="13:13" x14ac:dyDescent="0.25">
      <c r="M2538" s="211"/>
    </row>
    <row r="2539" spans="13:13" x14ac:dyDescent="0.25">
      <c r="M2539" s="211"/>
    </row>
    <row r="2540" spans="13:13" x14ac:dyDescent="0.25">
      <c r="M2540" s="211"/>
    </row>
    <row r="2541" spans="13:13" x14ac:dyDescent="0.25">
      <c r="M2541" s="211"/>
    </row>
    <row r="2542" spans="13:13" x14ac:dyDescent="0.25">
      <c r="M2542" s="211"/>
    </row>
    <row r="2543" spans="13:13" x14ac:dyDescent="0.25">
      <c r="M2543" s="211"/>
    </row>
    <row r="2544" spans="13:13" x14ac:dyDescent="0.25">
      <c r="M2544" s="211"/>
    </row>
    <row r="2545" spans="13:13" x14ac:dyDescent="0.25">
      <c r="M2545" s="211"/>
    </row>
    <row r="2546" spans="13:13" x14ac:dyDescent="0.25">
      <c r="M2546" s="211"/>
    </row>
    <row r="2547" spans="13:13" x14ac:dyDescent="0.25">
      <c r="M2547" s="211"/>
    </row>
    <row r="2548" spans="13:13" x14ac:dyDescent="0.25">
      <c r="M2548" s="211"/>
    </row>
    <row r="2549" spans="13:13" x14ac:dyDescent="0.25">
      <c r="M2549" s="211"/>
    </row>
    <row r="2550" spans="13:13" x14ac:dyDescent="0.25">
      <c r="M2550" s="211"/>
    </row>
    <row r="2551" spans="13:13" x14ac:dyDescent="0.25">
      <c r="M2551" s="211"/>
    </row>
    <row r="2552" spans="13:13" x14ac:dyDescent="0.25">
      <c r="M2552" s="211"/>
    </row>
    <row r="2553" spans="13:13" x14ac:dyDescent="0.25">
      <c r="M2553" s="211"/>
    </row>
    <row r="2554" spans="13:13" x14ac:dyDescent="0.25">
      <c r="M2554" s="211"/>
    </row>
    <row r="2555" spans="13:13" x14ac:dyDescent="0.25">
      <c r="M2555" s="211"/>
    </row>
    <row r="2556" spans="13:13" x14ac:dyDescent="0.25">
      <c r="M2556" s="211"/>
    </row>
    <row r="2557" spans="13:13" x14ac:dyDescent="0.25">
      <c r="M2557" s="211"/>
    </row>
    <row r="2558" spans="13:13" x14ac:dyDescent="0.25">
      <c r="M2558" s="211"/>
    </row>
    <row r="2559" spans="13:13" x14ac:dyDescent="0.25">
      <c r="M2559" s="211"/>
    </row>
    <row r="2560" spans="13:13" x14ac:dyDescent="0.25">
      <c r="M2560" s="211"/>
    </row>
    <row r="2561" spans="13:13" x14ac:dyDescent="0.25">
      <c r="M2561" s="211"/>
    </row>
    <row r="2562" spans="13:13" x14ac:dyDescent="0.25">
      <c r="M2562" s="211"/>
    </row>
    <row r="2563" spans="13:13" x14ac:dyDescent="0.25">
      <c r="M2563" s="211"/>
    </row>
    <row r="2564" spans="13:13" x14ac:dyDescent="0.25">
      <c r="M2564" s="211"/>
    </row>
    <row r="2565" spans="13:13" x14ac:dyDescent="0.25">
      <c r="M2565" s="211"/>
    </row>
    <row r="2566" spans="13:13" x14ac:dyDescent="0.25">
      <c r="M2566" s="211"/>
    </row>
    <row r="2567" spans="13:13" x14ac:dyDescent="0.25">
      <c r="M2567" s="211"/>
    </row>
    <row r="2568" spans="13:13" x14ac:dyDescent="0.25">
      <c r="M2568" s="211"/>
    </row>
    <row r="2569" spans="13:13" x14ac:dyDescent="0.25">
      <c r="M2569" s="211"/>
    </row>
    <row r="2570" spans="13:13" x14ac:dyDescent="0.25">
      <c r="M2570" s="211"/>
    </row>
    <row r="2571" spans="13:13" x14ac:dyDescent="0.25">
      <c r="M2571" s="211"/>
    </row>
    <row r="2572" spans="13:13" x14ac:dyDescent="0.25">
      <c r="M2572" s="211"/>
    </row>
    <row r="2573" spans="13:13" x14ac:dyDescent="0.25">
      <c r="M2573" s="211"/>
    </row>
    <row r="2574" spans="13:13" x14ac:dyDescent="0.25">
      <c r="M2574" s="211"/>
    </row>
    <row r="2575" spans="13:13" x14ac:dyDescent="0.25">
      <c r="M2575" s="211"/>
    </row>
    <row r="2576" spans="13:13" x14ac:dyDescent="0.25">
      <c r="M2576" s="211"/>
    </row>
    <row r="2577" spans="13:13" x14ac:dyDescent="0.25">
      <c r="M2577" s="211"/>
    </row>
    <row r="2578" spans="13:13" x14ac:dyDescent="0.25">
      <c r="M2578" s="211"/>
    </row>
    <row r="2579" spans="13:13" x14ac:dyDescent="0.25">
      <c r="M2579" s="211"/>
    </row>
    <row r="2580" spans="13:13" x14ac:dyDescent="0.25">
      <c r="M2580" s="211"/>
    </row>
    <row r="2581" spans="13:13" x14ac:dyDescent="0.25">
      <c r="M2581" s="211"/>
    </row>
    <row r="2582" spans="13:13" x14ac:dyDescent="0.25">
      <c r="M2582" s="211"/>
    </row>
    <row r="2583" spans="13:13" x14ac:dyDescent="0.25">
      <c r="M2583" s="211"/>
    </row>
    <row r="2584" spans="13:13" x14ac:dyDescent="0.25">
      <c r="M2584" s="211"/>
    </row>
    <row r="2585" spans="13:13" x14ac:dyDescent="0.25">
      <c r="M2585" s="211"/>
    </row>
    <row r="2586" spans="13:13" x14ac:dyDescent="0.25">
      <c r="M2586" s="211"/>
    </row>
    <row r="2587" spans="13:13" x14ac:dyDescent="0.25">
      <c r="M2587" s="211"/>
    </row>
    <row r="2588" spans="13:13" x14ac:dyDescent="0.25">
      <c r="M2588" s="211"/>
    </row>
    <row r="2589" spans="13:13" x14ac:dyDescent="0.25">
      <c r="M2589" s="211"/>
    </row>
    <row r="2590" spans="13:13" x14ac:dyDescent="0.25">
      <c r="M2590" s="211"/>
    </row>
    <row r="2591" spans="13:13" x14ac:dyDescent="0.25">
      <c r="M2591" s="211"/>
    </row>
    <row r="2592" spans="13:13" x14ac:dyDescent="0.25">
      <c r="M2592" s="211"/>
    </row>
    <row r="2593" spans="13:13" x14ac:dyDescent="0.25">
      <c r="M2593" s="211"/>
    </row>
    <row r="2594" spans="13:13" x14ac:dyDescent="0.25">
      <c r="M2594" s="211"/>
    </row>
    <row r="2595" spans="13:13" x14ac:dyDescent="0.25">
      <c r="M2595" s="211"/>
    </row>
    <row r="2596" spans="13:13" x14ac:dyDescent="0.25">
      <c r="M2596" s="211"/>
    </row>
    <row r="2597" spans="13:13" x14ac:dyDescent="0.25">
      <c r="M2597" s="211"/>
    </row>
    <row r="2598" spans="13:13" x14ac:dyDescent="0.25">
      <c r="M2598" s="211"/>
    </row>
    <row r="2599" spans="13:13" x14ac:dyDescent="0.25">
      <c r="M2599" s="211"/>
    </row>
    <row r="2600" spans="13:13" x14ac:dyDescent="0.25">
      <c r="M2600" s="211"/>
    </row>
    <row r="2601" spans="13:13" x14ac:dyDescent="0.25">
      <c r="M2601" s="211"/>
    </row>
    <row r="2602" spans="13:13" x14ac:dyDescent="0.25">
      <c r="M2602" s="211"/>
    </row>
    <row r="2603" spans="13:13" x14ac:dyDescent="0.25">
      <c r="M2603" s="211"/>
    </row>
    <row r="2604" spans="13:13" x14ac:dyDescent="0.25">
      <c r="M2604" s="211"/>
    </row>
    <row r="2605" spans="13:13" x14ac:dyDescent="0.25">
      <c r="M2605" s="211"/>
    </row>
    <row r="2606" spans="13:13" x14ac:dyDescent="0.25">
      <c r="M2606" s="211"/>
    </row>
    <row r="2607" spans="13:13" x14ac:dyDescent="0.25">
      <c r="M2607" s="211"/>
    </row>
    <row r="2608" spans="13:13" x14ac:dyDescent="0.25">
      <c r="M2608" s="211"/>
    </row>
    <row r="2609" spans="13:13" x14ac:dyDescent="0.25">
      <c r="M2609" s="211"/>
    </row>
    <row r="2610" spans="13:13" x14ac:dyDescent="0.25">
      <c r="M2610" s="211"/>
    </row>
    <row r="2611" spans="13:13" x14ac:dyDescent="0.25">
      <c r="M2611" s="211"/>
    </row>
    <row r="2612" spans="13:13" x14ac:dyDescent="0.25">
      <c r="M2612" s="211"/>
    </row>
    <row r="2613" spans="13:13" x14ac:dyDescent="0.25">
      <c r="M2613" s="211"/>
    </row>
    <row r="2614" spans="13:13" x14ac:dyDescent="0.25">
      <c r="M2614" s="211"/>
    </row>
    <row r="2615" spans="13:13" x14ac:dyDescent="0.25">
      <c r="M2615" s="211"/>
    </row>
    <row r="2616" spans="13:13" x14ac:dyDescent="0.25">
      <c r="M2616" s="211"/>
    </row>
    <row r="2617" spans="13:13" x14ac:dyDescent="0.25">
      <c r="M2617" s="211"/>
    </row>
    <row r="2618" spans="13:13" x14ac:dyDescent="0.25">
      <c r="M2618" s="211"/>
    </row>
    <row r="2619" spans="13:13" x14ac:dyDescent="0.25">
      <c r="M2619" s="211"/>
    </row>
    <row r="2620" spans="13:13" x14ac:dyDescent="0.25">
      <c r="M2620" s="211"/>
    </row>
    <row r="2621" spans="13:13" x14ac:dyDescent="0.25">
      <c r="M2621" s="211"/>
    </row>
    <row r="2622" spans="13:13" x14ac:dyDescent="0.25">
      <c r="M2622" s="211"/>
    </row>
    <row r="2623" spans="13:13" x14ac:dyDescent="0.25">
      <c r="M2623" s="211"/>
    </row>
    <row r="2624" spans="13:13" x14ac:dyDescent="0.25">
      <c r="M2624" s="211"/>
    </row>
    <row r="2625" spans="13:13" x14ac:dyDescent="0.25">
      <c r="M2625" s="211"/>
    </row>
    <row r="2626" spans="13:13" x14ac:dyDescent="0.25">
      <c r="M2626" s="211"/>
    </row>
    <row r="2627" spans="13:13" x14ac:dyDescent="0.25">
      <c r="M2627" s="211"/>
    </row>
    <row r="2628" spans="13:13" x14ac:dyDescent="0.25">
      <c r="M2628" s="211"/>
    </row>
    <row r="2629" spans="13:13" x14ac:dyDescent="0.25">
      <c r="M2629" s="211"/>
    </row>
    <row r="2630" spans="13:13" x14ac:dyDescent="0.25">
      <c r="M2630" s="211"/>
    </row>
    <row r="2631" spans="13:13" x14ac:dyDescent="0.25">
      <c r="M2631" s="211"/>
    </row>
    <row r="2632" spans="13:13" x14ac:dyDescent="0.25">
      <c r="M2632" s="211"/>
    </row>
    <row r="2633" spans="13:13" x14ac:dyDescent="0.25">
      <c r="M2633" s="211"/>
    </row>
    <row r="2634" spans="13:13" x14ac:dyDescent="0.25">
      <c r="M2634" s="211"/>
    </row>
    <row r="2635" spans="13:13" x14ac:dyDescent="0.25">
      <c r="M2635" s="211"/>
    </row>
    <row r="2636" spans="13:13" x14ac:dyDescent="0.25">
      <c r="M2636" s="211"/>
    </row>
    <row r="2637" spans="13:13" x14ac:dyDescent="0.25">
      <c r="M2637" s="211"/>
    </row>
    <row r="2638" spans="13:13" x14ac:dyDescent="0.25">
      <c r="M2638" s="211"/>
    </row>
    <row r="2639" spans="13:13" x14ac:dyDescent="0.25">
      <c r="M2639" s="211"/>
    </row>
    <row r="2640" spans="13:13" x14ac:dyDescent="0.25">
      <c r="M2640" s="211"/>
    </row>
    <row r="2641" spans="13:13" x14ac:dyDescent="0.25">
      <c r="M2641" s="211"/>
    </row>
    <row r="2642" spans="13:13" x14ac:dyDescent="0.25">
      <c r="M2642" s="211"/>
    </row>
    <row r="2643" spans="13:13" x14ac:dyDescent="0.25">
      <c r="M2643" s="211"/>
    </row>
    <row r="2644" spans="13:13" x14ac:dyDescent="0.25">
      <c r="M2644" s="211"/>
    </row>
    <row r="2645" spans="13:13" x14ac:dyDescent="0.25">
      <c r="M2645" s="211"/>
    </row>
    <row r="2646" spans="13:13" x14ac:dyDescent="0.25">
      <c r="M2646" s="211"/>
    </row>
    <row r="2647" spans="13:13" x14ac:dyDescent="0.25">
      <c r="M2647" s="211"/>
    </row>
    <row r="2648" spans="13:13" x14ac:dyDescent="0.25">
      <c r="M2648" s="211"/>
    </row>
    <row r="2649" spans="13:13" x14ac:dyDescent="0.25">
      <c r="M2649" s="211"/>
    </row>
    <row r="2650" spans="13:13" x14ac:dyDescent="0.25">
      <c r="M2650" s="211"/>
    </row>
    <row r="2651" spans="13:13" x14ac:dyDescent="0.25">
      <c r="M2651" s="211"/>
    </row>
    <row r="2652" spans="13:13" x14ac:dyDescent="0.25">
      <c r="M2652" s="211"/>
    </row>
    <row r="2653" spans="13:13" x14ac:dyDescent="0.25">
      <c r="M2653" s="211"/>
    </row>
    <row r="2654" spans="13:13" x14ac:dyDescent="0.25">
      <c r="M2654" s="211"/>
    </row>
    <row r="2655" spans="13:13" x14ac:dyDescent="0.25">
      <c r="M2655" s="211"/>
    </row>
    <row r="2656" spans="13:13" x14ac:dyDescent="0.25">
      <c r="M2656" s="211"/>
    </row>
    <row r="2657" spans="13:13" x14ac:dyDescent="0.25">
      <c r="M2657" s="211"/>
    </row>
    <row r="2658" spans="13:13" x14ac:dyDescent="0.25">
      <c r="M2658" s="211"/>
    </row>
    <row r="2659" spans="13:13" x14ac:dyDescent="0.25">
      <c r="M2659" s="211"/>
    </row>
    <row r="2660" spans="13:13" x14ac:dyDescent="0.25">
      <c r="M2660" s="211"/>
    </row>
    <row r="2661" spans="13:13" x14ac:dyDescent="0.25">
      <c r="M2661" s="211"/>
    </row>
    <row r="2662" spans="13:13" x14ac:dyDescent="0.25">
      <c r="M2662" s="211"/>
    </row>
    <row r="2663" spans="13:13" x14ac:dyDescent="0.25">
      <c r="M2663" s="211"/>
    </row>
    <row r="2664" spans="13:13" x14ac:dyDescent="0.25">
      <c r="M2664" s="211"/>
    </row>
    <row r="2665" spans="13:13" x14ac:dyDescent="0.25">
      <c r="M2665" s="211"/>
    </row>
    <row r="2666" spans="13:13" x14ac:dyDescent="0.25">
      <c r="M2666" s="211"/>
    </row>
    <row r="2667" spans="13:13" x14ac:dyDescent="0.25">
      <c r="M2667" s="211"/>
    </row>
    <row r="2668" spans="13:13" x14ac:dyDescent="0.25">
      <c r="M2668" s="211"/>
    </row>
    <row r="2669" spans="13:13" x14ac:dyDescent="0.25">
      <c r="M2669" s="211"/>
    </row>
    <row r="2670" spans="13:13" x14ac:dyDescent="0.25">
      <c r="M2670" s="211"/>
    </row>
    <row r="2671" spans="13:13" x14ac:dyDescent="0.25">
      <c r="M2671" s="211"/>
    </row>
    <row r="2672" spans="13:13" x14ac:dyDescent="0.25">
      <c r="M2672" s="211"/>
    </row>
    <row r="2673" spans="13:13" x14ac:dyDescent="0.25">
      <c r="M2673" s="211"/>
    </row>
    <row r="2674" spans="13:13" x14ac:dyDescent="0.25">
      <c r="M2674" s="211"/>
    </row>
    <row r="2675" spans="13:13" x14ac:dyDescent="0.25">
      <c r="M2675" s="211"/>
    </row>
    <row r="2676" spans="13:13" x14ac:dyDescent="0.25">
      <c r="M2676" s="211"/>
    </row>
    <row r="2677" spans="13:13" x14ac:dyDescent="0.25">
      <c r="M2677" s="211"/>
    </row>
    <row r="2678" spans="13:13" x14ac:dyDescent="0.25">
      <c r="M2678" s="211"/>
    </row>
    <row r="2679" spans="13:13" x14ac:dyDescent="0.25">
      <c r="M2679" s="211"/>
    </row>
    <row r="2680" spans="13:13" x14ac:dyDescent="0.25">
      <c r="M2680" s="211"/>
    </row>
    <row r="2681" spans="13:13" x14ac:dyDescent="0.25">
      <c r="M2681" s="211"/>
    </row>
    <row r="2682" spans="13:13" x14ac:dyDescent="0.25">
      <c r="M2682" s="211"/>
    </row>
    <row r="2683" spans="13:13" x14ac:dyDescent="0.25">
      <c r="M2683" s="211"/>
    </row>
    <row r="2684" spans="13:13" x14ac:dyDescent="0.25">
      <c r="M2684" s="211"/>
    </row>
    <row r="2685" spans="13:13" x14ac:dyDescent="0.25">
      <c r="M2685" s="211"/>
    </row>
    <row r="2686" spans="13:13" x14ac:dyDescent="0.25">
      <c r="M2686" s="211"/>
    </row>
    <row r="2687" spans="13:13" x14ac:dyDescent="0.25">
      <c r="M2687" s="211"/>
    </row>
    <row r="2688" spans="13:13" x14ac:dyDescent="0.25">
      <c r="M2688" s="211"/>
    </row>
    <row r="2689" spans="13:13" x14ac:dyDescent="0.25">
      <c r="M2689" s="211"/>
    </row>
    <row r="2690" spans="13:13" x14ac:dyDescent="0.25">
      <c r="M2690" s="211"/>
    </row>
    <row r="2691" spans="13:13" x14ac:dyDescent="0.25">
      <c r="M2691" s="211"/>
    </row>
    <row r="2692" spans="13:13" x14ac:dyDescent="0.25">
      <c r="M2692" s="211"/>
    </row>
    <row r="2693" spans="13:13" x14ac:dyDescent="0.25">
      <c r="M2693" s="211"/>
    </row>
    <row r="2694" spans="13:13" x14ac:dyDescent="0.25">
      <c r="M2694" s="211"/>
    </row>
    <row r="2695" spans="13:13" x14ac:dyDescent="0.25">
      <c r="M2695" s="211"/>
    </row>
    <row r="2696" spans="13:13" x14ac:dyDescent="0.25">
      <c r="M2696" s="211"/>
    </row>
    <row r="2697" spans="13:13" x14ac:dyDescent="0.25">
      <c r="M2697" s="211"/>
    </row>
    <row r="2698" spans="13:13" x14ac:dyDescent="0.25">
      <c r="M2698" s="211"/>
    </row>
    <row r="2699" spans="13:13" x14ac:dyDescent="0.25">
      <c r="M2699" s="211"/>
    </row>
    <row r="2700" spans="13:13" x14ac:dyDescent="0.25">
      <c r="M2700" s="211"/>
    </row>
    <row r="2701" spans="13:13" x14ac:dyDescent="0.25">
      <c r="M2701" s="211"/>
    </row>
    <row r="2702" spans="13:13" x14ac:dyDescent="0.25">
      <c r="M2702" s="211"/>
    </row>
    <row r="2703" spans="13:13" x14ac:dyDescent="0.25">
      <c r="M2703" s="211"/>
    </row>
    <row r="2704" spans="13:13" x14ac:dyDescent="0.25">
      <c r="M2704" s="211"/>
    </row>
    <row r="2705" spans="13:13" x14ac:dyDescent="0.25">
      <c r="M2705" s="211"/>
    </row>
    <row r="2706" spans="13:13" x14ac:dyDescent="0.25">
      <c r="M2706" s="211"/>
    </row>
    <row r="2707" spans="13:13" x14ac:dyDescent="0.25">
      <c r="M2707" s="211"/>
    </row>
    <row r="2708" spans="13:13" x14ac:dyDescent="0.25">
      <c r="M2708" s="211"/>
    </row>
    <row r="2709" spans="13:13" x14ac:dyDescent="0.25">
      <c r="M2709" s="211"/>
    </row>
    <row r="2710" spans="13:13" x14ac:dyDescent="0.25">
      <c r="M2710" s="211"/>
    </row>
    <row r="2711" spans="13:13" x14ac:dyDescent="0.25">
      <c r="M2711" s="211"/>
    </row>
    <row r="2712" spans="13:13" x14ac:dyDescent="0.25">
      <c r="M2712" s="211"/>
    </row>
    <row r="2713" spans="13:13" x14ac:dyDescent="0.25">
      <c r="M2713" s="211"/>
    </row>
    <row r="2714" spans="13:13" x14ac:dyDescent="0.25">
      <c r="M2714" s="211"/>
    </row>
    <row r="2715" spans="13:13" x14ac:dyDescent="0.25">
      <c r="M2715" s="211"/>
    </row>
    <row r="2716" spans="13:13" x14ac:dyDescent="0.25">
      <c r="M2716" s="211"/>
    </row>
    <row r="2717" spans="13:13" x14ac:dyDescent="0.25">
      <c r="M2717" s="211"/>
    </row>
    <row r="2718" spans="13:13" x14ac:dyDescent="0.25">
      <c r="M2718" s="211"/>
    </row>
    <row r="2719" spans="13:13" x14ac:dyDescent="0.25">
      <c r="M2719" s="211"/>
    </row>
    <row r="2720" spans="13:13" x14ac:dyDescent="0.25">
      <c r="M2720" s="211"/>
    </row>
    <row r="2721" spans="13:13" x14ac:dyDescent="0.25">
      <c r="M2721" s="211"/>
    </row>
    <row r="2722" spans="13:13" x14ac:dyDescent="0.25">
      <c r="M2722" s="211"/>
    </row>
    <row r="2723" spans="13:13" x14ac:dyDescent="0.25">
      <c r="M2723" s="211"/>
    </row>
    <row r="2724" spans="13:13" x14ac:dyDescent="0.25">
      <c r="M2724" s="211"/>
    </row>
    <row r="2725" spans="13:13" x14ac:dyDescent="0.25">
      <c r="M2725" s="211"/>
    </row>
    <row r="2726" spans="13:13" x14ac:dyDescent="0.25">
      <c r="M2726" s="211"/>
    </row>
    <row r="2727" spans="13:13" x14ac:dyDescent="0.25">
      <c r="M2727" s="211"/>
    </row>
    <row r="2728" spans="13:13" x14ac:dyDescent="0.25">
      <c r="M2728" s="211"/>
    </row>
    <row r="2729" spans="13:13" x14ac:dyDescent="0.25">
      <c r="M2729" s="211"/>
    </row>
    <row r="2730" spans="13:13" x14ac:dyDescent="0.25">
      <c r="M2730" s="211"/>
    </row>
    <row r="2731" spans="13:13" x14ac:dyDescent="0.25">
      <c r="M2731" s="211"/>
    </row>
    <row r="2732" spans="13:13" x14ac:dyDescent="0.25">
      <c r="M2732" s="211"/>
    </row>
    <row r="2733" spans="13:13" x14ac:dyDescent="0.25">
      <c r="M2733" s="211"/>
    </row>
    <row r="2734" spans="13:13" x14ac:dyDescent="0.25">
      <c r="M2734" s="211"/>
    </row>
    <row r="2735" spans="13:13" x14ac:dyDescent="0.25">
      <c r="M2735" s="211"/>
    </row>
    <row r="2736" spans="13:13" x14ac:dyDescent="0.25">
      <c r="M2736" s="211"/>
    </row>
    <row r="2737" spans="13:13" x14ac:dyDescent="0.25">
      <c r="M2737" s="211"/>
    </row>
    <row r="2738" spans="13:13" x14ac:dyDescent="0.25">
      <c r="M2738" s="211"/>
    </row>
    <row r="2739" spans="13:13" x14ac:dyDescent="0.25">
      <c r="M2739" s="211"/>
    </row>
    <row r="2740" spans="13:13" x14ac:dyDescent="0.25">
      <c r="M2740" s="211"/>
    </row>
    <row r="2741" spans="13:13" x14ac:dyDescent="0.25">
      <c r="M2741" s="211"/>
    </row>
    <row r="2742" spans="13:13" x14ac:dyDescent="0.25">
      <c r="M2742" s="211"/>
    </row>
    <row r="2743" spans="13:13" x14ac:dyDescent="0.25">
      <c r="M2743" s="211"/>
    </row>
    <row r="2744" spans="13:13" x14ac:dyDescent="0.25">
      <c r="M2744" s="211"/>
    </row>
    <row r="2745" spans="13:13" x14ac:dyDescent="0.25">
      <c r="M2745" s="211"/>
    </row>
    <row r="2746" spans="13:13" x14ac:dyDescent="0.25">
      <c r="M2746" s="211"/>
    </row>
    <row r="2747" spans="13:13" x14ac:dyDescent="0.25">
      <c r="M2747" s="211"/>
    </row>
    <row r="2748" spans="13:13" x14ac:dyDescent="0.25">
      <c r="M2748" s="211"/>
    </row>
    <row r="2749" spans="13:13" x14ac:dyDescent="0.25">
      <c r="M2749" s="211"/>
    </row>
    <row r="2750" spans="13:13" x14ac:dyDescent="0.25">
      <c r="M2750" s="211"/>
    </row>
    <row r="2751" spans="13:13" x14ac:dyDescent="0.25">
      <c r="M2751" s="211"/>
    </row>
    <row r="2752" spans="13:13" x14ac:dyDescent="0.25">
      <c r="M2752" s="211"/>
    </row>
    <row r="2753" spans="13:13" x14ac:dyDescent="0.25">
      <c r="M2753" s="211"/>
    </row>
    <row r="2754" spans="13:13" x14ac:dyDescent="0.25">
      <c r="M2754" s="211"/>
    </row>
    <row r="2755" spans="13:13" x14ac:dyDescent="0.25">
      <c r="M2755" s="211"/>
    </row>
    <row r="2756" spans="13:13" x14ac:dyDescent="0.25">
      <c r="M2756" s="211"/>
    </row>
    <row r="2757" spans="13:13" x14ac:dyDescent="0.25">
      <c r="M2757" s="211"/>
    </row>
    <row r="2758" spans="13:13" x14ac:dyDescent="0.25">
      <c r="M2758" s="211"/>
    </row>
    <row r="2759" spans="13:13" x14ac:dyDescent="0.25">
      <c r="M2759" s="211"/>
    </row>
    <row r="2760" spans="13:13" x14ac:dyDescent="0.25">
      <c r="M2760" s="211"/>
    </row>
    <row r="2761" spans="13:13" x14ac:dyDescent="0.25">
      <c r="M2761" s="211"/>
    </row>
    <row r="2762" spans="13:13" x14ac:dyDescent="0.25">
      <c r="M2762" s="211"/>
    </row>
    <row r="2763" spans="13:13" x14ac:dyDescent="0.25">
      <c r="M2763" s="211"/>
    </row>
    <row r="2764" spans="13:13" x14ac:dyDescent="0.25">
      <c r="M2764" s="211"/>
    </row>
    <row r="2765" spans="13:13" x14ac:dyDescent="0.25">
      <c r="M2765" s="211"/>
    </row>
    <row r="2766" spans="13:13" x14ac:dyDescent="0.25">
      <c r="M2766" s="211"/>
    </row>
    <row r="2767" spans="13:13" x14ac:dyDescent="0.25">
      <c r="M2767" s="211"/>
    </row>
    <row r="2768" spans="13:13" x14ac:dyDescent="0.25">
      <c r="M2768" s="211"/>
    </row>
    <row r="2769" spans="13:13" x14ac:dyDescent="0.25">
      <c r="M2769" s="211"/>
    </row>
    <row r="2770" spans="13:13" x14ac:dyDescent="0.25">
      <c r="M2770" s="211"/>
    </row>
    <row r="2771" spans="13:13" x14ac:dyDescent="0.25">
      <c r="M2771" s="211"/>
    </row>
    <row r="2772" spans="13:13" x14ac:dyDescent="0.25">
      <c r="M2772" s="211"/>
    </row>
    <row r="2773" spans="13:13" x14ac:dyDescent="0.25">
      <c r="M2773" s="211"/>
    </row>
    <row r="2774" spans="13:13" x14ac:dyDescent="0.25">
      <c r="M2774" s="211"/>
    </row>
    <row r="2775" spans="13:13" x14ac:dyDescent="0.25">
      <c r="M2775" s="211"/>
    </row>
    <row r="2776" spans="13:13" x14ac:dyDescent="0.25">
      <c r="M2776" s="211"/>
    </row>
    <row r="2777" spans="13:13" x14ac:dyDescent="0.25">
      <c r="M2777" s="211"/>
    </row>
    <row r="2778" spans="13:13" x14ac:dyDescent="0.25">
      <c r="M2778" s="211"/>
    </row>
    <row r="2779" spans="13:13" x14ac:dyDescent="0.25">
      <c r="M2779" s="211"/>
    </row>
    <row r="2780" spans="13:13" x14ac:dyDescent="0.25">
      <c r="M2780" s="211"/>
    </row>
    <row r="2781" spans="13:13" x14ac:dyDescent="0.25">
      <c r="M2781" s="211"/>
    </row>
    <row r="2782" spans="13:13" x14ac:dyDescent="0.25">
      <c r="M2782" s="211"/>
    </row>
    <row r="2783" spans="13:13" x14ac:dyDescent="0.25">
      <c r="M2783" s="211"/>
    </row>
    <row r="2784" spans="13:13" x14ac:dyDescent="0.25">
      <c r="M2784" s="211"/>
    </row>
    <row r="2785" spans="13:13" x14ac:dyDescent="0.25">
      <c r="M2785" s="211"/>
    </row>
    <row r="2786" spans="13:13" x14ac:dyDescent="0.25">
      <c r="M2786" s="211"/>
    </row>
    <row r="2787" spans="13:13" x14ac:dyDescent="0.25">
      <c r="M2787" s="211"/>
    </row>
    <row r="2788" spans="13:13" x14ac:dyDescent="0.25">
      <c r="M2788" s="211"/>
    </row>
    <row r="2789" spans="13:13" x14ac:dyDescent="0.25">
      <c r="M2789" s="211"/>
    </row>
    <row r="2790" spans="13:13" x14ac:dyDescent="0.25">
      <c r="M2790" s="211"/>
    </row>
    <row r="2791" spans="13:13" x14ac:dyDescent="0.25">
      <c r="M2791" s="211"/>
    </row>
    <row r="2792" spans="13:13" x14ac:dyDescent="0.25">
      <c r="M2792" s="211"/>
    </row>
    <row r="2793" spans="13:13" x14ac:dyDescent="0.25">
      <c r="M2793" s="211"/>
    </row>
    <row r="2794" spans="13:13" x14ac:dyDescent="0.25">
      <c r="M2794" s="211"/>
    </row>
    <row r="2795" spans="13:13" x14ac:dyDescent="0.25">
      <c r="M2795" s="211"/>
    </row>
    <row r="2796" spans="13:13" x14ac:dyDescent="0.25">
      <c r="M2796" s="211"/>
    </row>
    <row r="2797" spans="13:13" x14ac:dyDescent="0.25">
      <c r="M2797" s="211"/>
    </row>
    <row r="2798" spans="13:13" x14ac:dyDescent="0.25">
      <c r="M2798" s="211"/>
    </row>
    <row r="2799" spans="13:13" x14ac:dyDescent="0.25">
      <c r="M2799" s="211"/>
    </row>
    <row r="2800" spans="13:13" x14ac:dyDescent="0.25">
      <c r="M2800" s="211"/>
    </row>
    <row r="2801" spans="13:13" x14ac:dyDescent="0.25">
      <c r="M2801" s="211"/>
    </row>
    <row r="2802" spans="13:13" x14ac:dyDescent="0.25">
      <c r="M2802" s="211"/>
    </row>
    <row r="2803" spans="13:13" x14ac:dyDescent="0.25">
      <c r="M2803" s="211"/>
    </row>
    <row r="2804" spans="13:13" x14ac:dyDescent="0.25">
      <c r="M2804" s="211"/>
    </row>
    <row r="2805" spans="13:13" x14ac:dyDescent="0.25">
      <c r="M2805" s="211"/>
    </row>
    <row r="2806" spans="13:13" x14ac:dyDescent="0.25">
      <c r="M2806" s="211"/>
    </row>
    <row r="2807" spans="13:13" x14ac:dyDescent="0.25">
      <c r="M2807" s="211"/>
    </row>
    <row r="2808" spans="13:13" x14ac:dyDescent="0.25">
      <c r="M2808" s="211"/>
    </row>
    <row r="2809" spans="13:13" x14ac:dyDescent="0.25">
      <c r="M2809" s="211"/>
    </row>
    <row r="2810" spans="13:13" x14ac:dyDescent="0.25">
      <c r="M2810" s="211"/>
    </row>
    <row r="2811" spans="13:13" x14ac:dyDescent="0.25">
      <c r="M2811" s="211"/>
    </row>
    <row r="2812" spans="13:13" x14ac:dyDescent="0.25">
      <c r="M2812" s="211"/>
    </row>
    <row r="2813" spans="13:13" x14ac:dyDescent="0.25">
      <c r="M2813" s="211"/>
    </row>
    <row r="2814" spans="13:13" x14ac:dyDescent="0.25">
      <c r="M2814" s="211"/>
    </row>
    <row r="2815" spans="13:13" x14ac:dyDescent="0.25">
      <c r="M2815" s="211"/>
    </row>
    <row r="2816" spans="13:13" x14ac:dyDescent="0.25">
      <c r="M2816" s="211"/>
    </row>
    <row r="2817" spans="13:13" x14ac:dyDescent="0.25">
      <c r="M2817" s="211"/>
    </row>
    <row r="2818" spans="13:13" x14ac:dyDescent="0.25">
      <c r="M2818" s="211"/>
    </row>
    <row r="2819" spans="13:13" x14ac:dyDescent="0.25">
      <c r="M2819" s="211"/>
    </row>
    <row r="2820" spans="13:13" x14ac:dyDescent="0.25">
      <c r="M2820" s="211"/>
    </row>
    <row r="2821" spans="13:13" x14ac:dyDescent="0.25">
      <c r="M2821" s="211"/>
    </row>
    <row r="2822" spans="13:13" x14ac:dyDescent="0.25">
      <c r="M2822" s="211"/>
    </row>
    <row r="2823" spans="13:13" x14ac:dyDescent="0.25">
      <c r="M2823" s="211"/>
    </row>
    <row r="2824" spans="13:13" x14ac:dyDescent="0.25">
      <c r="M2824" s="211"/>
    </row>
    <row r="2825" spans="13:13" x14ac:dyDescent="0.25">
      <c r="M2825" s="211"/>
    </row>
    <row r="2826" spans="13:13" x14ac:dyDescent="0.25">
      <c r="M2826" s="211"/>
    </row>
    <row r="2827" spans="13:13" x14ac:dyDescent="0.25">
      <c r="M2827" s="211"/>
    </row>
    <row r="2828" spans="13:13" x14ac:dyDescent="0.25">
      <c r="M2828" s="211"/>
    </row>
    <row r="2829" spans="13:13" x14ac:dyDescent="0.25">
      <c r="M2829" s="211"/>
    </row>
    <row r="2830" spans="13:13" x14ac:dyDescent="0.25">
      <c r="M2830" s="211"/>
    </row>
    <row r="2831" spans="13:13" x14ac:dyDescent="0.25">
      <c r="M2831" s="211"/>
    </row>
    <row r="2832" spans="13:13" x14ac:dyDescent="0.25">
      <c r="M2832" s="211"/>
    </row>
    <row r="2833" spans="13:13" x14ac:dyDescent="0.25">
      <c r="M2833" s="211"/>
    </row>
    <row r="2834" spans="13:13" x14ac:dyDescent="0.25">
      <c r="M2834" s="211"/>
    </row>
    <row r="2835" spans="13:13" x14ac:dyDescent="0.25">
      <c r="M2835" s="211"/>
    </row>
    <row r="2836" spans="13:13" x14ac:dyDescent="0.25">
      <c r="M2836" s="211"/>
    </row>
    <row r="2837" spans="13:13" x14ac:dyDescent="0.25">
      <c r="M2837" s="211"/>
    </row>
    <row r="2838" spans="13:13" x14ac:dyDescent="0.25">
      <c r="M2838" s="211"/>
    </row>
    <row r="2839" spans="13:13" x14ac:dyDescent="0.25">
      <c r="M2839" s="211"/>
    </row>
    <row r="2840" spans="13:13" x14ac:dyDescent="0.25">
      <c r="M2840" s="211"/>
    </row>
    <row r="2841" spans="13:13" x14ac:dyDescent="0.25">
      <c r="M2841" s="211"/>
    </row>
    <row r="2842" spans="13:13" x14ac:dyDescent="0.25">
      <c r="M2842" s="211"/>
    </row>
    <row r="2843" spans="13:13" x14ac:dyDescent="0.25">
      <c r="M2843" s="211"/>
    </row>
    <row r="2844" spans="13:13" x14ac:dyDescent="0.25">
      <c r="M2844" s="211"/>
    </row>
    <row r="2845" spans="13:13" x14ac:dyDescent="0.25">
      <c r="M2845" s="211"/>
    </row>
    <row r="2846" spans="13:13" x14ac:dyDescent="0.25">
      <c r="M2846" s="211"/>
    </row>
    <row r="2847" spans="13:13" x14ac:dyDescent="0.25">
      <c r="M2847" s="211"/>
    </row>
    <row r="2848" spans="13:13" x14ac:dyDescent="0.25">
      <c r="M2848" s="211"/>
    </row>
    <row r="2849" spans="13:13" x14ac:dyDescent="0.25">
      <c r="M2849" s="211"/>
    </row>
    <row r="2850" spans="13:13" x14ac:dyDescent="0.25">
      <c r="M2850" s="211"/>
    </row>
    <row r="2851" spans="13:13" x14ac:dyDescent="0.25">
      <c r="M2851" s="211"/>
    </row>
    <row r="2852" spans="13:13" x14ac:dyDescent="0.25">
      <c r="M2852" s="211"/>
    </row>
    <row r="2853" spans="13:13" x14ac:dyDescent="0.25">
      <c r="M2853" s="211"/>
    </row>
    <row r="2854" spans="13:13" x14ac:dyDescent="0.25">
      <c r="M2854" s="211"/>
    </row>
    <row r="2855" spans="13:13" x14ac:dyDescent="0.25">
      <c r="M2855" s="211"/>
    </row>
    <row r="2856" spans="13:13" x14ac:dyDescent="0.25">
      <c r="M2856" s="211"/>
    </row>
    <row r="2857" spans="13:13" x14ac:dyDescent="0.25">
      <c r="M2857" s="211"/>
    </row>
    <row r="2858" spans="13:13" x14ac:dyDescent="0.25">
      <c r="M2858" s="211"/>
    </row>
    <row r="2859" spans="13:13" x14ac:dyDescent="0.25">
      <c r="M2859" s="211"/>
    </row>
    <row r="2860" spans="13:13" x14ac:dyDescent="0.25">
      <c r="M2860" s="211"/>
    </row>
    <row r="2861" spans="13:13" x14ac:dyDescent="0.25">
      <c r="M2861" s="211"/>
    </row>
    <row r="2862" spans="13:13" x14ac:dyDescent="0.25">
      <c r="M2862" s="211"/>
    </row>
    <row r="2863" spans="13:13" x14ac:dyDescent="0.25">
      <c r="M2863" s="211"/>
    </row>
    <row r="2864" spans="13:13" x14ac:dyDescent="0.25">
      <c r="M2864" s="211"/>
    </row>
    <row r="2865" spans="13:13" x14ac:dyDescent="0.25">
      <c r="M2865" s="211"/>
    </row>
    <row r="2866" spans="13:13" x14ac:dyDescent="0.25">
      <c r="M2866" s="211"/>
    </row>
    <row r="2867" spans="13:13" x14ac:dyDescent="0.25">
      <c r="M2867" s="211"/>
    </row>
    <row r="2868" spans="13:13" x14ac:dyDescent="0.25">
      <c r="M2868" s="211"/>
    </row>
    <row r="2869" spans="13:13" x14ac:dyDescent="0.25">
      <c r="M2869" s="211"/>
    </row>
    <row r="2870" spans="13:13" x14ac:dyDescent="0.25">
      <c r="M2870" s="211"/>
    </row>
    <row r="2871" spans="13:13" x14ac:dyDescent="0.25">
      <c r="M2871" s="211"/>
    </row>
    <row r="2872" spans="13:13" x14ac:dyDescent="0.25">
      <c r="M2872" s="211"/>
    </row>
    <row r="2873" spans="13:13" x14ac:dyDescent="0.25">
      <c r="M2873" s="211"/>
    </row>
    <row r="2874" spans="13:13" x14ac:dyDescent="0.25">
      <c r="M2874" s="211"/>
    </row>
    <row r="2875" spans="13:13" x14ac:dyDescent="0.25">
      <c r="M2875" s="211"/>
    </row>
    <row r="2876" spans="13:13" x14ac:dyDescent="0.25">
      <c r="M2876" s="211"/>
    </row>
    <row r="2877" spans="13:13" x14ac:dyDescent="0.25">
      <c r="M2877" s="211"/>
    </row>
    <row r="2878" spans="13:13" x14ac:dyDescent="0.25">
      <c r="M2878" s="211"/>
    </row>
    <row r="2879" spans="13:13" x14ac:dyDescent="0.25">
      <c r="M2879" s="211"/>
    </row>
    <row r="2880" spans="13:13" x14ac:dyDescent="0.25">
      <c r="M2880" s="211"/>
    </row>
    <row r="2881" spans="13:13" x14ac:dyDescent="0.25">
      <c r="M2881" s="211"/>
    </row>
    <row r="2882" spans="13:13" x14ac:dyDescent="0.25">
      <c r="M2882" s="211"/>
    </row>
    <row r="2883" spans="13:13" x14ac:dyDescent="0.25">
      <c r="M2883" s="211"/>
    </row>
    <row r="2884" spans="13:13" x14ac:dyDescent="0.25">
      <c r="M2884" s="211"/>
    </row>
    <row r="2885" spans="13:13" x14ac:dyDescent="0.25">
      <c r="M2885" s="211"/>
    </row>
    <row r="2886" spans="13:13" x14ac:dyDescent="0.25">
      <c r="M2886" s="211"/>
    </row>
    <row r="2887" spans="13:13" x14ac:dyDescent="0.25">
      <c r="M2887" s="211"/>
    </row>
    <row r="2888" spans="13:13" x14ac:dyDescent="0.25">
      <c r="M2888" s="211"/>
    </row>
    <row r="2889" spans="13:13" x14ac:dyDescent="0.25">
      <c r="M2889" s="211"/>
    </row>
    <row r="2890" spans="13:13" x14ac:dyDescent="0.25">
      <c r="M2890" s="211"/>
    </row>
    <row r="2891" spans="13:13" x14ac:dyDescent="0.25">
      <c r="M2891" s="211"/>
    </row>
    <row r="2892" spans="13:13" x14ac:dyDescent="0.25">
      <c r="M2892" s="211"/>
    </row>
    <row r="2893" spans="13:13" x14ac:dyDescent="0.25">
      <c r="M2893" s="211"/>
    </row>
    <row r="2894" spans="13:13" x14ac:dyDescent="0.25">
      <c r="M2894" s="211"/>
    </row>
    <row r="2895" spans="13:13" x14ac:dyDescent="0.25">
      <c r="M2895" s="211"/>
    </row>
    <row r="2896" spans="13:13" x14ac:dyDescent="0.25">
      <c r="M2896" s="211"/>
    </row>
    <row r="2897" spans="13:13" x14ac:dyDescent="0.25">
      <c r="M2897" s="211"/>
    </row>
    <row r="2898" spans="13:13" x14ac:dyDescent="0.25">
      <c r="M2898" s="211"/>
    </row>
    <row r="2899" spans="13:13" x14ac:dyDescent="0.25">
      <c r="M2899" s="211"/>
    </row>
    <row r="2900" spans="13:13" x14ac:dyDescent="0.25">
      <c r="M2900" s="211"/>
    </row>
    <row r="2901" spans="13:13" x14ac:dyDescent="0.25">
      <c r="M2901" s="211"/>
    </row>
    <row r="2902" spans="13:13" x14ac:dyDescent="0.25">
      <c r="M2902" s="211"/>
    </row>
    <row r="2903" spans="13:13" x14ac:dyDescent="0.25">
      <c r="M2903" s="211"/>
    </row>
    <row r="2904" spans="13:13" x14ac:dyDescent="0.25">
      <c r="M2904" s="211"/>
    </row>
    <row r="2905" spans="13:13" x14ac:dyDescent="0.25">
      <c r="M2905" s="211"/>
    </row>
    <row r="2906" spans="13:13" x14ac:dyDescent="0.25">
      <c r="M2906" s="211"/>
    </row>
    <row r="2907" spans="13:13" x14ac:dyDescent="0.25">
      <c r="M2907" s="211"/>
    </row>
    <row r="2908" spans="13:13" x14ac:dyDescent="0.25">
      <c r="M2908" s="211"/>
    </row>
    <row r="2909" spans="13:13" x14ac:dyDescent="0.25">
      <c r="M2909" s="211"/>
    </row>
    <row r="2910" spans="13:13" x14ac:dyDescent="0.25">
      <c r="M2910" s="211"/>
    </row>
    <row r="2911" spans="13:13" x14ac:dyDescent="0.25">
      <c r="M2911" s="211"/>
    </row>
    <row r="2912" spans="13:13" x14ac:dyDescent="0.25">
      <c r="M2912" s="211"/>
    </row>
    <row r="2913" spans="13:13" x14ac:dyDescent="0.25">
      <c r="M2913" s="211"/>
    </row>
    <row r="2914" spans="13:13" x14ac:dyDescent="0.25">
      <c r="M2914" s="211"/>
    </row>
    <row r="2915" spans="13:13" x14ac:dyDescent="0.25">
      <c r="M2915" s="211"/>
    </row>
    <row r="2916" spans="13:13" x14ac:dyDescent="0.25">
      <c r="M2916" s="211"/>
    </row>
    <row r="2917" spans="13:13" x14ac:dyDescent="0.25">
      <c r="M2917" s="211"/>
    </row>
    <row r="2918" spans="13:13" x14ac:dyDescent="0.25">
      <c r="M2918" s="211"/>
    </row>
    <row r="2919" spans="13:13" x14ac:dyDescent="0.25">
      <c r="M2919" s="211"/>
    </row>
    <row r="2920" spans="13:13" x14ac:dyDescent="0.25">
      <c r="M2920" s="211"/>
    </row>
    <row r="2921" spans="13:13" x14ac:dyDescent="0.25">
      <c r="M2921" s="211"/>
    </row>
    <row r="2922" spans="13:13" x14ac:dyDescent="0.25">
      <c r="M2922" s="211"/>
    </row>
    <row r="2923" spans="13:13" x14ac:dyDescent="0.25">
      <c r="M2923" s="211"/>
    </row>
    <row r="2924" spans="13:13" x14ac:dyDescent="0.25">
      <c r="M2924" s="211"/>
    </row>
    <row r="2925" spans="13:13" x14ac:dyDescent="0.25">
      <c r="M2925" s="211"/>
    </row>
    <row r="2926" spans="13:13" x14ac:dyDescent="0.25">
      <c r="M2926" s="211"/>
    </row>
    <row r="2927" spans="13:13" x14ac:dyDescent="0.25">
      <c r="M2927" s="211"/>
    </row>
    <row r="2928" spans="13:13" x14ac:dyDescent="0.25">
      <c r="M2928" s="211"/>
    </row>
    <row r="2929" spans="13:13" x14ac:dyDescent="0.25">
      <c r="M2929" s="211"/>
    </row>
    <row r="2930" spans="13:13" x14ac:dyDescent="0.25">
      <c r="M2930" s="211"/>
    </row>
    <row r="2931" spans="13:13" x14ac:dyDescent="0.25">
      <c r="M2931" s="211"/>
    </row>
    <row r="2932" spans="13:13" x14ac:dyDescent="0.25">
      <c r="M2932" s="211"/>
    </row>
    <row r="2933" spans="13:13" x14ac:dyDescent="0.25">
      <c r="M2933" s="211"/>
    </row>
    <row r="2934" spans="13:13" x14ac:dyDescent="0.25">
      <c r="M2934" s="211"/>
    </row>
    <row r="2935" spans="13:13" x14ac:dyDescent="0.25">
      <c r="M2935" s="211"/>
    </row>
    <row r="2936" spans="13:13" x14ac:dyDescent="0.25">
      <c r="M2936" s="211"/>
    </row>
    <row r="2937" spans="13:13" x14ac:dyDescent="0.25">
      <c r="M2937" s="211"/>
    </row>
    <row r="2938" spans="13:13" x14ac:dyDescent="0.25">
      <c r="M2938" s="211"/>
    </row>
    <row r="2939" spans="13:13" x14ac:dyDescent="0.25">
      <c r="M2939" s="211"/>
    </row>
    <row r="2940" spans="13:13" x14ac:dyDescent="0.25">
      <c r="M2940" s="211"/>
    </row>
    <row r="2941" spans="13:13" x14ac:dyDescent="0.25">
      <c r="M2941" s="211"/>
    </row>
    <row r="2942" spans="13:13" x14ac:dyDescent="0.25">
      <c r="M2942" s="211"/>
    </row>
    <row r="2943" spans="13:13" x14ac:dyDescent="0.25">
      <c r="M2943" s="211"/>
    </row>
    <row r="2944" spans="13:13" x14ac:dyDescent="0.25">
      <c r="M2944" s="211"/>
    </row>
    <row r="2945" spans="13:13" x14ac:dyDescent="0.25">
      <c r="M2945" s="211"/>
    </row>
    <row r="2946" spans="13:13" x14ac:dyDescent="0.25">
      <c r="M2946" s="211"/>
    </row>
    <row r="2947" spans="13:13" x14ac:dyDescent="0.25">
      <c r="M2947" s="211"/>
    </row>
    <row r="2948" spans="13:13" x14ac:dyDescent="0.25">
      <c r="M2948" s="211"/>
    </row>
    <row r="2949" spans="13:13" x14ac:dyDescent="0.25">
      <c r="M2949" s="211"/>
    </row>
    <row r="2950" spans="13:13" x14ac:dyDescent="0.25">
      <c r="M2950" s="211"/>
    </row>
    <row r="2951" spans="13:13" x14ac:dyDescent="0.25">
      <c r="M2951" s="211"/>
    </row>
    <row r="2952" spans="13:13" x14ac:dyDescent="0.25">
      <c r="M2952" s="211"/>
    </row>
    <row r="2953" spans="13:13" x14ac:dyDescent="0.25">
      <c r="M2953" s="211"/>
    </row>
    <row r="2954" spans="13:13" x14ac:dyDescent="0.25">
      <c r="M2954" s="211"/>
    </row>
    <row r="2955" spans="13:13" x14ac:dyDescent="0.25">
      <c r="M2955" s="211"/>
    </row>
    <row r="2956" spans="13:13" x14ac:dyDescent="0.25">
      <c r="M2956" s="211"/>
    </row>
    <row r="2957" spans="13:13" x14ac:dyDescent="0.25">
      <c r="M2957" s="211"/>
    </row>
    <row r="2958" spans="13:13" x14ac:dyDescent="0.25">
      <c r="M2958" s="211"/>
    </row>
    <row r="2959" spans="13:13" x14ac:dyDescent="0.25">
      <c r="M2959" s="211"/>
    </row>
    <row r="2960" spans="13:13" x14ac:dyDescent="0.25">
      <c r="M2960" s="211"/>
    </row>
    <row r="2961" spans="13:13" x14ac:dyDescent="0.25">
      <c r="M2961" s="211"/>
    </row>
    <row r="2962" spans="13:13" x14ac:dyDescent="0.25">
      <c r="M2962" s="211"/>
    </row>
    <row r="2963" spans="13:13" x14ac:dyDescent="0.25">
      <c r="M2963" s="211"/>
    </row>
    <row r="2964" spans="13:13" x14ac:dyDescent="0.25">
      <c r="M2964" s="211"/>
    </row>
    <row r="2965" spans="13:13" x14ac:dyDescent="0.25">
      <c r="M2965" s="211"/>
    </row>
    <row r="2966" spans="13:13" x14ac:dyDescent="0.25">
      <c r="M2966" s="211"/>
    </row>
    <row r="2967" spans="13:13" x14ac:dyDescent="0.25">
      <c r="M2967" s="211"/>
    </row>
    <row r="2968" spans="13:13" x14ac:dyDescent="0.25">
      <c r="M2968" s="211"/>
    </row>
    <row r="2969" spans="13:13" x14ac:dyDescent="0.25">
      <c r="M2969" s="211"/>
    </row>
    <row r="2970" spans="13:13" x14ac:dyDescent="0.25">
      <c r="M2970" s="211"/>
    </row>
    <row r="2971" spans="13:13" x14ac:dyDescent="0.25">
      <c r="M2971" s="211"/>
    </row>
    <row r="2972" spans="13:13" x14ac:dyDescent="0.25">
      <c r="M2972" s="211"/>
    </row>
    <row r="2973" spans="13:13" x14ac:dyDescent="0.25">
      <c r="M2973" s="211"/>
    </row>
    <row r="2974" spans="13:13" x14ac:dyDescent="0.25">
      <c r="M2974" s="211"/>
    </row>
    <row r="2975" spans="13:13" x14ac:dyDescent="0.25">
      <c r="M2975" s="211"/>
    </row>
    <row r="2976" spans="13:13" x14ac:dyDescent="0.25">
      <c r="M2976" s="211"/>
    </row>
    <row r="2977" spans="13:13" x14ac:dyDescent="0.25">
      <c r="M2977" s="211"/>
    </row>
    <row r="2978" spans="13:13" x14ac:dyDescent="0.25">
      <c r="M2978" s="211"/>
    </row>
    <row r="2979" spans="13:13" x14ac:dyDescent="0.25">
      <c r="M2979" s="211"/>
    </row>
    <row r="2980" spans="13:13" x14ac:dyDescent="0.25">
      <c r="M2980" s="211"/>
    </row>
    <row r="2981" spans="13:13" x14ac:dyDescent="0.25">
      <c r="M2981" s="211"/>
    </row>
    <row r="2982" spans="13:13" x14ac:dyDescent="0.25">
      <c r="M2982" s="211"/>
    </row>
    <row r="2983" spans="13:13" x14ac:dyDescent="0.25">
      <c r="M2983" s="211"/>
    </row>
    <row r="2984" spans="13:13" x14ac:dyDescent="0.25">
      <c r="M2984" s="211"/>
    </row>
    <row r="2985" spans="13:13" x14ac:dyDescent="0.25">
      <c r="M2985" s="211"/>
    </row>
    <row r="2986" spans="13:13" x14ac:dyDescent="0.25">
      <c r="M2986" s="211"/>
    </row>
    <row r="2987" spans="13:13" x14ac:dyDescent="0.25">
      <c r="M2987" s="211"/>
    </row>
    <row r="2988" spans="13:13" x14ac:dyDescent="0.25">
      <c r="M2988" s="211"/>
    </row>
    <row r="2989" spans="13:13" x14ac:dyDescent="0.25">
      <c r="M2989" s="211"/>
    </row>
    <row r="2990" spans="13:13" x14ac:dyDescent="0.25">
      <c r="M2990" s="211"/>
    </row>
    <row r="2991" spans="13:13" x14ac:dyDescent="0.25">
      <c r="M2991" s="211"/>
    </row>
    <row r="2992" spans="13:13" x14ac:dyDescent="0.25">
      <c r="M2992" s="211"/>
    </row>
    <row r="2993" spans="13:13" x14ac:dyDescent="0.25">
      <c r="M2993" s="211"/>
    </row>
    <row r="2994" spans="13:13" x14ac:dyDescent="0.25">
      <c r="M2994" s="211"/>
    </row>
    <row r="2995" spans="13:13" x14ac:dyDescent="0.25">
      <c r="M2995" s="211"/>
    </row>
    <row r="2996" spans="13:13" x14ac:dyDescent="0.25">
      <c r="M2996" s="211"/>
    </row>
    <row r="2997" spans="13:13" x14ac:dyDescent="0.25">
      <c r="M2997" s="211"/>
    </row>
    <row r="2998" spans="13:13" x14ac:dyDescent="0.25">
      <c r="M2998" s="211"/>
    </row>
    <row r="2999" spans="13:13" x14ac:dyDescent="0.25">
      <c r="M2999" s="211"/>
    </row>
    <row r="3000" spans="13:13" x14ac:dyDescent="0.25">
      <c r="M3000" s="211"/>
    </row>
    <row r="3001" spans="13:13" x14ac:dyDescent="0.25">
      <c r="M3001" s="211"/>
    </row>
    <row r="3002" spans="13:13" x14ac:dyDescent="0.25">
      <c r="M3002" s="211"/>
    </row>
    <row r="3003" spans="13:13" x14ac:dyDescent="0.25">
      <c r="M3003" s="211"/>
    </row>
    <row r="3004" spans="13:13" x14ac:dyDescent="0.25">
      <c r="M3004" s="211"/>
    </row>
    <row r="3005" spans="13:13" x14ac:dyDescent="0.25">
      <c r="M3005" s="211"/>
    </row>
    <row r="3006" spans="13:13" x14ac:dyDescent="0.25">
      <c r="M3006" s="211"/>
    </row>
    <row r="3007" spans="13:13" x14ac:dyDescent="0.25">
      <c r="M3007" s="211"/>
    </row>
    <row r="3008" spans="13:13" x14ac:dyDescent="0.25">
      <c r="M3008" s="211"/>
    </row>
    <row r="3009" spans="13:13" x14ac:dyDescent="0.25">
      <c r="M3009" s="211"/>
    </row>
    <row r="3010" spans="13:13" x14ac:dyDescent="0.25">
      <c r="M3010" s="211"/>
    </row>
    <row r="3011" spans="13:13" x14ac:dyDescent="0.25">
      <c r="M3011" s="211"/>
    </row>
    <row r="3012" spans="13:13" x14ac:dyDescent="0.25">
      <c r="M3012" s="211"/>
    </row>
    <row r="3013" spans="13:13" x14ac:dyDescent="0.25">
      <c r="M3013" s="211"/>
    </row>
    <row r="3014" spans="13:13" x14ac:dyDescent="0.25">
      <c r="M3014" s="211"/>
    </row>
    <row r="3015" spans="13:13" x14ac:dyDescent="0.25">
      <c r="M3015" s="211"/>
    </row>
    <row r="3016" spans="13:13" x14ac:dyDescent="0.25">
      <c r="M3016" s="211"/>
    </row>
    <row r="3017" spans="13:13" x14ac:dyDescent="0.25">
      <c r="M3017" s="211"/>
    </row>
    <row r="3018" spans="13:13" x14ac:dyDescent="0.25">
      <c r="M3018" s="211"/>
    </row>
    <row r="3019" spans="13:13" x14ac:dyDescent="0.25">
      <c r="M3019" s="211"/>
    </row>
    <row r="3020" spans="13:13" x14ac:dyDescent="0.25">
      <c r="M3020" s="211"/>
    </row>
    <row r="3021" spans="13:13" x14ac:dyDescent="0.25">
      <c r="M3021" s="211"/>
    </row>
    <row r="3022" spans="13:13" x14ac:dyDescent="0.25">
      <c r="M3022" s="211"/>
    </row>
    <row r="3023" spans="13:13" x14ac:dyDescent="0.25">
      <c r="M3023" s="211"/>
    </row>
    <row r="3024" spans="13:13" x14ac:dyDescent="0.25">
      <c r="M3024" s="211"/>
    </row>
    <row r="3025" spans="13:13" x14ac:dyDescent="0.25">
      <c r="M3025" s="211"/>
    </row>
    <row r="3026" spans="13:13" x14ac:dyDescent="0.25">
      <c r="M3026" s="211"/>
    </row>
    <row r="3027" spans="13:13" x14ac:dyDescent="0.25">
      <c r="M3027" s="211"/>
    </row>
    <row r="3028" spans="13:13" x14ac:dyDescent="0.25">
      <c r="M3028" s="211"/>
    </row>
    <row r="3029" spans="13:13" x14ac:dyDescent="0.25">
      <c r="M3029" s="211"/>
    </row>
    <row r="3030" spans="13:13" x14ac:dyDescent="0.25">
      <c r="M3030" s="211"/>
    </row>
    <row r="3031" spans="13:13" x14ac:dyDescent="0.25">
      <c r="M3031" s="211"/>
    </row>
    <row r="3032" spans="13:13" x14ac:dyDescent="0.25">
      <c r="M3032" s="211"/>
    </row>
    <row r="3033" spans="13:13" x14ac:dyDescent="0.25">
      <c r="M3033" s="211"/>
    </row>
    <row r="3034" spans="13:13" x14ac:dyDescent="0.25">
      <c r="M3034" s="211"/>
    </row>
    <row r="3035" spans="13:13" x14ac:dyDescent="0.25">
      <c r="M3035" s="211"/>
    </row>
    <row r="3036" spans="13:13" x14ac:dyDescent="0.25">
      <c r="M3036" s="211"/>
    </row>
    <row r="3037" spans="13:13" x14ac:dyDescent="0.25">
      <c r="M3037" s="211"/>
    </row>
    <row r="3038" spans="13:13" x14ac:dyDescent="0.25">
      <c r="M3038" s="211"/>
    </row>
    <row r="3039" spans="13:13" x14ac:dyDescent="0.25">
      <c r="M3039" s="211"/>
    </row>
    <row r="3040" spans="13:13" x14ac:dyDescent="0.25">
      <c r="M3040" s="211"/>
    </row>
    <row r="3041" spans="13:13" x14ac:dyDescent="0.25">
      <c r="M3041" s="211"/>
    </row>
    <row r="3042" spans="13:13" x14ac:dyDescent="0.25">
      <c r="M3042" s="211"/>
    </row>
    <row r="3043" spans="13:13" x14ac:dyDescent="0.25">
      <c r="M3043" s="211"/>
    </row>
    <row r="3044" spans="13:13" x14ac:dyDescent="0.25">
      <c r="M3044" s="211"/>
    </row>
    <row r="3045" spans="13:13" x14ac:dyDescent="0.25">
      <c r="M3045" s="211"/>
    </row>
    <row r="3046" spans="13:13" x14ac:dyDescent="0.25">
      <c r="M3046" s="211"/>
    </row>
    <row r="3047" spans="13:13" x14ac:dyDescent="0.25">
      <c r="M3047" s="211"/>
    </row>
    <row r="3048" spans="13:13" x14ac:dyDescent="0.25">
      <c r="M3048" s="211"/>
    </row>
    <row r="3049" spans="13:13" x14ac:dyDescent="0.25">
      <c r="M3049" s="211"/>
    </row>
    <row r="3050" spans="13:13" x14ac:dyDescent="0.25">
      <c r="M3050" s="211"/>
    </row>
    <row r="3051" spans="13:13" x14ac:dyDescent="0.25">
      <c r="M3051" s="211"/>
    </row>
    <row r="3052" spans="13:13" x14ac:dyDescent="0.25">
      <c r="M3052" s="211"/>
    </row>
    <row r="3053" spans="13:13" x14ac:dyDescent="0.25">
      <c r="M3053" s="211"/>
    </row>
    <row r="3054" spans="13:13" x14ac:dyDescent="0.25">
      <c r="M3054" s="211"/>
    </row>
    <row r="3055" spans="13:13" x14ac:dyDescent="0.25">
      <c r="M3055" s="211"/>
    </row>
    <row r="3056" spans="13:13" x14ac:dyDescent="0.25">
      <c r="M3056" s="211"/>
    </row>
    <row r="3057" spans="13:13" x14ac:dyDescent="0.25">
      <c r="M3057" s="211"/>
    </row>
    <row r="3058" spans="13:13" x14ac:dyDescent="0.25">
      <c r="M3058" s="211"/>
    </row>
    <row r="3059" spans="13:13" x14ac:dyDescent="0.25">
      <c r="M3059" s="211"/>
    </row>
    <row r="3060" spans="13:13" x14ac:dyDescent="0.25">
      <c r="M3060" s="211"/>
    </row>
    <row r="3061" spans="13:13" x14ac:dyDescent="0.25">
      <c r="M3061" s="211"/>
    </row>
    <row r="3062" spans="13:13" x14ac:dyDescent="0.25">
      <c r="M3062" s="211"/>
    </row>
    <row r="3063" spans="13:13" x14ac:dyDescent="0.25">
      <c r="M3063" s="211"/>
    </row>
    <row r="3064" spans="13:13" x14ac:dyDescent="0.25">
      <c r="M3064" s="211"/>
    </row>
    <row r="3065" spans="13:13" x14ac:dyDescent="0.25">
      <c r="M3065" s="211"/>
    </row>
    <row r="3066" spans="13:13" x14ac:dyDescent="0.25">
      <c r="M3066" s="211"/>
    </row>
    <row r="3067" spans="13:13" x14ac:dyDescent="0.25">
      <c r="M3067" s="211"/>
    </row>
    <row r="3068" spans="13:13" x14ac:dyDescent="0.25">
      <c r="M3068" s="211"/>
    </row>
    <row r="3069" spans="13:13" x14ac:dyDescent="0.25">
      <c r="M3069" s="211"/>
    </row>
    <row r="3070" spans="13:13" x14ac:dyDescent="0.25">
      <c r="M3070" s="211"/>
    </row>
    <row r="3071" spans="13:13" x14ac:dyDescent="0.25">
      <c r="M3071" s="211"/>
    </row>
    <row r="3072" spans="13:13" x14ac:dyDescent="0.25">
      <c r="M3072" s="211"/>
    </row>
    <row r="3073" spans="13:13" x14ac:dyDescent="0.25">
      <c r="M3073" s="211"/>
    </row>
    <row r="3074" spans="13:13" x14ac:dyDescent="0.25">
      <c r="M3074" s="211"/>
    </row>
    <row r="3075" spans="13:13" x14ac:dyDescent="0.25">
      <c r="M3075" s="211"/>
    </row>
    <row r="3076" spans="13:13" x14ac:dyDescent="0.25">
      <c r="M3076" s="211"/>
    </row>
    <row r="3077" spans="13:13" x14ac:dyDescent="0.25">
      <c r="M3077" s="211"/>
    </row>
    <row r="3078" spans="13:13" x14ac:dyDescent="0.25">
      <c r="M3078" s="211"/>
    </row>
    <row r="3079" spans="13:13" x14ac:dyDescent="0.25">
      <c r="M3079" s="211"/>
    </row>
    <row r="3080" spans="13:13" x14ac:dyDescent="0.25">
      <c r="M3080" s="211"/>
    </row>
    <row r="3081" spans="13:13" x14ac:dyDescent="0.25">
      <c r="M3081" s="211"/>
    </row>
    <row r="3082" spans="13:13" x14ac:dyDescent="0.25">
      <c r="M3082" s="211"/>
    </row>
    <row r="3083" spans="13:13" x14ac:dyDescent="0.25">
      <c r="M3083" s="211"/>
    </row>
    <row r="3084" spans="13:13" x14ac:dyDescent="0.25">
      <c r="M3084" s="211"/>
    </row>
    <row r="3085" spans="13:13" x14ac:dyDescent="0.25">
      <c r="M3085" s="211"/>
    </row>
    <row r="3086" spans="13:13" x14ac:dyDescent="0.25">
      <c r="M3086" s="211"/>
    </row>
    <row r="3087" spans="13:13" x14ac:dyDescent="0.25">
      <c r="M3087" s="211"/>
    </row>
    <row r="3088" spans="13:13" x14ac:dyDescent="0.25">
      <c r="M3088" s="211"/>
    </row>
    <row r="3089" spans="13:13" x14ac:dyDescent="0.25">
      <c r="M3089" s="211"/>
    </row>
    <row r="3090" spans="13:13" x14ac:dyDescent="0.25">
      <c r="M3090" s="211"/>
    </row>
    <row r="3091" spans="13:13" x14ac:dyDescent="0.25">
      <c r="M3091" s="211"/>
    </row>
    <row r="3092" spans="13:13" x14ac:dyDescent="0.25">
      <c r="M3092" s="211"/>
    </row>
    <row r="3093" spans="13:13" x14ac:dyDescent="0.25">
      <c r="M3093" s="211"/>
    </row>
    <row r="3094" spans="13:13" x14ac:dyDescent="0.25">
      <c r="M3094" s="211"/>
    </row>
    <row r="3095" spans="13:13" x14ac:dyDescent="0.25">
      <c r="M3095" s="211"/>
    </row>
    <row r="3096" spans="13:13" x14ac:dyDescent="0.25">
      <c r="M3096" s="211"/>
    </row>
    <row r="3097" spans="13:13" x14ac:dyDescent="0.25">
      <c r="M3097" s="211"/>
    </row>
    <row r="3098" spans="13:13" x14ac:dyDescent="0.25">
      <c r="M3098" s="211"/>
    </row>
    <row r="3099" spans="13:13" x14ac:dyDescent="0.25">
      <c r="M3099" s="211"/>
    </row>
    <row r="3100" spans="13:13" x14ac:dyDescent="0.25">
      <c r="M3100" s="211"/>
    </row>
    <row r="3101" spans="13:13" x14ac:dyDescent="0.25">
      <c r="M3101" s="211"/>
    </row>
    <row r="3102" spans="13:13" x14ac:dyDescent="0.25">
      <c r="M3102" s="211"/>
    </row>
    <row r="3103" spans="13:13" x14ac:dyDescent="0.25">
      <c r="M3103" s="211"/>
    </row>
    <row r="3104" spans="13:13" x14ac:dyDescent="0.25">
      <c r="M3104" s="211"/>
    </row>
    <row r="3105" spans="13:13" x14ac:dyDescent="0.25">
      <c r="M3105" s="211"/>
    </row>
    <row r="3106" spans="13:13" x14ac:dyDescent="0.25">
      <c r="M3106" s="211"/>
    </row>
    <row r="3107" spans="13:13" x14ac:dyDescent="0.25">
      <c r="M3107" s="211"/>
    </row>
    <row r="3108" spans="13:13" x14ac:dyDescent="0.25">
      <c r="M3108" s="211"/>
    </row>
    <row r="3109" spans="13:13" x14ac:dyDescent="0.25">
      <c r="M3109" s="211"/>
    </row>
    <row r="3110" spans="13:13" x14ac:dyDescent="0.25">
      <c r="M3110" s="211"/>
    </row>
    <row r="3111" spans="13:13" x14ac:dyDescent="0.25">
      <c r="M3111" s="211"/>
    </row>
    <row r="3112" spans="13:13" x14ac:dyDescent="0.25">
      <c r="M3112" s="211"/>
    </row>
    <row r="3113" spans="13:13" x14ac:dyDescent="0.25">
      <c r="M3113" s="211"/>
    </row>
    <row r="3114" spans="13:13" x14ac:dyDescent="0.25">
      <c r="M3114" s="211"/>
    </row>
    <row r="3115" spans="13:13" x14ac:dyDescent="0.25">
      <c r="M3115" s="211"/>
    </row>
    <row r="3116" spans="13:13" x14ac:dyDescent="0.25">
      <c r="M3116" s="211"/>
    </row>
    <row r="3117" spans="13:13" x14ac:dyDescent="0.25">
      <c r="M3117" s="211"/>
    </row>
    <row r="3118" spans="13:13" x14ac:dyDescent="0.25">
      <c r="M3118" s="211"/>
    </row>
    <row r="3119" spans="13:13" x14ac:dyDescent="0.25">
      <c r="M3119" s="211"/>
    </row>
    <row r="3120" spans="13:13" x14ac:dyDescent="0.25">
      <c r="M3120" s="211"/>
    </row>
    <row r="3121" spans="13:13" x14ac:dyDescent="0.25">
      <c r="M3121" s="211"/>
    </row>
    <row r="3122" spans="13:13" x14ac:dyDescent="0.25">
      <c r="M3122" s="211"/>
    </row>
    <row r="3123" spans="13:13" x14ac:dyDescent="0.25">
      <c r="M3123" s="211"/>
    </row>
    <row r="3124" spans="13:13" x14ac:dyDescent="0.25">
      <c r="M3124" s="211"/>
    </row>
    <row r="3125" spans="13:13" x14ac:dyDescent="0.25">
      <c r="M3125" s="211"/>
    </row>
    <row r="3126" spans="13:13" x14ac:dyDescent="0.25">
      <c r="M3126" s="211"/>
    </row>
    <row r="3127" spans="13:13" x14ac:dyDescent="0.25">
      <c r="M3127" s="211"/>
    </row>
    <row r="3128" spans="13:13" x14ac:dyDescent="0.25">
      <c r="M3128" s="211"/>
    </row>
    <row r="3129" spans="13:13" x14ac:dyDescent="0.25">
      <c r="M3129" s="211"/>
    </row>
    <row r="3130" spans="13:13" x14ac:dyDescent="0.25">
      <c r="M3130" s="211"/>
    </row>
    <row r="3131" spans="13:13" x14ac:dyDescent="0.25">
      <c r="M3131" s="211"/>
    </row>
    <row r="3132" spans="13:13" x14ac:dyDescent="0.25">
      <c r="M3132" s="211"/>
    </row>
    <row r="3133" spans="13:13" x14ac:dyDescent="0.25">
      <c r="M3133" s="211"/>
    </row>
    <row r="3134" spans="13:13" x14ac:dyDescent="0.25">
      <c r="M3134" s="211"/>
    </row>
    <row r="3135" spans="13:13" x14ac:dyDescent="0.25">
      <c r="M3135" s="211"/>
    </row>
    <row r="3136" spans="13:13" x14ac:dyDescent="0.25">
      <c r="M3136" s="211"/>
    </row>
    <row r="3137" spans="13:13" x14ac:dyDescent="0.25">
      <c r="M3137" s="211"/>
    </row>
    <row r="3138" spans="13:13" x14ac:dyDescent="0.25">
      <c r="M3138" s="211"/>
    </row>
    <row r="3139" spans="13:13" x14ac:dyDescent="0.25">
      <c r="M3139" s="211"/>
    </row>
    <row r="3140" spans="13:13" x14ac:dyDescent="0.25">
      <c r="M3140" s="211"/>
    </row>
    <row r="3141" spans="13:13" x14ac:dyDescent="0.25">
      <c r="M3141" s="211"/>
    </row>
    <row r="3142" spans="13:13" x14ac:dyDescent="0.25">
      <c r="M3142" s="211"/>
    </row>
    <row r="3143" spans="13:13" x14ac:dyDescent="0.25">
      <c r="M3143" s="211"/>
    </row>
    <row r="3144" spans="13:13" x14ac:dyDescent="0.25">
      <c r="M3144" s="211"/>
    </row>
    <row r="3145" spans="13:13" x14ac:dyDescent="0.25">
      <c r="M3145" s="211"/>
    </row>
    <row r="3146" spans="13:13" x14ac:dyDescent="0.25">
      <c r="M3146" s="211"/>
    </row>
    <row r="3147" spans="13:13" x14ac:dyDescent="0.25">
      <c r="M3147" s="211"/>
    </row>
    <row r="3148" spans="13:13" x14ac:dyDescent="0.25">
      <c r="M3148" s="211"/>
    </row>
    <row r="3149" spans="13:13" x14ac:dyDescent="0.25">
      <c r="M3149" s="211"/>
    </row>
    <row r="3150" spans="13:13" x14ac:dyDescent="0.25">
      <c r="M3150" s="211"/>
    </row>
    <row r="3151" spans="13:13" x14ac:dyDescent="0.25">
      <c r="M3151" s="211"/>
    </row>
    <row r="3152" spans="13:13" x14ac:dyDescent="0.25">
      <c r="M3152" s="211"/>
    </row>
    <row r="3153" spans="13:13" x14ac:dyDescent="0.25">
      <c r="M3153" s="211"/>
    </row>
    <row r="3154" spans="13:13" x14ac:dyDescent="0.25">
      <c r="M3154" s="211"/>
    </row>
    <row r="3155" spans="13:13" x14ac:dyDescent="0.25">
      <c r="M3155" s="211"/>
    </row>
    <row r="3156" spans="13:13" x14ac:dyDescent="0.25">
      <c r="M3156" s="211"/>
    </row>
    <row r="3157" spans="13:13" x14ac:dyDescent="0.25">
      <c r="M3157" s="211"/>
    </row>
    <row r="3158" spans="13:13" x14ac:dyDescent="0.25">
      <c r="M3158" s="211"/>
    </row>
    <row r="3159" spans="13:13" x14ac:dyDescent="0.25">
      <c r="M3159" s="211"/>
    </row>
    <row r="3160" spans="13:13" x14ac:dyDescent="0.25">
      <c r="M3160" s="211"/>
    </row>
    <row r="3161" spans="13:13" x14ac:dyDescent="0.25">
      <c r="M3161" s="211"/>
    </row>
    <row r="3162" spans="13:13" x14ac:dyDescent="0.25">
      <c r="M3162" s="211"/>
    </row>
    <row r="3163" spans="13:13" x14ac:dyDescent="0.25">
      <c r="M3163" s="211"/>
    </row>
    <row r="3164" spans="13:13" x14ac:dyDescent="0.25">
      <c r="M3164" s="211"/>
    </row>
    <row r="3165" spans="13:13" x14ac:dyDescent="0.25">
      <c r="M3165" s="211"/>
    </row>
    <row r="3166" spans="13:13" x14ac:dyDescent="0.25">
      <c r="M3166" s="211"/>
    </row>
    <row r="3167" spans="13:13" x14ac:dyDescent="0.25">
      <c r="M3167" s="211"/>
    </row>
    <row r="3168" spans="13:13" x14ac:dyDescent="0.25">
      <c r="M3168" s="211"/>
    </row>
    <row r="3169" spans="13:13" x14ac:dyDescent="0.25">
      <c r="M3169" s="211"/>
    </row>
    <row r="3170" spans="13:13" x14ac:dyDescent="0.25">
      <c r="M3170" s="211"/>
    </row>
    <row r="3171" spans="13:13" x14ac:dyDescent="0.25">
      <c r="M3171" s="211"/>
    </row>
    <row r="3172" spans="13:13" x14ac:dyDescent="0.25">
      <c r="M3172" s="211"/>
    </row>
    <row r="3173" spans="13:13" x14ac:dyDescent="0.25">
      <c r="M3173" s="211"/>
    </row>
    <row r="3174" spans="13:13" x14ac:dyDescent="0.25">
      <c r="M3174" s="211"/>
    </row>
    <row r="3175" spans="13:13" x14ac:dyDescent="0.25">
      <c r="M3175" s="211"/>
    </row>
    <row r="3176" spans="13:13" x14ac:dyDescent="0.25">
      <c r="M3176" s="211"/>
    </row>
    <row r="3177" spans="13:13" x14ac:dyDescent="0.25">
      <c r="M3177" s="211"/>
    </row>
    <row r="3178" spans="13:13" x14ac:dyDescent="0.25">
      <c r="M3178" s="211"/>
    </row>
    <row r="3179" spans="13:13" x14ac:dyDescent="0.25">
      <c r="M3179" s="211"/>
    </row>
    <row r="3180" spans="13:13" x14ac:dyDescent="0.25">
      <c r="M3180" s="211"/>
    </row>
    <row r="3181" spans="13:13" x14ac:dyDescent="0.25">
      <c r="M3181" s="211"/>
    </row>
    <row r="3182" spans="13:13" x14ac:dyDescent="0.25">
      <c r="M3182" s="211"/>
    </row>
    <row r="3183" spans="13:13" x14ac:dyDescent="0.25">
      <c r="M3183" s="211"/>
    </row>
    <row r="3184" spans="13:13" x14ac:dyDescent="0.25">
      <c r="M3184" s="211"/>
    </row>
    <row r="3185" spans="13:13" x14ac:dyDescent="0.25">
      <c r="M3185" s="211"/>
    </row>
    <row r="3186" spans="13:13" x14ac:dyDescent="0.25">
      <c r="M3186" s="211"/>
    </row>
    <row r="3187" spans="13:13" x14ac:dyDescent="0.25">
      <c r="M3187" s="211"/>
    </row>
    <row r="3188" spans="13:13" x14ac:dyDescent="0.25">
      <c r="M3188" s="211"/>
    </row>
    <row r="3189" spans="13:13" x14ac:dyDescent="0.25">
      <c r="M3189" s="211"/>
    </row>
    <row r="3190" spans="13:13" x14ac:dyDescent="0.25">
      <c r="M3190" s="211"/>
    </row>
    <row r="3191" spans="13:13" x14ac:dyDescent="0.25">
      <c r="M3191" s="211"/>
    </row>
    <row r="3192" spans="13:13" x14ac:dyDescent="0.25">
      <c r="M3192" s="211"/>
    </row>
    <row r="3193" spans="13:13" x14ac:dyDescent="0.25">
      <c r="M3193" s="211"/>
    </row>
    <row r="3194" spans="13:13" x14ac:dyDescent="0.25">
      <c r="M3194" s="211"/>
    </row>
    <row r="3195" spans="13:13" x14ac:dyDescent="0.25">
      <c r="M3195" s="211"/>
    </row>
    <row r="3196" spans="13:13" x14ac:dyDescent="0.25">
      <c r="M3196" s="211"/>
    </row>
    <row r="3197" spans="13:13" x14ac:dyDescent="0.25">
      <c r="M3197" s="211"/>
    </row>
    <row r="3198" spans="13:13" x14ac:dyDescent="0.25">
      <c r="M3198" s="211"/>
    </row>
    <row r="3199" spans="13:13" x14ac:dyDescent="0.25">
      <c r="M3199" s="211"/>
    </row>
    <row r="3200" spans="13:13" x14ac:dyDescent="0.25">
      <c r="M3200" s="211"/>
    </row>
    <row r="3201" spans="13:13" x14ac:dyDescent="0.25">
      <c r="M3201" s="211"/>
    </row>
    <row r="3202" spans="13:13" x14ac:dyDescent="0.25">
      <c r="M3202" s="211"/>
    </row>
    <row r="3203" spans="13:13" x14ac:dyDescent="0.25">
      <c r="M3203" s="211"/>
    </row>
    <row r="3204" spans="13:13" x14ac:dyDescent="0.25">
      <c r="M3204" s="211"/>
    </row>
    <row r="3205" spans="13:13" x14ac:dyDescent="0.25">
      <c r="M3205" s="211"/>
    </row>
    <row r="3206" spans="13:13" x14ac:dyDescent="0.25">
      <c r="M3206" s="211"/>
    </row>
    <row r="3207" spans="13:13" x14ac:dyDescent="0.25">
      <c r="M3207" s="211"/>
    </row>
    <row r="3208" spans="13:13" x14ac:dyDescent="0.25">
      <c r="M3208" s="211"/>
    </row>
    <row r="3209" spans="13:13" x14ac:dyDescent="0.25">
      <c r="M3209" s="211"/>
    </row>
    <row r="3210" spans="13:13" x14ac:dyDescent="0.25">
      <c r="M3210" s="211"/>
    </row>
    <row r="3211" spans="13:13" x14ac:dyDescent="0.25">
      <c r="M3211" s="211"/>
    </row>
    <row r="3212" spans="13:13" x14ac:dyDescent="0.25">
      <c r="M3212" s="211"/>
    </row>
    <row r="3213" spans="13:13" x14ac:dyDescent="0.25">
      <c r="M3213" s="211"/>
    </row>
    <row r="3214" spans="13:13" x14ac:dyDescent="0.25">
      <c r="M3214" s="211"/>
    </row>
    <row r="3215" spans="13:13" x14ac:dyDescent="0.25">
      <c r="M3215" s="211"/>
    </row>
    <row r="3216" spans="13:13" x14ac:dyDescent="0.25">
      <c r="M3216" s="211"/>
    </row>
    <row r="3217" spans="13:13" x14ac:dyDescent="0.25">
      <c r="M3217" s="211"/>
    </row>
    <row r="3218" spans="13:13" x14ac:dyDescent="0.25">
      <c r="M3218" s="211"/>
    </row>
    <row r="3219" spans="13:13" x14ac:dyDescent="0.25">
      <c r="M3219" s="211"/>
    </row>
    <row r="3220" spans="13:13" x14ac:dyDescent="0.25">
      <c r="M3220" s="211"/>
    </row>
    <row r="3221" spans="13:13" x14ac:dyDescent="0.25">
      <c r="M3221" s="211"/>
    </row>
    <row r="3222" spans="13:13" x14ac:dyDescent="0.25">
      <c r="M3222" s="211"/>
    </row>
    <row r="3223" spans="13:13" x14ac:dyDescent="0.25">
      <c r="M3223" s="211"/>
    </row>
    <row r="3224" spans="13:13" x14ac:dyDescent="0.25">
      <c r="M3224" s="211"/>
    </row>
    <row r="3225" spans="13:13" x14ac:dyDescent="0.25">
      <c r="M3225" s="211"/>
    </row>
    <row r="3226" spans="13:13" x14ac:dyDescent="0.25">
      <c r="M3226" s="211"/>
    </row>
    <row r="3227" spans="13:13" x14ac:dyDescent="0.25">
      <c r="M3227" s="211"/>
    </row>
    <row r="3228" spans="13:13" x14ac:dyDescent="0.25">
      <c r="M3228" s="211"/>
    </row>
    <row r="3229" spans="13:13" x14ac:dyDescent="0.25">
      <c r="M3229" s="211"/>
    </row>
    <row r="3230" spans="13:13" x14ac:dyDescent="0.25">
      <c r="M3230" s="211"/>
    </row>
    <row r="3231" spans="13:13" x14ac:dyDescent="0.25">
      <c r="M3231" s="211"/>
    </row>
    <row r="3232" spans="13:13" x14ac:dyDescent="0.25">
      <c r="M3232" s="211"/>
    </row>
    <row r="3233" spans="13:13" x14ac:dyDescent="0.25">
      <c r="M3233" s="211"/>
    </row>
    <row r="3234" spans="13:13" x14ac:dyDescent="0.25">
      <c r="M3234" s="211"/>
    </row>
    <row r="3235" spans="13:13" x14ac:dyDescent="0.25">
      <c r="M3235" s="211"/>
    </row>
    <row r="3236" spans="13:13" x14ac:dyDescent="0.25">
      <c r="M3236" s="211"/>
    </row>
    <row r="3237" spans="13:13" x14ac:dyDescent="0.25">
      <c r="M3237" s="211"/>
    </row>
    <row r="3238" spans="13:13" x14ac:dyDescent="0.25">
      <c r="M3238" s="211"/>
    </row>
    <row r="3239" spans="13:13" x14ac:dyDescent="0.25">
      <c r="M3239" s="211"/>
    </row>
    <row r="3240" spans="13:13" x14ac:dyDescent="0.25">
      <c r="M3240" s="211"/>
    </row>
    <row r="3241" spans="13:13" x14ac:dyDescent="0.25">
      <c r="M3241" s="211"/>
    </row>
    <row r="3242" spans="13:13" x14ac:dyDescent="0.25">
      <c r="M3242" s="211"/>
    </row>
    <row r="3243" spans="13:13" x14ac:dyDescent="0.25">
      <c r="M3243" s="211"/>
    </row>
    <row r="3244" spans="13:13" x14ac:dyDescent="0.25">
      <c r="M3244" s="211"/>
    </row>
    <row r="3245" spans="13:13" x14ac:dyDescent="0.25">
      <c r="M3245" s="211"/>
    </row>
    <row r="3246" spans="13:13" x14ac:dyDescent="0.25">
      <c r="M3246" s="211"/>
    </row>
    <row r="3247" spans="13:13" x14ac:dyDescent="0.25">
      <c r="M3247" s="211"/>
    </row>
    <row r="3248" spans="13:13" x14ac:dyDescent="0.25">
      <c r="M3248" s="211"/>
    </row>
    <row r="3249" spans="13:13" x14ac:dyDescent="0.25">
      <c r="M3249" s="211"/>
    </row>
    <row r="3250" spans="13:13" x14ac:dyDescent="0.25">
      <c r="M3250" s="211"/>
    </row>
    <row r="3251" spans="13:13" x14ac:dyDescent="0.25">
      <c r="M3251" s="211"/>
    </row>
    <row r="3252" spans="13:13" x14ac:dyDescent="0.25">
      <c r="M3252" s="211"/>
    </row>
    <row r="3253" spans="13:13" x14ac:dyDescent="0.25">
      <c r="M3253" s="211"/>
    </row>
    <row r="3254" spans="13:13" x14ac:dyDescent="0.25">
      <c r="M3254" s="211"/>
    </row>
    <row r="3255" spans="13:13" x14ac:dyDescent="0.25">
      <c r="M3255" s="211"/>
    </row>
    <row r="3256" spans="13:13" x14ac:dyDescent="0.25">
      <c r="M3256" s="211"/>
    </row>
    <row r="3257" spans="13:13" x14ac:dyDescent="0.25">
      <c r="M3257" s="211"/>
    </row>
    <row r="3258" spans="13:13" x14ac:dyDescent="0.25">
      <c r="M3258" s="211"/>
    </row>
    <row r="3259" spans="13:13" x14ac:dyDescent="0.25">
      <c r="M3259" s="211"/>
    </row>
    <row r="3260" spans="13:13" x14ac:dyDescent="0.25">
      <c r="M3260" s="211"/>
    </row>
    <row r="3261" spans="13:13" x14ac:dyDescent="0.25">
      <c r="M3261" s="211"/>
    </row>
    <row r="3262" spans="13:13" x14ac:dyDescent="0.25">
      <c r="M3262" s="211"/>
    </row>
    <row r="3263" spans="13:13" x14ac:dyDescent="0.25">
      <c r="M3263" s="211"/>
    </row>
    <row r="3264" spans="13:13" x14ac:dyDescent="0.25">
      <c r="M3264" s="211"/>
    </row>
    <row r="3265" spans="13:13" x14ac:dyDescent="0.25">
      <c r="M3265" s="211"/>
    </row>
    <row r="3266" spans="13:13" x14ac:dyDescent="0.25">
      <c r="M3266" s="211"/>
    </row>
    <row r="3267" spans="13:13" x14ac:dyDescent="0.25">
      <c r="M3267" s="211"/>
    </row>
    <row r="3268" spans="13:13" x14ac:dyDescent="0.25">
      <c r="M3268" s="211"/>
    </row>
    <row r="3269" spans="13:13" x14ac:dyDescent="0.25">
      <c r="M3269" s="211"/>
    </row>
    <row r="3270" spans="13:13" x14ac:dyDescent="0.25">
      <c r="M3270" s="211"/>
    </row>
    <row r="3271" spans="13:13" x14ac:dyDescent="0.25">
      <c r="M3271" s="211"/>
    </row>
    <row r="3272" spans="13:13" x14ac:dyDescent="0.25">
      <c r="M3272" s="211"/>
    </row>
    <row r="3273" spans="13:13" x14ac:dyDescent="0.25">
      <c r="M3273" s="211"/>
    </row>
    <row r="3274" spans="13:13" x14ac:dyDescent="0.25">
      <c r="M3274" s="211"/>
    </row>
    <row r="3275" spans="13:13" x14ac:dyDescent="0.25">
      <c r="M3275" s="211"/>
    </row>
    <row r="3276" spans="13:13" x14ac:dyDescent="0.25">
      <c r="M3276" s="211"/>
    </row>
    <row r="3277" spans="13:13" x14ac:dyDescent="0.25">
      <c r="M3277" s="211"/>
    </row>
    <row r="3278" spans="13:13" x14ac:dyDescent="0.25">
      <c r="M3278" s="211"/>
    </row>
    <row r="3279" spans="13:13" x14ac:dyDescent="0.25">
      <c r="M3279" s="211"/>
    </row>
    <row r="3280" spans="13:13" x14ac:dyDescent="0.25">
      <c r="M3280" s="211"/>
    </row>
    <row r="3281" spans="13:13" x14ac:dyDescent="0.25">
      <c r="M3281" s="211"/>
    </row>
    <row r="3282" spans="13:13" x14ac:dyDescent="0.25">
      <c r="M3282" s="211"/>
    </row>
    <row r="3283" spans="13:13" x14ac:dyDescent="0.25">
      <c r="M3283" s="211"/>
    </row>
    <row r="3284" spans="13:13" x14ac:dyDescent="0.25">
      <c r="M3284" s="211"/>
    </row>
    <row r="3285" spans="13:13" x14ac:dyDescent="0.25">
      <c r="M3285" s="211"/>
    </row>
    <row r="3286" spans="13:13" x14ac:dyDescent="0.25">
      <c r="M3286" s="211"/>
    </row>
    <row r="3287" spans="13:13" x14ac:dyDescent="0.25">
      <c r="M3287" s="211"/>
    </row>
    <row r="3288" spans="13:13" x14ac:dyDescent="0.25">
      <c r="M3288" s="211"/>
    </row>
    <row r="3289" spans="13:13" x14ac:dyDescent="0.25">
      <c r="M3289" s="211"/>
    </row>
    <row r="3290" spans="13:13" x14ac:dyDescent="0.25">
      <c r="M3290" s="211"/>
    </row>
    <row r="3291" spans="13:13" x14ac:dyDescent="0.25">
      <c r="M3291" s="211"/>
    </row>
    <row r="3292" spans="13:13" x14ac:dyDescent="0.25">
      <c r="M3292" s="211"/>
    </row>
    <row r="3293" spans="13:13" x14ac:dyDescent="0.25">
      <c r="M3293" s="211"/>
    </row>
    <row r="3294" spans="13:13" x14ac:dyDescent="0.25">
      <c r="M3294" s="211"/>
    </row>
    <row r="3295" spans="13:13" x14ac:dyDescent="0.25">
      <c r="M3295" s="211"/>
    </row>
    <row r="3296" spans="13:13" x14ac:dyDescent="0.25">
      <c r="M3296" s="211"/>
    </row>
    <row r="3297" spans="13:13" x14ac:dyDescent="0.25">
      <c r="M3297" s="211"/>
    </row>
    <row r="3298" spans="13:13" x14ac:dyDescent="0.25">
      <c r="M3298" s="211"/>
    </row>
    <row r="3299" spans="13:13" x14ac:dyDescent="0.25">
      <c r="M3299" s="211"/>
    </row>
    <row r="3300" spans="13:13" x14ac:dyDescent="0.25">
      <c r="M3300" s="211"/>
    </row>
    <row r="3301" spans="13:13" x14ac:dyDescent="0.25">
      <c r="M3301" s="211"/>
    </row>
    <row r="3302" spans="13:13" x14ac:dyDescent="0.25">
      <c r="M3302" s="211"/>
    </row>
    <row r="3303" spans="13:13" x14ac:dyDescent="0.25">
      <c r="M3303" s="211"/>
    </row>
    <row r="3304" spans="13:13" x14ac:dyDescent="0.25">
      <c r="M3304" s="211"/>
    </row>
    <row r="3305" spans="13:13" x14ac:dyDescent="0.25">
      <c r="M3305" s="211"/>
    </row>
    <row r="3306" spans="13:13" x14ac:dyDescent="0.25">
      <c r="M3306" s="211"/>
    </row>
    <row r="3307" spans="13:13" x14ac:dyDescent="0.25">
      <c r="M3307" s="211"/>
    </row>
    <row r="3308" spans="13:13" x14ac:dyDescent="0.25">
      <c r="M3308" s="211"/>
    </row>
    <row r="3309" spans="13:13" x14ac:dyDescent="0.25">
      <c r="M3309" s="211"/>
    </row>
    <row r="3310" spans="13:13" x14ac:dyDescent="0.25">
      <c r="M3310" s="211"/>
    </row>
    <row r="3311" spans="13:13" x14ac:dyDescent="0.25">
      <c r="M3311" s="211"/>
    </row>
    <row r="3312" spans="13:13" x14ac:dyDescent="0.25">
      <c r="M3312" s="211"/>
    </row>
    <row r="3313" spans="13:13" x14ac:dyDescent="0.25">
      <c r="M3313" s="211"/>
    </row>
    <row r="3314" spans="13:13" x14ac:dyDescent="0.25">
      <c r="M3314" s="211"/>
    </row>
    <row r="3315" spans="13:13" x14ac:dyDescent="0.25">
      <c r="M3315" s="211"/>
    </row>
    <row r="3316" spans="13:13" x14ac:dyDescent="0.25">
      <c r="M3316" s="211"/>
    </row>
    <row r="3317" spans="13:13" x14ac:dyDescent="0.25">
      <c r="M3317" s="211"/>
    </row>
    <row r="3318" spans="13:13" x14ac:dyDescent="0.25">
      <c r="M3318" s="211"/>
    </row>
    <row r="3319" spans="13:13" x14ac:dyDescent="0.25">
      <c r="M3319" s="211"/>
    </row>
    <row r="3320" spans="13:13" x14ac:dyDescent="0.25">
      <c r="M3320" s="211"/>
    </row>
    <row r="3321" spans="13:13" x14ac:dyDescent="0.25">
      <c r="M3321" s="211"/>
    </row>
    <row r="3322" spans="13:13" x14ac:dyDescent="0.25">
      <c r="M3322" s="211"/>
    </row>
    <row r="1048576" spans="5:5" x14ac:dyDescent="0.25">
      <c r="E1048576" s="324">
        <f>LEN(D1048576)</f>
        <v>0</v>
      </c>
    </row>
  </sheetData>
  <mergeCells count="1">
    <mergeCell ref="I1:M1"/>
  </mergeCells>
  <phoneticPr fontId="2"/>
  <pageMargins left="0.23622047244094491" right="0.19685039370078741" top="0.35433070866141736" bottom="0.27559055118110237" header="0.19685039370078741" footer="0.19685039370078741"/>
  <pageSetup paperSize="8" scale="70"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122</vt:i4>
      </vt:variant>
    </vt:vector>
  </HeadingPairs>
  <TitlesOfParts>
    <vt:vector size="132" baseType="lpstr">
      <vt:lpstr>受注仕様書</vt:lpstr>
      <vt:lpstr>仕様指示書－作成－</vt:lpstr>
      <vt:lpstr>仕様指示書－印刷－</vt:lpstr>
      <vt:lpstr>【非標準のみ】補助仕様書</vt:lpstr>
      <vt:lpstr>【非標準のみ】補助仕様書 (2)</vt:lpstr>
      <vt:lpstr>【非標準のみ】補助仕様書 (3)</vt:lpstr>
      <vt:lpstr>塗装仕様書</vt:lpstr>
      <vt:lpstr>塗装仕様書(参考写真)</vt:lpstr>
      <vt:lpstr>シャシ型式</vt:lpstr>
      <vt:lpstr>リスト－仕様指示書－</vt:lpstr>
      <vt:lpstr>「作業中」表示燈</vt:lpstr>
      <vt:lpstr>【非標準のみ】補助仕様書!Print_Area</vt:lpstr>
      <vt:lpstr>'【非標準のみ】補助仕様書 (2)'!Print_Area</vt:lpstr>
      <vt:lpstr>'【非標準のみ】補助仕様書 (3)'!Print_Area</vt:lpstr>
      <vt:lpstr>'リスト－仕様指示書－'!Print_Area</vt:lpstr>
      <vt:lpstr>'仕様指示書－印刷－'!Print_Area</vt:lpstr>
      <vt:lpstr>'仕様指示書－作成－'!Print_Area</vt:lpstr>
      <vt:lpstr>受注仕様書!Print_Area</vt:lpstr>
      <vt:lpstr>塗装仕様書!Print_Area</vt:lpstr>
      <vt:lpstr>'塗装仕様書(参考写真)'!Print_Area</vt:lpstr>
      <vt:lpstr>'リスト－仕様指示書－'!Print_Titles</vt:lpstr>
      <vt:lpstr>'仕様指示書－印刷－'!Print_Titles</vt:lpstr>
      <vt:lpstr>'仕様指示書－作成－'!Print_Titles</vt:lpstr>
      <vt:lpstr>ＰＴＯ「ＯＮ」連動ハザード</vt:lpstr>
      <vt:lpstr>ＰＴＯ抜き忘れ防止警報</vt:lpstr>
      <vt:lpstr>ＰＴＯ表示ランプ</vt:lpstr>
      <vt:lpstr>ＴＧ降下防止スイッチ取付</vt:lpstr>
      <vt:lpstr>Ｔ型マフラー取付</vt:lpstr>
      <vt:lpstr>アクセルストッパ</vt:lpstr>
      <vt:lpstr>アンダーコート塗布</vt:lpstr>
      <vt:lpstr>オルゴール</vt:lpstr>
      <vt:lpstr>ガイドテーブル</vt:lpstr>
      <vt:lpstr>グリスオマット取付</vt:lpstr>
      <vt:lpstr>コーナープロテクタ</vt:lpstr>
      <vt:lpstr>サイドガード</vt:lpstr>
      <vt:lpstr>シャシ型式</vt:lpstr>
      <vt:lpstr>スコップ掛け取付</vt:lpstr>
      <vt:lpstr>ステップ取付</vt:lpstr>
      <vt:lpstr>タイヤキャリア</vt:lpstr>
      <vt:lpstr>タイヤ灯</vt:lpstr>
      <vt:lpstr>タオル掛け</vt:lpstr>
      <vt:lpstr>ダンボール仕様</vt:lpstr>
      <vt:lpstr>ちりとり入れ</vt:lpstr>
      <vt:lpstr>テールゲートサイドカバー</vt:lpstr>
      <vt:lpstr>テールゲートリフト緊急用強制降下装置</vt:lpstr>
      <vt:lpstr>テールゲート遮蔽板部の配線とホースに耐熱シート巻き付け</vt:lpstr>
      <vt:lpstr>テールゲート上昇時後部安全棒セット警報</vt:lpstr>
      <vt:lpstr>テールランプ取付位置</vt:lpstr>
      <vt:lpstr>ドラム二重張り</vt:lpstr>
      <vt:lpstr>ドラム板</vt:lpstr>
      <vt:lpstr>ドラム板汚水抜き穴</vt:lpstr>
      <vt:lpstr>のぞき窓</vt:lpstr>
      <vt:lpstr>バックランププロテクタ</vt:lpstr>
      <vt:lpstr>バックランプ取付位置</vt:lpstr>
      <vt:lpstr>バルブカバー</vt:lpstr>
      <vt:lpstr>フレームカバー</vt:lpstr>
      <vt:lpstr>ホーキ立て</vt:lpstr>
      <vt:lpstr>ボデー床板</vt:lpstr>
      <vt:lpstr>ボデー前面臭気対策</vt:lpstr>
      <vt:lpstr>ボデー天井注水口取付</vt:lpstr>
      <vt:lpstr>マーカーランプ</vt:lpstr>
      <vt:lpstr>ライセンスプレート受</vt:lpstr>
      <vt:lpstr>ロータリーソレノイドカバー</vt:lpstr>
      <vt:lpstr>ロータリーソレノイド式エンジン制御</vt:lpstr>
      <vt:lpstr>汚水タンク</vt:lpstr>
      <vt:lpstr>汚水タンク蓋</vt:lpstr>
      <vt:lpstr>汚水パッキン枠</vt:lpstr>
      <vt:lpstr>汚水排出装置取付</vt:lpstr>
      <vt:lpstr>汚水溜り取付</vt:lpstr>
      <vt:lpstr>音声アラーム</vt:lpstr>
      <vt:lpstr>火災延焼抑制装置</vt:lpstr>
      <vt:lpstr>過積載警報装置</vt:lpstr>
      <vt:lpstr>月</vt:lpstr>
      <vt:lpstr>後部バンパ</vt:lpstr>
      <vt:lpstr>後部フェンダ</vt:lpstr>
      <vt:lpstr>後部フェンダ泥除けゴム</vt:lpstr>
      <vt:lpstr>後部扉</vt:lpstr>
      <vt:lpstr>後部扉レール補強</vt:lpstr>
      <vt:lpstr>後部扉取っ手</vt:lpstr>
      <vt:lpstr>後部扉取っ手部にφ１６丸棒追加</vt:lpstr>
      <vt:lpstr>後方確認用テレビカメラＢＫＴ</vt:lpstr>
      <vt:lpstr>後方確認用テレビカメラシステム</vt:lpstr>
      <vt:lpstr>後輪前に泥除け鋼板</vt:lpstr>
      <vt:lpstr>左折後退音声アラーム</vt:lpstr>
      <vt:lpstr>作業灯</vt:lpstr>
      <vt:lpstr>作業灯スイッチ</vt:lpstr>
      <vt:lpstr>作動油ドレンホース取付</vt:lpstr>
      <vt:lpstr>仕様項目</vt:lpstr>
      <vt:lpstr>車種仕様</vt:lpstr>
      <vt:lpstr>車種仕様番号</vt:lpstr>
      <vt:lpstr>車輪止め</vt:lpstr>
      <vt:lpstr>手袋入れ</vt:lpstr>
      <vt:lpstr>手板入れ</vt:lpstr>
      <vt:lpstr>消火器</vt:lpstr>
      <vt:lpstr>消火器カバー</vt:lpstr>
      <vt:lpstr>数量</vt:lpstr>
      <vt:lpstr>積込操作盤</vt:lpstr>
      <vt:lpstr>積込操作盤・緊急停止スイッチボックスガード取付</vt:lpstr>
      <vt:lpstr>積込操作盤・緊急停止スイッチボックスゴムカバー</vt:lpstr>
      <vt:lpstr>積込操作盤ヒーター</vt:lpstr>
      <vt:lpstr>積載_オルゴール</vt:lpstr>
      <vt:lpstr>積載_その他</vt:lpstr>
      <vt:lpstr>積載_タイヤキャリア</vt:lpstr>
      <vt:lpstr>積載_タイヤ灯</vt:lpstr>
      <vt:lpstr>積載_後方確認用テレビカメラシステム</vt:lpstr>
      <vt:lpstr>積載_作業灯</vt:lpstr>
      <vt:lpstr>積載_消火器</vt:lpstr>
      <vt:lpstr>積載_道具箱</vt:lpstr>
      <vt:lpstr>設定・解除スイッチ</vt:lpstr>
      <vt:lpstr>洗車ブラシ立て</vt:lpstr>
      <vt:lpstr>掃除口取付</vt:lpstr>
      <vt:lpstr>側板二重張り</vt:lpstr>
      <vt:lpstr>耐寒グリース</vt:lpstr>
      <vt:lpstr>泥除けゴムに巻き込み防止枠兼振れ止め取付</vt:lpstr>
      <vt:lpstr>泥除ゴムに後方移設プレート取付</vt:lpstr>
      <vt:lpstr>天井カバー</vt:lpstr>
      <vt:lpstr>天井枠フック</vt:lpstr>
      <vt:lpstr>天井枠取付</vt:lpstr>
      <vt:lpstr>電装パネル</vt:lpstr>
      <vt:lpstr>道具箱</vt:lpstr>
      <vt:lpstr>道具箱追加</vt:lpstr>
      <vt:lpstr>特殊仕様</vt:lpstr>
      <vt:lpstr>難燃処理</vt:lpstr>
      <vt:lpstr>排出板下にゴム板</vt:lpstr>
      <vt:lpstr>配線接続位置</vt:lpstr>
      <vt:lpstr>飛散防止装置取付</vt:lpstr>
      <vt:lpstr>標準ラベル類</vt:lpstr>
      <vt:lpstr>補助方向指示器</vt:lpstr>
      <vt:lpstr>箕掛け</vt:lpstr>
      <vt:lpstr>油圧ポンプ</vt:lpstr>
      <vt:lpstr>列番号_車種</vt:lpstr>
      <vt:lpstr>連絡ブザー用押しボタンスイッチを右側に増設</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tanakas</dc:creator>
  <cp:lastModifiedBy>yuki sakaguchi</cp:lastModifiedBy>
  <cp:lastPrinted>2018-06-07T04:49:41Z</cp:lastPrinted>
  <dcterms:created xsi:type="dcterms:W3CDTF">2012-04-17T13:10:50Z</dcterms:created>
  <dcterms:modified xsi:type="dcterms:W3CDTF">2019-07-01T14:11:58Z</dcterms:modified>
</cp:coreProperties>
</file>